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\nova unidade t\Unidade t\Rogerio Ramires\USP Doutorado\#ISCTE\#ISCTE - Trabalho em Portugal\##Arquivos Finais 2025\Artigos finais_2025\#Versões Finais\Final_03.11.2025\Revisão B_Salotti\#Revisão Jorge_Luiz\Artigo 1\"/>
    </mc:Choice>
  </mc:AlternateContent>
  <xr:revisionPtr revIDLastSave="0" documentId="13_ncr:1_{AC124938-9A62-4532-A1C4-62E9D5A9B3D4}" xr6:coauthVersionLast="47" xr6:coauthVersionMax="47" xr10:uidLastSave="{00000000-0000-0000-0000-000000000000}"/>
  <bookViews>
    <workbookView xWindow="-120" yWindow="-120" windowWidth="29040" windowHeight="15840" xr2:uid="{D645D9E7-7878-43AC-8BDF-E5053A150898}"/>
  </bookViews>
  <sheets>
    <sheet name="BR_PL" sheetId="1" r:id="rId1"/>
    <sheet name="PT_PL" sheetId="2" r:id="rId2"/>
    <sheet name="IPCA-IPC_Acum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O3" i="2"/>
  <c r="L5" i="2"/>
  <c r="L4" i="2"/>
  <c r="L3" i="2"/>
  <c r="L2" i="2"/>
  <c r="H2" i="2"/>
  <c r="M2" i="2" s="1"/>
  <c r="J5" i="2"/>
  <c r="O5" i="2" s="1"/>
  <c r="I5" i="2"/>
  <c r="N5" i="2" s="1"/>
  <c r="H5" i="2"/>
  <c r="M5" i="2" s="1"/>
  <c r="H4" i="2"/>
  <c r="M4" i="2" s="1"/>
  <c r="J4" i="2"/>
  <c r="O4" i="2" s="1"/>
  <c r="I4" i="2"/>
  <c r="N4" i="2" s="1"/>
  <c r="J3" i="2"/>
  <c r="I3" i="2"/>
  <c r="N3" i="2" s="1"/>
  <c r="H3" i="2"/>
  <c r="M3" i="2" s="1"/>
  <c r="J2" i="2"/>
  <c r="O2" i="2" s="1"/>
  <c r="I2" i="2"/>
  <c r="N2" i="2" s="1"/>
  <c r="F5" i="2"/>
  <c r="F4" i="2"/>
  <c r="F3" i="2"/>
  <c r="F2" i="2"/>
  <c r="G5" i="2" l="1"/>
  <c r="G4" i="2"/>
  <c r="G3" i="2"/>
  <c r="G2" i="2"/>
  <c r="D2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J30" i="1"/>
  <c r="I30" i="1"/>
  <c r="H30" i="1"/>
  <c r="J31" i="1"/>
  <c r="H31" i="1"/>
  <c r="I31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" i="1"/>
</calcChain>
</file>

<file path=xl/sharedStrings.xml><?xml version="1.0" encoding="utf-8"?>
<sst xmlns="http://schemas.openxmlformats.org/spreadsheetml/2006/main" count="26" uniqueCount="12">
  <si>
    <t>ano</t>
  </si>
  <si>
    <t>valor_mercado</t>
  </si>
  <si>
    <t>pl_hist</t>
  </si>
  <si>
    <t>pl_corrigido</t>
  </si>
  <si>
    <t>IPCA</t>
  </si>
  <si>
    <t>pl</t>
  </si>
  <si>
    <t>IPCA (Acum.)</t>
  </si>
  <si>
    <t>IPC</t>
  </si>
  <si>
    <t>IPC (Acum.)</t>
  </si>
  <si>
    <t>pl_histórico</t>
  </si>
  <si>
    <t>BR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</si>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</sst>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1F2328"/>
      <name val="Segoe UI"/>
      <family val="2"/>
    </font>
    <font>
      <sz val="10"/>
      <color theme="1"/>
      <name val="Times New Roman"/>
      <family val="1"/>
    </font>
    <font>
      <b/>
      <sz val="9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10" fontId="0" fillId="0" borderId="0" xfId="2" applyNumberFormat="1" applyFont="1"/>
    <xf numFmtId="10" fontId="3" fillId="0" borderId="0" xfId="2" applyNumberFormat="1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1" xfId="0" applyFont="1" applyBorder="1"/>
    <xf numFmtId="10" fontId="3" fillId="0" borderId="1" xfId="2" applyNumberFormat="1" applyFont="1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4" fillId="2" borderId="1" xfId="0" applyFont="1" applyFill="1" applyBorder="1" applyAlignment="1">
      <alignment horizontal="left" vertical="center"/>
    </xf>
    <xf numFmtId="10" fontId="0" fillId="0" borderId="1" xfId="0" applyNumberFormat="1" applyBorder="1"/>
    <xf numFmtId="164" fontId="0" fillId="0" borderId="1" xfId="1" applyNumberFormat="1" applyFont="1" applyBorder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B3 - Valor de Mercado, PL Histórico, PL Corrigido em R$ (bilhão)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BR_PL!$H$1</c:f>
              <c:strCache>
                <c:ptCount val="1"/>
                <c:pt idx="0">
                  <c:v>valor_mercado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BR_PL!$H$2:$H$31</c:f>
              <c:numCache>
                <c:formatCode>_(* #,##0.00_);_(* \(#,##0.00\);_(* "-"??_);_(@_)</c:formatCode>
                <c:ptCount val="30"/>
                <c:pt idx="0">
                  <c:v>12436408.737658121</c:v>
                </c:pt>
                <c:pt idx="1">
                  <c:v>18859714.549327489</c:v>
                </c:pt>
                <c:pt idx="2">
                  <c:v>24014677.895500943</c:v>
                </c:pt>
                <c:pt idx="3">
                  <c:v>12819773.629845401</c:v>
                </c:pt>
                <c:pt idx="4">
                  <c:v>34799689.414309353</c:v>
                </c:pt>
                <c:pt idx="5">
                  <c:v>37147737.701203428</c:v>
                </c:pt>
                <c:pt idx="6">
                  <c:v>36750892.812096573</c:v>
                </c:pt>
                <c:pt idx="7">
                  <c:v>34131826.660956889</c:v>
                </c:pt>
                <c:pt idx="8">
                  <c:v>54006415.449351393</c:v>
                </c:pt>
                <c:pt idx="9">
                  <c:v>67422984.496523261</c:v>
                </c:pt>
                <c:pt idx="10">
                  <c:v>89443186.341072291</c:v>
                </c:pt>
                <c:pt idx="11">
                  <c:v>119721343.16331534</c:v>
                </c:pt>
                <c:pt idx="12">
                  <c:v>187759195.06727105</c:v>
                </c:pt>
                <c:pt idx="13">
                  <c:v>99494561.160260424</c:v>
                </c:pt>
                <c:pt idx="14">
                  <c:v>156647706.3717106</c:v>
                </c:pt>
                <c:pt idx="15">
                  <c:v>162963514.27001691</c:v>
                </c:pt>
                <c:pt idx="16">
                  <c:v>128196723.75011219</c:v>
                </c:pt>
                <c:pt idx="17">
                  <c:v>127573551.00929496</c:v>
                </c:pt>
                <c:pt idx="18">
                  <c:v>116053858.35728219</c:v>
                </c:pt>
                <c:pt idx="19">
                  <c:v>94674712.498602957</c:v>
                </c:pt>
                <c:pt idx="20">
                  <c:v>72614408.161312133</c:v>
                </c:pt>
                <c:pt idx="21">
                  <c:v>98676468.567149445</c:v>
                </c:pt>
                <c:pt idx="22">
                  <c:v>120355235.19243242</c:v>
                </c:pt>
                <c:pt idx="23">
                  <c:v>137376077.09155282</c:v>
                </c:pt>
                <c:pt idx="24">
                  <c:v>167033066.07028455</c:v>
                </c:pt>
                <c:pt idx="25">
                  <c:v>170353676.00821027</c:v>
                </c:pt>
                <c:pt idx="26">
                  <c:v>137034873.11379841</c:v>
                </c:pt>
                <c:pt idx="27">
                  <c:v>99159933.152589858</c:v>
                </c:pt>
                <c:pt idx="28">
                  <c:v>123831203.62501322</c:v>
                </c:pt>
                <c:pt idx="29">
                  <c:v>119259307.171857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8-45D5-A620-6271150A0AB7}"/>
            </c:ext>
          </c:extLst>
        </c:ser>
        <c:ser>
          <c:idx val="1"/>
          <c:order val="1"/>
          <c:tx>
            <c:strRef>
              <c:f>BR_PL!$I$1</c:f>
              <c:strCache>
                <c:ptCount val="1"/>
                <c:pt idx="0">
                  <c:v>pl_histórico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BR_PL!$I$2:$I$31</c:f>
              <c:numCache>
                <c:formatCode>_(* #,##0.00_);_(* \(#,##0.00\);_(* "-"??_);_(@_)</c:formatCode>
                <c:ptCount val="30"/>
                <c:pt idx="0">
                  <c:v>32158789.281388003</c:v>
                </c:pt>
                <c:pt idx="1">
                  <c:v>28523403.806713387</c:v>
                </c:pt>
                <c:pt idx="2">
                  <c:v>28335324.963292494</c:v>
                </c:pt>
                <c:pt idx="3">
                  <c:v>28563392.876126599</c:v>
                </c:pt>
                <c:pt idx="4">
                  <c:v>25386196.158133533</c:v>
                </c:pt>
                <c:pt idx="5">
                  <c:v>28118820.314661663</c:v>
                </c:pt>
                <c:pt idx="6">
                  <c:v>28714352.88772523</c:v>
                </c:pt>
                <c:pt idx="7">
                  <c:v>28590413.940562293</c:v>
                </c:pt>
                <c:pt idx="8">
                  <c:v>33300127.635771088</c:v>
                </c:pt>
                <c:pt idx="9">
                  <c:v>38088084.457658403</c:v>
                </c:pt>
                <c:pt idx="10">
                  <c:v>43382241.387965843</c:v>
                </c:pt>
                <c:pt idx="11">
                  <c:v>51553847.017321505</c:v>
                </c:pt>
                <c:pt idx="12">
                  <c:v>58474912.436624207</c:v>
                </c:pt>
                <c:pt idx="13">
                  <c:v>68766813.935519889</c:v>
                </c:pt>
                <c:pt idx="14">
                  <c:v>73078884.265321746</c:v>
                </c:pt>
                <c:pt idx="15">
                  <c:v>102572127.25941372</c:v>
                </c:pt>
                <c:pt idx="16">
                  <c:v>107681211.32735547</c:v>
                </c:pt>
                <c:pt idx="17">
                  <c:v>107009236.61491106</c:v>
                </c:pt>
                <c:pt idx="18">
                  <c:v>103883579.67184807</c:v>
                </c:pt>
                <c:pt idx="19">
                  <c:v>94822901.229224086</c:v>
                </c:pt>
                <c:pt idx="20">
                  <c:v>79226082.009498551</c:v>
                </c:pt>
                <c:pt idx="21">
                  <c:v>75121771.40178813</c:v>
                </c:pt>
                <c:pt idx="22">
                  <c:v>78799323.094806805</c:v>
                </c:pt>
                <c:pt idx="23">
                  <c:v>81995383.59192951</c:v>
                </c:pt>
                <c:pt idx="24">
                  <c:v>83371446.243848249</c:v>
                </c:pt>
                <c:pt idx="25">
                  <c:v>86929864.821456775</c:v>
                </c:pt>
                <c:pt idx="26">
                  <c:v>91381795.483656406</c:v>
                </c:pt>
                <c:pt idx="27">
                  <c:v>57227875.536555082</c:v>
                </c:pt>
                <c:pt idx="28">
                  <c:v>60206853.7835695</c:v>
                </c:pt>
                <c:pt idx="29">
                  <c:v>59975533.565217301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8-45D5-A620-6271150A0AB7}"/>
            </c:ext>
          </c:extLst>
        </c:ser>
        <c:ser>
          <c:idx val="2"/>
          <c:order val="2"/>
          <c:tx>
            <c:strRef>
              <c:f>BR_PL!$J$1</c:f>
              <c:strCache>
                <c:ptCount val="1"/>
                <c:pt idx="0">
                  <c:v>pl_corrigido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BR_PL!$J$2:$J$31</c:f>
              <c:numCache>
                <c:formatCode>_(* #,##0.00_);_(* \(#,##0.00\);_(* "-"??_);_(@_)</c:formatCode>
                <c:ptCount val="30"/>
                <c:pt idx="0">
                  <c:v>33899923.871268064</c:v>
                </c:pt>
                <c:pt idx="1">
                  <c:v>30941880.130766749</c:v>
                </c:pt>
                <c:pt idx="2">
                  <c:v>31946829.734630991</c:v>
                </c:pt>
                <c:pt idx="3">
                  <c:v>31959434.446691569</c:v>
                </c:pt>
                <c:pt idx="4">
                  <c:v>52327441.66345273</c:v>
                </c:pt>
                <c:pt idx="5">
                  <c:v>51040981.530624934</c:v>
                </c:pt>
                <c:pt idx="6">
                  <c:v>36889683.521485351</c:v>
                </c:pt>
                <c:pt idx="7">
                  <c:v>39919767.746785223</c:v>
                </c:pt>
                <c:pt idx="8">
                  <c:v>47177430.118396871</c:v>
                </c:pt>
                <c:pt idx="9">
                  <c:v>53505048.748493545</c:v>
                </c:pt>
                <c:pt idx="10">
                  <c:v>59420370.100953281</c:v>
                </c:pt>
                <c:pt idx="11">
                  <c:v>66530225.889835887</c:v>
                </c:pt>
                <c:pt idx="12">
                  <c:v>73653774.996593222</c:v>
                </c:pt>
                <c:pt idx="13">
                  <c:v>86177478.467112094</c:v>
                </c:pt>
                <c:pt idx="14">
                  <c:v>90678178.788378745</c:v>
                </c:pt>
                <c:pt idx="15">
                  <c:v>122826523.56703337</c:v>
                </c:pt>
                <c:pt idx="16">
                  <c:v>132613458.90044424</c:v>
                </c:pt>
                <c:pt idx="17">
                  <c:v>133996818.93313935</c:v>
                </c:pt>
                <c:pt idx="18">
                  <c:v>134932471.08578536</c:v>
                </c:pt>
                <c:pt idx="19">
                  <c:v>129004816.59346819</c:v>
                </c:pt>
                <c:pt idx="20">
                  <c:v>112860210.07071877</c:v>
                </c:pt>
                <c:pt idx="21">
                  <c:v>104390828.15601265</c:v>
                </c:pt>
                <c:pt idx="22">
                  <c:v>102757140.21692748</c:v>
                </c:pt>
                <c:pt idx="23">
                  <c:v>104745867.22568877</c:v>
                </c:pt>
                <c:pt idx="24">
                  <c:v>105566044.66252741</c:v>
                </c:pt>
                <c:pt idx="25">
                  <c:v>104322970.76781435</c:v>
                </c:pt>
                <c:pt idx="26">
                  <c:v>106875627.39937079</c:v>
                </c:pt>
                <c:pt idx="27">
                  <c:v>99483872.666826159</c:v>
                </c:pt>
                <c:pt idx="28">
                  <c:v>89597386.240157649</c:v>
                </c:pt>
                <c:pt idx="29">
                  <c:v>83017683.008653596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8-45D5-A620-6271150A0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295183"/>
        <c:axId val="1534285103"/>
      </c:lineChart>
      <c:catAx>
        <c:axId val="15342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85103"/>
        <c:crosses val="autoZero"/>
        <c:auto val="1"/>
        <c:lblAlgn val="ctr"/>
        <c:lblOffset val="100"/>
        <c:noMultiLvlLbl val="0"/>
      </c:catAx>
      <c:valAx>
        <c:axId val="15342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9518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PSI-20 - Valor de Mercado, PL Histórico, PL Corrigido em </a:t>
            </a:r>
            <a:r>
              <a:rPr lang="pt-BR" sz="1400" b="0" i="0" u="none" strike="noStrike" baseline="0"/>
              <a:t>€$ (bilhão)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PT_PL!$M$1</c:f>
              <c:strCache>
                <c:ptCount val="1"/>
                <c:pt idx="0">
                  <c:v>valor_mercado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PT_PL!$L$2:$L$5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PT_PL!$M$2:$M$5</c:f>
              <c:numCache>
                <c:formatCode>_-* #,##0_-;\-* #,##0_-;_-* "-"??_-;_-@_-</c:formatCode>
                <c:ptCount val="4"/>
                <c:pt idx="0">
                  <c:v>4696731.7697694693</c:v>
                </c:pt>
                <c:pt idx="1">
                  <c:v>4508212.7234708853</c:v>
                </c:pt>
                <c:pt idx="2">
                  <c:v>4780059.359855067</c:v>
                </c:pt>
                <c:pt idx="3">
                  <c:v>3990575.3577186801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6-4C67-9B85-B119EF8BD3E3}"/>
            </c:ext>
          </c:extLst>
        </c:ser>
        <c:ser>
          <c:idx val="1"/>
          <c:order val="1"/>
          <c:tx>
            <c:strRef>
              <c:f>PT_PL!$N$1</c:f>
              <c:strCache>
                <c:ptCount val="1"/>
                <c:pt idx="0">
                  <c:v>pl_histórico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PT_PL!$L$2:$L$5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PT_PL!$N$2:$N$5</c:f>
              <c:numCache>
                <c:formatCode>_-* #,##0_-;\-* #,##0_-;_-* "-"??_-;_-@_-</c:formatCode>
                <c:ptCount val="4"/>
                <c:pt idx="0">
                  <c:v>2792431.0286137499</c:v>
                </c:pt>
                <c:pt idx="1">
                  <c:v>2680764.0610872856</c:v>
                </c:pt>
                <c:pt idx="2">
                  <c:v>2983339.6824611248</c:v>
                </c:pt>
                <c:pt idx="3">
                  <c:v>2992199.9401250002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6-4C67-9B85-B119EF8BD3E3}"/>
            </c:ext>
          </c:extLst>
        </c:ser>
        <c:ser>
          <c:idx val="2"/>
          <c:order val="2"/>
          <c:tx>
            <c:strRef>
              <c:f>PT_PL!$O$1</c:f>
              <c:strCache>
                <c:ptCount val="1"/>
                <c:pt idx="0">
                  <c:v>pl_corrigido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PT_PL!$L$2:$L$5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PT_PL!$O$2:$O$5</c:f>
              <c:numCache>
                <c:formatCode>_-* #,##0_-;\-* #,##0_-;_-* "-"??_-;_-@_-</c:formatCode>
                <c:ptCount val="4"/>
                <c:pt idx="0">
                  <c:v>2825665.2012226647</c:v>
                </c:pt>
                <c:pt idx="1">
                  <c:v>3117084.2064238819</c:v>
                </c:pt>
                <c:pt idx="2">
                  <c:v>3648717.0970169166</c:v>
                </c:pt>
                <c:pt idx="3">
                  <c:v>3782106.6578706596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6-4C67-9B85-B119EF8B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351823"/>
        <c:axId val="1534334543"/>
      </c:lineChart>
      <c:catAx>
        <c:axId val="15343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34543"/>
        <c:crosses val="autoZero"/>
        <c:auto val="1"/>
        <c:lblAlgn val="ctr"/>
        <c:lblOffset val="100"/>
        <c:noMultiLvlLbl val="0"/>
      </c:catAx>
      <c:valAx>
        <c:axId val="15343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5182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342898</xdr:colOff>
      <xdr:row>33</xdr:row>
      <xdr:rowOff>52387</xdr:rowOff>
    </xdr:from>
    <xdr:to>
      <xdr:col>5</xdr:col>
      <xdr:colOff>876299</xdr:colOff>
      <xdr:row>47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E8EDDA-CDAC-A14A-4781-668432AA2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8</xdr:row>
      <xdr:rowOff>138111</xdr:rowOff>
    </xdr:from>
    <xdr:to>
      <xdr:col>11</xdr:col>
      <xdr:colOff>390525</xdr:colOff>
      <xdr:row>23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6DE0141-E584-BA6D-CD69-311D4975C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8A69-BEDD-4F49-A216-FD0C53B37B32}">
  <dimension ref="A1:J33"/>
  <sheetViews>
    <sheetView showGridLines="0" tabSelected="1" topLeftCell="A10" workbookViewId="0">
      <selection activeCell="N14" sqref="N14"/>
    </sheetView>
  </sheetViews>
  <sheetFormatPr defaultRowHeight="15" x14ac:dyDescent="0.25"/>
  <cols>
    <col min="1" max="1" width="17.140625" customWidth="1"/>
    <col min="2" max="4" width="18" bestFit="1" customWidth="1"/>
    <col min="6" max="6" width="13.140625" bestFit="1" customWidth="1"/>
    <col min="8" max="8" width="26.42578125" bestFit="1" customWidth="1"/>
    <col min="9" max="9" width="19" bestFit="1" customWidth="1"/>
    <col min="10" max="10" width="17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0</v>
      </c>
      <c r="H1" s="10" t="s">
        <v>1</v>
      </c>
      <c r="I1" s="10" t="s">
        <v>9</v>
      </c>
      <c r="J1" s="10" t="s">
        <v>3</v>
      </c>
    </row>
    <row r="2" spans="1:10" x14ac:dyDescent="0.25">
      <c r="A2" s="4">
        <v>1995</v>
      </c>
      <c r="B2" s="5">
        <v>2179232.0288533298</v>
      </c>
      <c r="C2" s="5">
        <v>5635184.9709583297</v>
      </c>
      <c r="D2" s="5">
        <f>+D3</f>
        <v>5940284.0027488796</v>
      </c>
      <c r="E2" s="6"/>
      <c r="F2" s="7">
        <f>+((((((1+E3)*(1+E4)*(1+E5)*(1+E6)*(1+E7)*(1+E8)*(1+E9)*(1+E10)*(1+E11)*(1+E12)*(1+E13)*(1+E14)*(1+E15)*(1+E16)*(1+E17)*(1+E18)*(1+E19)*(1+E20)*(1+E21)*(1+E22)*(1+E23)*(1+E24)*(1+E25)*(1+E26)*(1+E27)*(1+E28)*(1+E29)*(1+E30)*(1+E31))-1))))</f>
        <v>4.7067850384898762</v>
      </c>
      <c r="G2" s="8">
        <f>+A2</f>
        <v>1995</v>
      </c>
      <c r="H2" s="9">
        <f>+B2*(100%+F2)</f>
        <v>12436408.737658121</v>
      </c>
      <c r="I2" s="9">
        <f t="shared" ref="I2:I29" si="0">+C2*(100%+F2)</f>
        <v>32158789.281388003</v>
      </c>
      <c r="J2" s="9">
        <f t="shared" ref="J2:J29" si="1">+D2*(100%+F2)</f>
        <v>33899923.871268064</v>
      </c>
    </row>
    <row r="3" spans="1:10" x14ac:dyDescent="0.25">
      <c r="A3" s="4">
        <v>1996</v>
      </c>
      <c r="B3" s="5">
        <v>3620725.7012279099</v>
      </c>
      <c r="C3" s="5">
        <v>5475980.0833333302</v>
      </c>
      <c r="D3" s="5">
        <v>5940284.0027488796</v>
      </c>
      <c r="E3" s="7">
        <v>9.5600000000000004E-2</v>
      </c>
      <c r="F3" s="7">
        <f t="shared" ref="F3:F30" si="2">+((((((1+E4)*(1+E5)*(1+E6)*(1+E7)*(1+E8)*(1+E9)*(1+E10)*(1+E11)*(1+E12)*(1+E13)*(1+E14)*(1+E15)*(1+E16)*(1+E17)*(1+E18)*(1+E19)*(1+E20)*(1+E21)*(1+E22)*(1+E23)*(1+E24)*(1+E25)*(1+E26)*(1+E27)*(1+E28)*(1+E29)*(1+E30)*(1+E31)*(1+E32))-1))))</f>
        <v>4.2088216853686333</v>
      </c>
      <c r="G3" s="4">
        <v>1996</v>
      </c>
      <c r="H3" s="9">
        <f t="shared" ref="H3:H29" si="3">+B3*(100%+F3)</f>
        <v>18859714.549327489</v>
      </c>
      <c r="I3" s="9">
        <f t="shared" si="0"/>
        <v>28523403.806713387</v>
      </c>
      <c r="J3" s="9">
        <f t="shared" si="1"/>
        <v>30941880.130766749</v>
      </c>
    </row>
    <row r="4" spans="1:10" x14ac:dyDescent="0.25">
      <c r="A4" s="4">
        <v>1997</v>
      </c>
      <c r="B4" s="5">
        <v>4851048.0119954096</v>
      </c>
      <c r="C4" s="5">
        <v>5723833.6666666605</v>
      </c>
      <c r="D4" s="5">
        <v>6453370.1242260505</v>
      </c>
      <c r="E4" s="7">
        <v>5.2200000000000003E-2</v>
      </c>
      <c r="F4" s="7">
        <f t="shared" si="2"/>
        <v>3.9504102693106198</v>
      </c>
      <c r="G4" s="4">
        <v>1997</v>
      </c>
      <c r="H4" s="9">
        <f t="shared" si="3"/>
        <v>24014677.895500943</v>
      </c>
      <c r="I4" s="9">
        <f t="shared" si="0"/>
        <v>28335324.963292494</v>
      </c>
      <c r="J4" s="9">
        <f t="shared" si="1"/>
        <v>31946829.734630991</v>
      </c>
    </row>
    <row r="5" spans="1:10" x14ac:dyDescent="0.25">
      <c r="A5" s="4">
        <v>1998</v>
      </c>
      <c r="B5" s="5">
        <v>2632626.6234729099</v>
      </c>
      <c r="C5" s="5">
        <v>5865684.5833333302</v>
      </c>
      <c r="D5" s="5">
        <v>6563084.5305738896</v>
      </c>
      <c r="E5" s="7">
        <v>1.66E-2</v>
      </c>
      <c r="F5" s="7">
        <f t="shared" si="2"/>
        <v>3.8695753190149711</v>
      </c>
      <c r="G5" s="4">
        <v>1998</v>
      </c>
      <c r="H5" s="9">
        <f t="shared" si="3"/>
        <v>12819773.629845401</v>
      </c>
      <c r="I5" s="9">
        <f t="shared" si="0"/>
        <v>28563392.876126599</v>
      </c>
      <c r="J5" s="9">
        <f t="shared" si="1"/>
        <v>31959434.446691569</v>
      </c>
    </row>
    <row r="6" spans="1:10" x14ac:dyDescent="0.25">
      <c r="A6" s="4">
        <v>1999</v>
      </c>
      <c r="B6" s="5">
        <v>7785233.6526991604</v>
      </c>
      <c r="C6" s="5">
        <v>5679288.2916666605</v>
      </c>
      <c r="D6" s="5">
        <v>11706465.392488601</v>
      </c>
      <c r="E6" s="7">
        <v>8.9399999999999993E-2</v>
      </c>
      <c r="F6" s="7">
        <f t="shared" si="2"/>
        <v>3.4699608215668913</v>
      </c>
      <c r="G6" s="4">
        <v>1999</v>
      </c>
      <c r="H6" s="9">
        <f t="shared" si="3"/>
        <v>34799689.414309353</v>
      </c>
      <c r="I6" s="9">
        <f t="shared" si="0"/>
        <v>25386196.158133533</v>
      </c>
      <c r="J6" s="9">
        <f t="shared" si="1"/>
        <v>52327441.66345273</v>
      </c>
    </row>
    <row r="7" spans="1:10" x14ac:dyDescent="0.25">
      <c r="A7" s="4">
        <v>2000</v>
      </c>
      <c r="B7" s="5">
        <v>8806667.2647404093</v>
      </c>
      <c r="C7" s="5">
        <v>6666168.9166666605</v>
      </c>
      <c r="D7" s="5">
        <v>12100358.4342476</v>
      </c>
      <c r="E7" s="7">
        <v>5.9700000000000003E-2</v>
      </c>
      <c r="F7" s="7">
        <f t="shared" si="2"/>
        <v>3.2181379839264785</v>
      </c>
      <c r="G7" s="4">
        <v>2000</v>
      </c>
      <c r="H7" s="9">
        <f t="shared" si="3"/>
        <v>37147737.701203428</v>
      </c>
      <c r="I7" s="9">
        <f t="shared" si="0"/>
        <v>28118820.314661663</v>
      </c>
      <c r="J7" s="9">
        <f t="shared" si="1"/>
        <v>51040981.530624934</v>
      </c>
    </row>
    <row r="8" spans="1:10" x14ac:dyDescent="0.25">
      <c r="A8" s="4">
        <v>2001</v>
      </c>
      <c r="B8" s="5">
        <v>9380842.0780845806</v>
      </c>
      <c r="C8" s="5">
        <v>7329476.625</v>
      </c>
      <c r="D8" s="5">
        <v>9416269.0739221592</v>
      </c>
      <c r="E8" s="7">
        <v>7.6700000000000004E-2</v>
      </c>
      <c r="F8" s="7">
        <f t="shared" si="2"/>
        <v>2.917653927673892</v>
      </c>
      <c r="G8" s="4">
        <v>2001</v>
      </c>
      <c r="H8" s="9">
        <f t="shared" si="3"/>
        <v>36750892.812096573</v>
      </c>
      <c r="I8" s="9">
        <f t="shared" si="0"/>
        <v>28714352.88772523</v>
      </c>
      <c r="J8" s="9">
        <f t="shared" si="1"/>
        <v>36889683.521485351</v>
      </c>
    </row>
    <row r="9" spans="1:10" x14ac:dyDescent="0.25">
      <c r="A9" s="4">
        <v>2002</v>
      </c>
      <c r="B9" s="5">
        <v>9803965.6515500005</v>
      </c>
      <c r="C9" s="5">
        <v>8212260.0416666605</v>
      </c>
      <c r="D9" s="5">
        <v>11466483.6340278</v>
      </c>
      <c r="E9" s="7">
        <v>0.12529999999999999</v>
      </c>
      <c r="F9" s="7">
        <f t="shared" si="2"/>
        <v>2.4814306653104876</v>
      </c>
      <c r="G9" s="4">
        <v>2002</v>
      </c>
      <c r="H9" s="9">
        <f t="shared" si="3"/>
        <v>34131826.660956889</v>
      </c>
      <c r="I9" s="9">
        <f t="shared" si="0"/>
        <v>28590413.940562293</v>
      </c>
      <c r="J9" s="9">
        <f t="shared" si="1"/>
        <v>39919767.746785223</v>
      </c>
    </row>
    <row r="10" spans="1:10" x14ac:dyDescent="0.25">
      <c r="A10" s="4">
        <v>2003</v>
      </c>
      <c r="B10" s="5">
        <v>16955389.252560802</v>
      </c>
      <c r="C10" s="5">
        <v>10454621.391304299</v>
      </c>
      <c r="D10" s="5">
        <v>14811419.8088759</v>
      </c>
      <c r="E10" s="7">
        <v>9.2999999999999999E-2</v>
      </c>
      <c r="F10" s="7">
        <f t="shared" si="2"/>
        <v>2.1852064641450037</v>
      </c>
      <c r="G10" s="4">
        <v>2003</v>
      </c>
      <c r="H10" s="9">
        <f t="shared" si="3"/>
        <v>54006415.449351393</v>
      </c>
      <c r="I10" s="9">
        <f t="shared" si="0"/>
        <v>33300127.635771088</v>
      </c>
      <c r="J10" s="9">
        <f t="shared" si="1"/>
        <v>47177430.118396871</v>
      </c>
    </row>
    <row r="11" spans="1:10" x14ac:dyDescent="0.25">
      <c r="A11" s="4">
        <v>2004</v>
      </c>
      <c r="B11" s="5">
        <v>22776272.789504301</v>
      </c>
      <c r="C11" s="5">
        <v>12866600.4347826</v>
      </c>
      <c r="D11" s="5">
        <v>18074631.299868599</v>
      </c>
      <c r="E11" s="7">
        <v>7.5999999999999998E-2</v>
      </c>
      <c r="F11" s="7">
        <f t="shared" si="2"/>
        <v>1.9602290558968427</v>
      </c>
      <c r="G11" s="4">
        <v>2004</v>
      </c>
      <c r="H11" s="9">
        <f t="shared" si="3"/>
        <v>67422984.496523261</v>
      </c>
      <c r="I11" s="9">
        <f t="shared" si="0"/>
        <v>38088084.457658403</v>
      </c>
      <c r="J11" s="9">
        <f t="shared" si="1"/>
        <v>53505048.748493545</v>
      </c>
    </row>
    <row r="12" spans="1:10" x14ac:dyDescent="0.25">
      <c r="A12" s="4">
        <v>2005</v>
      </c>
      <c r="B12" s="5">
        <v>31934185.449456502</v>
      </c>
      <c r="C12" s="5">
        <v>15488899.695652099</v>
      </c>
      <c r="D12" s="5">
        <v>21215043.827299699</v>
      </c>
      <c r="E12" s="7">
        <v>5.6899999999999999E-2</v>
      </c>
      <c r="F12" s="7">
        <f t="shared" si="2"/>
        <v>1.8008601153343196</v>
      </c>
      <c r="G12" s="4">
        <v>2005</v>
      </c>
      <c r="H12" s="9">
        <f t="shared" si="3"/>
        <v>89443186.341072291</v>
      </c>
      <c r="I12" s="9">
        <f t="shared" si="0"/>
        <v>43382241.387965843</v>
      </c>
      <c r="J12" s="9">
        <f t="shared" si="1"/>
        <v>59420370.100953281</v>
      </c>
    </row>
    <row r="13" spans="1:10" x14ac:dyDescent="0.25">
      <c r="A13" s="4">
        <v>2006</v>
      </c>
      <c r="B13" s="5">
        <v>44086669.185156502</v>
      </c>
      <c r="C13" s="5">
        <v>18984396.086956501</v>
      </c>
      <c r="D13" s="5">
        <v>24499358.1104232</v>
      </c>
      <c r="E13" s="7">
        <v>3.1399999999999997E-2</v>
      </c>
      <c r="F13" s="7">
        <f t="shared" si="2"/>
        <v>1.7155905713925925</v>
      </c>
      <c r="G13" s="4">
        <v>2006</v>
      </c>
      <c r="H13" s="9">
        <f t="shared" si="3"/>
        <v>119721343.16331534</v>
      </c>
      <c r="I13" s="9">
        <f t="shared" si="0"/>
        <v>51553847.017321505</v>
      </c>
      <c r="J13" s="9">
        <f t="shared" si="1"/>
        <v>66530225.889835887</v>
      </c>
    </row>
    <row r="14" spans="1:10" x14ac:dyDescent="0.25">
      <c r="A14" s="4">
        <v>2007</v>
      </c>
      <c r="B14" s="5">
        <v>72224899.1558</v>
      </c>
      <c r="C14" s="5">
        <v>22493410.521739099</v>
      </c>
      <c r="D14" s="5">
        <v>28332228.787341099</v>
      </c>
      <c r="E14" s="7">
        <v>4.4600000000000001E-2</v>
      </c>
      <c r="F14" s="7">
        <f t="shared" si="2"/>
        <v>1.5996463444309716</v>
      </c>
      <c r="G14" s="4">
        <v>2007</v>
      </c>
      <c r="H14" s="9">
        <f t="shared" si="3"/>
        <v>187759195.06727105</v>
      </c>
      <c r="I14" s="9">
        <f t="shared" si="0"/>
        <v>58474912.436624207</v>
      </c>
      <c r="J14" s="9">
        <f t="shared" si="1"/>
        <v>73653774.996593222</v>
      </c>
    </row>
    <row r="15" spans="1:10" x14ac:dyDescent="0.25">
      <c r="A15" s="4">
        <v>2008</v>
      </c>
      <c r="B15" s="5">
        <v>40530413.105779096</v>
      </c>
      <c r="C15" s="5">
        <v>28013062.666666601</v>
      </c>
      <c r="D15" s="5">
        <v>35105524.985033199</v>
      </c>
      <c r="E15" s="7">
        <v>5.8999999999999997E-2</v>
      </c>
      <c r="F15" s="7">
        <f t="shared" si="2"/>
        <v>1.4548124121161208</v>
      </c>
      <c r="G15" s="4">
        <v>2008</v>
      </c>
      <c r="H15" s="9">
        <f t="shared" si="3"/>
        <v>99494561.160260424</v>
      </c>
      <c r="I15" s="9">
        <f t="shared" si="0"/>
        <v>68766813.935519889</v>
      </c>
      <c r="J15" s="9">
        <f t="shared" si="1"/>
        <v>86177478.467112094</v>
      </c>
    </row>
    <row r="16" spans="1:10" x14ac:dyDescent="0.25">
      <c r="A16" s="4">
        <v>2009</v>
      </c>
      <c r="B16" s="5">
        <v>66562814.213358298</v>
      </c>
      <c r="C16" s="5">
        <v>31052712.541666601</v>
      </c>
      <c r="D16" s="5">
        <v>38531012.727209397</v>
      </c>
      <c r="E16" s="7">
        <v>4.3099999999999999E-2</v>
      </c>
      <c r="F16" s="7">
        <f t="shared" si="2"/>
        <v>1.3533816624639261</v>
      </c>
      <c r="G16" s="4">
        <v>2009</v>
      </c>
      <c r="H16" s="9">
        <f t="shared" si="3"/>
        <v>156647706.3717106</v>
      </c>
      <c r="I16" s="9">
        <f t="shared" si="0"/>
        <v>73078884.265321746</v>
      </c>
      <c r="J16" s="9">
        <f t="shared" si="1"/>
        <v>90678178.788378745</v>
      </c>
    </row>
    <row r="17" spans="1:10" x14ac:dyDescent="0.25">
      <c r="A17" s="4">
        <v>2010</v>
      </c>
      <c r="B17" s="5">
        <v>73339000.093454093</v>
      </c>
      <c r="C17" s="5">
        <v>46160867.875</v>
      </c>
      <c r="D17" s="5">
        <v>55276019.688896999</v>
      </c>
      <c r="E17" s="7">
        <v>5.91E-2</v>
      </c>
      <c r="F17" s="7">
        <f t="shared" si="2"/>
        <v>1.2220580327296049</v>
      </c>
      <c r="G17" s="4">
        <v>2010</v>
      </c>
      <c r="H17" s="9">
        <f t="shared" si="3"/>
        <v>162963514.27001691</v>
      </c>
      <c r="I17" s="9">
        <f t="shared" si="0"/>
        <v>102572127.25941372</v>
      </c>
      <c r="J17" s="9">
        <f t="shared" si="1"/>
        <v>122826523.56703337</v>
      </c>
    </row>
    <row r="18" spans="1:10" x14ac:dyDescent="0.25">
      <c r="A18" s="4">
        <v>2011</v>
      </c>
      <c r="B18" s="5">
        <v>61442819.576658301</v>
      </c>
      <c r="C18" s="5">
        <v>51610033.75</v>
      </c>
      <c r="D18" s="5">
        <v>63559696.303466998</v>
      </c>
      <c r="E18" s="7">
        <v>6.5000000000000002E-2</v>
      </c>
      <c r="F18" s="7">
        <f t="shared" si="2"/>
        <v>1.086439467351743</v>
      </c>
      <c r="G18" s="4">
        <v>2011</v>
      </c>
      <c r="H18" s="9">
        <f t="shared" si="3"/>
        <v>128196723.75011219</v>
      </c>
      <c r="I18" s="9">
        <f t="shared" si="0"/>
        <v>107681211.32735547</v>
      </c>
      <c r="J18" s="9">
        <f t="shared" si="1"/>
        <v>132613458.90044424</v>
      </c>
    </row>
    <row r="19" spans="1:10" x14ac:dyDescent="0.25">
      <c r="A19" s="4">
        <v>2012</v>
      </c>
      <c r="B19" s="5">
        <v>64714959.863954097</v>
      </c>
      <c r="C19" s="5">
        <v>54283183.291666597</v>
      </c>
      <c r="D19" s="5">
        <v>67973327.469138399</v>
      </c>
      <c r="E19" s="7">
        <v>5.8400000000000001E-2</v>
      </c>
      <c r="F19" s="7">
        <f t="shared" si="2"/>
        <v>0.97131468948577337</v>
      </c>
      <c r="G19" s="4">
        <v>2012</v>
      </c>
      <c r="H19" s="9">
        <f t="shared" si="3"/>
        <v>127573551.00929496</v>
      </c>
      <c r="I19" s="9">
        <f t="shared" si="0"/>
        <v>107009236.61491106</v>
      </c>
      <c r="J19" s="9">
        <f t="shared" si="1"/>
        <v>133996818.93313935</v>
      </c>
    </row>
    <row r="20" spans="1:10" x14ac:dyDescent="0.25">
      <c r="A20" s="4">
        <v>2013</v>
      </c>
      <c r="B20" s="5">
        <v>62350593.764539897</v>
      </c>
      <c r="C20" s="5">
        <v>55812042.5</v>
      </c>
      <c r="D20" s="5">
        <v>72493235.549435899</v>
      </c>
      <c r="E20" s="7">
        <v>5.91E-2</v>
      </c>
      <c r="F20" s="7">
        <f t="shared" si="2"/>
        <v>0.86131119770160836</v>
      </c>
      <c r="G20" s="4">
        <v>2013</v>
      </c>
      <c r="H20" s="9">
        <f t="shared" si="3"/>
        <v>116053858.35728219</v>
      </c>
      <c r="I20" s="9">
        <f t="shared" si="0"/>
        <v>103883579.67184807</v>
      </c>
      <c r="J20" s="9">
        <f t="shared" si="1"/>
        <v>134932471.08578536</v>
      </c>
    </row>
    <row r="21" spans="1:10" x14ac:dyDescent="0.25">
      <c r="A21" s="4">
        <v>2014</v>
      </c>
      <c r="B21" s="5">
        <v>54124942.510507502</v>
      </c>
      <c r="C21" s="5">
        <v>54209661.083333299</v>
      </c>
      <c r="D21" s="5">
        <v>73751248.854366094</v>
      </c>
      <c r="E21" s="7">
        <v>6.4100000000000004E-2</v>
      </c>
      <c r="F21" s="7">
        <f t="shared" si="2"/>
        <v>0.74918823202857632</v>
      </c>
      <c r="G21" s="4">
        <v>2014</v>
      </c>
      <c r="H21" s="9">
        <f t="shared" si="3"/>
        <v>94674712.498602957</v>
      </c>
      <c r="I21" s="9">
        <f t="shared" si="0"/>
        <v>94822901.229224086</v>
      </c>
      <c r="J21" s="9">
        <f t="shared" si="1"/>
        <v>129004816.59346819</v>
      </c>
    </row>
    <row r="22" spans="1:10" x14ac:dyDescent="0.25">
      <c r="A22" s="4">
        <v>2015</v>
      </c>
      <c r="B22" s="5">
        <v>45942663.025422901</v>
      </c>
      <c r="C22" s="4">
        <v>50125826</v>
      </c>
      <c r="D22" s="5">
        <v>71405919.727925494</v>
      </c>
      <c r="E22" s="7">
        <v>0.1067</v>
      </c>
      <c r="F22" s="7">
        <f t="shared" si="2"/>
        <v>0.58054416917735296</v>
      </c>
      <c r="G22" s="4">
        <v>2015</v>
      </c>
      <c r="H22" s="9">
        <f t="shared" si="3"/>
        <v>72614408.161312133</v>
      </c>
      <c r="I22" s="9">
        <f t="shared" si="0"/>
        <v>79226082.009498551</v>
      </c>
      <c r="J22" s="9">
        <f t="shared" si="1"/>
        <v>112860210.07071877</v>
      </c>
    </row>
    <row r="23" spans="1:10" x14ac:dyDescent="0.25">
      <c r="A23" s="4">
        <v>2016</v>
      </c>
      <c r="B23" s="5">
        <v>66358929.086185001</v>
      </c>
      <c r="C23" s="4">
        <v>50518633</v>
      </c>
      <c r="D23" s="5">
        <v>70201778.229821399</v>
      </c>
      <c r="E23" s="7">
        <v>6.2899999999999998E-2</v>
      </c>
      <c r="F23" s="7">
        <f t="shared" si="2"/>
        <v>0.48701116678648315</v>
      </c>
      <c r="G23" s="4">
        <v>2016</v>
      </c>
      <c r="H23" s="9">
        <f t="shared" si="3"/>
        <v>98676468.567149445</v>
      </c>
      <c r="I23" s="9">
        <f t="shared" si="0"/>
        <v>75121771.40178813</v>
      </c>
      <c r="J23" s="9">
        <f t="shared" si="1"/>
        <v>104390828.15601265</v>
      </c>
    </row>
    <row r="24" spans="1:10" x14ac:dyDescent="0.25">
      <c r="A24" s="4">
        <v>2017</v>
      </c>
      <c r="B24" s="5">
        <v>83325342.403699994</v>
      </c>
      <c r="C24" s="4">
        <v>54555006</v>
      </c>
      <c r="D24" s="5">
        <v>71141682.198622495</v>
      </c>
      <c r="E24" s="7">
        <v>2.9499999999999998E-2</v>
      </c>
      <c r="F24" s="7">
        <f t="shared" si="2"/>
        <v>0.44440132762164497</v>
      </c>
      <c r="G24" s="4">
        <v>2017</v>
      </c>
      <c r="H24" s="9">
        <f t="shared" si="3"/>
        <v>120355235.19243242</v>
      </c>
      <c r="I24" s="9">
        <f t="shared" si="0"/>
        <v>78799323.094806805</v>
      </c>
      <c r="J24" s="9">
        <f t="shared" si="1"/>
        <v>102757140.21692748</v>
      </c>
    </row>
    <row r="25" spans="1:10" x14ac:dyDescent="0.25">
      <c r="A25" s="4">
        <v>2018</v>
      </c>
      <c r="B25" s="5">
        <v>98675954.706558302</v>
      </c>
      <c r="C25" s="5">
        <v>58896519.166666597</v>
      </c>
      <c r="D25" s="5">
        <v>75237979.340267405</v>
      </c>
      <c r="E25" s="7">
        <v>3.7499999999999999E-2</v>
      </c>
      <c r="F25" s="7">
        <f t="shared" si="2"/>
        <v>0.39219405071965729</v>
      </c>
      <c r="G25" s="4">
        <v>2018</v>
      </c>
      <c r="H25" s="9">
        <f t="shared" si="3"/>
        <v>137376077.09155282</v>
      </c>
      <c r="I25" s="9">
        <f t="shared" si="0"/>
        <v>81995383.59192951</v>
      </c>
      <c r="J25" s="9">
        <f t="shared" si="1"/>
        <v>104745867.22568877</v>
      </c>
    </row>
    <row r="26" spans="1:10" x14ac:dyDescent="0.25">
      <c r="A26" s="4">
        <v>2019</v>
      </c>
      <c r="B26" s="5">
        <v>125149357.683183</v>
      </c>
      <c r="C26" s="5">
        <v>62465972.708333299</v>
      </c>
      <c r="D26" s="5">
        <v>79095253.374025598</v>
      </c>
      <c r="E26" s="7">
        <v>4.3099999999999999E-2</v>
      </c>
      <c r="F26" s="7">
        <f t="shared" si="2"/>
        <v>0.33466978306936768</v>
      </c>
      <c r="G26" s="4">
        <v>2019</v>
      </c>
      <c r="H26" s="9">
        <f t="shared" si="3"/>
        <v>167033066.07028455</v>
      </c>
      <c r="I26" s="9">
        <f t="shared" si="0"/>
        <v>83371446.243848249</v>
      </c>
      <c r="J26" s="9">
        <f t="shared" si="1"/>
        <v>105566044.66252741</v>
      </c>
    </row>
    <row r="27" spans="1:10" x14ac:dyDescent="0.25">
      <c r="A27" s="4">
        <v>2020</v>
      </c>
      <c r="B27" s="5">
        <v>133406528.283204</v>
      </c>
      <c r="C27" s="5">
        <v>68076085.833333299</v>
      </c>
      <c r="D27" s="5">
        <v>81696888.945639998</v>
      </c>
      <c r="E27" s="7">
        <v>4.5199999999999997E-2</v>
      </c>
      <c r="F27" s="7">
        <f t="shared" si="2"/>
        <v>0.27695157201432052</v>
      </c>
      <c r="G27" s="4">
        <v>2020</v>
      </c>
      <c r="H27" s="9">
        <f t="shared" si="3"/>
        <v>170353676.00821027</v>
      </c>
      <c r="I27" s="9">
        <f t="shared" si="0"/>
        <v>86929864.821456775</v>
      </c>
      <c r="J27" s="9">
        <f t="shared" si="1"/>
        <v>104322970.76781435</v>
      </c>
    </row>
    <row r="28" spans="1:10" x14ac:dyDescent="0.25">
      <c r="A28" s="4">
        <v>2021</v>
      </c>
      <c r="B28" s="5">
        <v>118109867.793291</v>
      </c>
      <c r="C28" s="5">
        <v>78761643.208333299</v>
      </c>
      <c r="D28" s="5">
        <v>92115721.608922794</v>
      </c>
      <c r="E28" s="7">
        <v>0.10059999999999999</v>
      </c>
      <c r="F28" s="7">
        <f t="shared" si="2"/>
        <v>0.16023221153400025</v>
      </c>
      <c r="G28" s="4">
        <v>2021</v>
      </c>
      <c r="H28" s="9">
        <f t="shared" si="3"/>
        <v>137034873.11379841</v>
      </c>
      <c r="I28" s="9">
        <f t="shared" si="0"/>
        <v>91381795.483656406</v>
      </c>
      <c r="J28" s="9">
        <f t="shared" si="1"/>
        <v>106875627.39937079</v>
      </c>
    </row>
    <row r="29" spans="1:10" x14ac:dyDescent="0.25">
      <c r="A29" s="4">
        <v>2022</v>
      </c>
      <c r="B29" s="5">
        <v>90414050.083499804</v>
      </c>
      <c r="C29" s="5">
        <v>52180390.208333299</v>
      </c>
      <c r="D29" s="5">
        <v>90709418.207831994</v>
      </c>
      <c r="E29" s="7">
        <v>5.79E-2</v>
      </c>
      <c r="F29" s="7">
        <f t="shared" si="2"/>
        <v>9.6731459999999991E-2</v>
      </c>
      <c r="G29" s="4">
        <v>2022</v>
      </c>
      <c r="H29" s="9">
        <f t="shared" si="3"/>
        <v>99159933.152589858</v>
      </c>
      <c r="I29" s="9">
        <f t="shared" si="0"/>
        <v>57227875.536555082</v>
      </c>
      <c r="J29" s="9">
        <f t="shared" si="1"/>
        <v>99483872.666826159</v>
      </c>
    </row>
    <row r="30" spans="1:10" x14ac:dyDescent="0.25">
      <c r="A30" s="4">
        <v>2023</v>
      </c>
      <c r="B30" s="5">
        <v>118125730.826112</v>
      </c>
      <c r="C30" s="5">
        <v>57432847.260869503</v>
      </c>
      <c r="D30" s="5">
        <v>85469222.779889002</v>
      </c>
      <c r="E30" s="7">
        <v>4.6199999999999998E-2</v>
      </c>
      <c r="F30" s="7">
        <f t="shared" si="2"/>
        <v>4.830000000000001E-2</v>
      </c>
      <c r="G30" s="4">
        <v>2023</v>
      </c>
      <c r="H30" s="9">
        <f>+B30*(100%+F30)</f>
        <v>123831203.62501322</v>
      </c>
      <c r="I30" s="9">
        <f>+C30*(100%+F30)</f>
        <v>60206853.7835695</v>
      </c>
      <c r="J30" s="9">
        <f>+D30*(100%+F30)</f>
        <v>89597386.240157649</v>
      </c>
    </row>
    <row r="31" spans="1:10" x14ac:dyDescent="0.25">
      <c r="A31" s="4">
        <v>2024</v>
      </c>
      <c r="B31" s="5">
        <v>119259307.171857</v>
      </c>
      <c r="C31" s="5">
        <v>59975533.565217301</v>
      </c>
      <c r="D31" s="5">
        <v>83017683.008653596</v>
      </c>
      <c r="E31" s="7">
        <v>4.8300000000000003E-2</v>
      </c>
      <c r="F31" s="7">
        <f>+((((((1+E32)*(1+E33)*(1+E34)*(1+E35)*(1+E36)*(1+E37)*(1+E38)*(1+E39)*(1+E40)*(1+E41)*(1+E42)*(1+E43)*(1+E44)*(1+E45)*(1+E46)*(1+E47)*(1+E48)*(1+E49)*(1+E50)*(1+E51)*(1+E52)*(1+E53)*(1+E54)*(1+E55)*(1+E56)*(1+E57)*(1+E58)*(1+E59)*(1+E60))-1))))</f>
        <v>0</v>
      </c>
      <c r="G31" s="4">
        <v>2024</v>
      </c>
      <c r="H31" s="9">
        <f>+B31*(100%+F31)</f>
        <v>119259307.171857</v>
      </c>
      <c r="I31" s="9">
        <f>+C31*(100%+F31)</f>
        <v>59975533.565217301</v>
      </c>
      <c r="J31" s="9">
        <f>+D31*(100%+F31)</f>
        <v>83017683.008653596</v>
      </c>
    </row>
    <row r="32" spans="1:10" x14ac:dyDescent="0.25">
      <c r="H32" s="1"/>
      <c r="I32" s="1"/>
      <c r="J32" s="1"/>
    </row>
    <row r="33" spans="8:10" x14ac:dyDescent="0.25">
      <c r="H33" s="1"/>
      <c r="I33" s="1"/>
      <c r="J33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1892-AB18-47E0-B204-02FD3EB6C1B7}">
  <dimension ref="A1:O6"/>
  <sheetViews>
    <sheetView showGridLines="0" workbookViewId="0">
      <selection activeCell="C19" sqref="C19"/>
    </sheetView>
  </sheetViews>
  <sheetFormatPr defaultRowHeight="15" x14ac:dyDescent="0.25"/>
  <cols>
    <col min="2" max="2" width="18" bestFit="1" customWidth="1"/>
    <col min="3" max="3" width="14.85546875" bestFit="1" customWidth="1"/>
    <col min="4" max="5" width="18" bestFit="1" customWidth="1"/>
    <col min="6" max="6" width="11.7109375" bestFit="1" customWidth="1"/>
    <col min="8" max="10" width="16.85546875" bestFit="1" customWidth="1"/>
    <col min="11" max="11" width="16.85546875" customWidth="1"/>
    <col min="13" max="15" width="18" bestFit="1" customWidth="1"/>
  </cols>
  <sheetData>
    <row r="1" spans="1:15" x14ac:dyDescent="0.25">
      <c r="A1" s="10" t="s">
        <v>0</v>
      </c>
      <c r="B1" s="10" t="s">
        <v>1</v>
      </c>
      <c r="C1" s="10" t="s">
        <v>5</v>
      </c>
      <c r="D1" s="10" t="s">
        <v>3</v>
      </c>
      <c r="E1" s="10" t="s">
        <v>7</v>
      </c>
      <c r="F1" s="10" t="s">
        <v>8</v>
      </c>
      <c r="G1" s="10" t="s">
        <v>0</v>
      </c>
      <c r="H1" s="10" t="s">
        <v>1</v>
      </c>
      <c r="I1" s="10" t="s">
        <v>9</v>
      </c>
      <c r="J1" s="10" t="s">
        <v>3</v>
      </c>
      <c r="K1" s="13"/>
      <c r="L1" s="10" t="s">
        <v>0</v>
      </c>
      <c r="M1" s="10" t="s">
        <v>1</v>
      </c>
      <c r="N1" s="10" t="s">
        <v>9</v>
      </c>
      <c r="O1" s="10" t="s">
        <v>3</v>
      </c>
    </row>
    <row r="2" spans="1:15" x14ac:dyDescent="0.25">
      <c r="A2" s="4">
        <v>2021</v>
      </c>
      <c r="B2" s="5">
        <v>4028822953.1395102</v>
      </c>
      <c r="C2" s="5">
        <v>2395327383.9375</v>
      </c>
      <c r="D2" s="5">
        <v>2423835419.7374601</v>
      </c>
      <c r="E2" s="11">
        <v>1.2999999999999999E-2</v>
      </c>
      <c r="F2" s="11">
        <f>+((((((1+E3)*(1+E4)*(1+E5)*(1+E6)*(1+E7)*(1+E8)*(1+E9)*(1+E10)*(1+E11)*(1+E12)*(1+E13)*(1+E14)*(1+E15)*(1+E16)*(1+E17)*(1+E18)*(1+E19)*(1+E20)*(1+E21)*(1+E22)*(1+E23)*(1+E24)*(1+E25)*(1+E26)*(1+E27)*(1+E28)*(1+E29)*(1+E30)*(1+E31))-1))))</f>
        <v>0.16578261799999994</v>
      </c>
      <c r="G2" s="8">
        <f>+A2</f>
        <v>2021</v>
      </c>
      <c r="H2" s="9">
        <f>+B2*(100%+F2)</f>
        <v>4696731769.7694693</v>
      </c>
      <c r="I2" s="9">
        <f>+C2*(100%+F2)</f>
        <v>2792431028.61375</v>
      </c>
      <c r="J2" s="9">
        <f>+D2*(100%+F2)</f>
        <v>2825665201.2226648</v>
      </c>
      <c r="K2" s="14"/>
      <c r="L2" s="8">
        <f>+G2</f>
        <v>2021</v>
      </c>
      <c r="M2" s="12">
        <f t="shared" ref="M2:O5" si="0">+H2/1000</f>
        <v>4696731.7697694693</v>
      </c>
      <c r="N2" s="12">
        <f t="shared" si="0"/>
        <v>2792431.0286137499</v>
      </c>
      <c r="O2" s="12">
        <f t="shared" si="0"/>
        <v>2825665.2012226647</v>
      </c>
    </row>
    <row r="3" spans="1:15" x14ac:dyDescent="0.25">
      <c r="A3" s="4">
        <v>2022</v>
      </c>
      <c r="B3" s="5">
        <v>4168747449.8797302</v>
      </c>
      <c r="C3" s="5">
        <v>2478904397.125</v>
      </c>
      <c r="D3" s="5">
        <v>2882369939.85181</v>
      </c>
      <c r="E3" s="11">
        <v>7.8E-2</v>
      </c>
      <c r="F3" s="11">
        <f>+((((((1+E4)*(1+E5)*(1+E6)*(1+E7)*(1+E8)*(1+E9)*(1+E10)*(1+E11)*(1+E12)*(1+E13)*(1+E14)*(1+E15)*(1+E16)*(1+E17)*(1+E18)*(1+E19)*(1+E20)*(1+E21)*(1+E22)*(1+E23)*(1+E24)*(1+E25)*(1+E26)*(1+E27)*(1+E28)*(1+E29)*(1+E30)*(1+E31)*(1+E32))-1))))</f>
        <v>8.1430999999999809E-2</v>
      </c>
      <c r="G3" s="8">
        <f>+A3</f>
        <v>2022</v>
      </c>
      <c r="H3" s="9">
        <f>+B3*(100%+F3)</f>
        <v>4508212723.4708853</v>
      </c>
      <c r="I3" s="9">
        <f>+C3*(100%+F3)</f>
        <v>2680764061.0872855</v>
      </c>
      <c r="J3" s="9">
        <f>+D3*(100%+F3)</f>
        <v>3117084206.423882</v>
      </c>
      <c r="K3" s="14"/>
      <c r="L3" s="8">
        <f t="shared" ref="L3:L5" si="1">+G3</f>
        <v>2022</v>
      </c>
      <c r="M3" s="12">
        <f t="shared" si="0"/>
        <v>4508212.7234708853</v>
      </c>
      <c r="N3" s="12">
        <f t="shared" si="0"/>
        <v>2680764.0610872856</v>
      </c>
      <c r="O3" s="12">
        <f t="shared" si="0"/>
        <v>3117084.2064238819</v>
      </c>
    </row>
    <row r="4" spans="1:15" x14ac:dyDescent="0.25">
      <c r="A4" s="4">
        <v>2023</v>
      </c>
      <c r="B4" s="5">
        <v>4654390808.0380402</v>
      </c>
      <c r="C4" s="5">
        <v>2904907188.375</v>
      </c>
      <c r="D4" s="5">
        <v>3552791720.5617499</v>
      </c>
      <c r="E4" s="11">
        <v>5.2999999999999999E-2</v>
      </c>
      <c r="F4" s="11">
        <f>+((((((1+E5)*(1+E6)*(1+E7)*(1+E8)*(1+E9)*(1+E10)*(1+E11)*(1+E12)*(1+E13)*(1+E14)*(1+E15)*(1+E16)*(1+E17)*(1+E18)*(1+E19)*(1+E20)*(1+E21)*(1+E22)*(1+E23)*(1+E24)*(1+E25)*(1+E26)*(1+E27)*(1+E28)*(1+E29)*(1+E30)*(1+E31)*(1+E32)*(1+E33))-1))))</f>
        <v>2.6999999999999913E-2</v>
      </c>
      <c r="G4" s="8">
        <f>+A4</f>
        <v>2023</v>
      </c>
      <c r="H4" s="9">
        <f>+B4*(100%+F4)</f>
        <v>4780059359.8550673</v>
      </c>
      <c r="I4" s="9">
        <f>+C4*(100%+F4)</f>
        <v>2983339682.4611249</v>
      </c>
      <c r="J4" s="9">
        <f>+D4*(100%+F4)</f>
        <v>3648717097.0169168</v>
      </c>
      <c r="K4" s="14"/>
      <c r="L4" s="8">
        <f t="shared" si="1"/>
        <v>2023</v>
      </c>
      <c r="M4" s="12">
        <f t="shared" si="0"/>
        <v>4780059.359855067</v>
      </c>
      <c r="N4" s="12">
        <f t="shared" si="0"/>
        <v>2983339.6824611248</v>
      </c>
      <c r="O4" s="12">
        <f t="shared" si="0"/>
        <v>3648717.0970169166</v>
      </c>
    </row>
    <row r="5" spans="1:15" x14ac:dyDescent="0.25">
      <c r="A5" s="4">
        <v>2024</v>
      </c>
      <c r="B5" s="5">
        <v>3990575357.7186799</v>
      </c>
      <c r="C5" s="5">
        <v>2992199940.125</v>
      </c>
      <c r="D5" s="5">
        <v>3782106657.8706598</v>
      </c>
      <c r="E5" s="11">
        <v>2.7E-2</v>
      </c>
      <c r="F5" s="11">
        <f>+((((((1+E6)*(1+E7)*(1+E8)*(1+E9)*(1+E10)*(1+E11)*(1+E12)*(1+E13)*(1+E14)*(1+E15)*(1+E16)*(1+E17)*(1+E18)*(1+E19)*(1+E20)*(1+E21)*(1+E22)*(1+E23)*(1+E24)*(1+E25)*(1+E26)*(1+E27)*(1+E28)*(1+E29)*(1+E30)*(1+E31)*(1+E32)*(1+E33)*(1+E34))-1))))</f>
        <v>0</v>
      </c>
      <c r="G5" s="8">
        <f>+A5</f>
        <v>2024</v>
      </c>
      <c r="H5" s="9">
        <f>+B5*(100%+F5)</f>
        <v>3990575357.7186799</v>
      </c>
      <c r="I5" s="9">
        <f>+C5*(100%+F5)</f>
        <v>2992199940.125</v>
      </c>
      <c r="J5" s="9">
        <f>+D5*(100%+F5)</f>
        <v>3782106657.8706598</v>
      </c>
      <c r="K5" s="14"/>
      <c r="L5" s="8">
        <f t="shared" si="1"/>
        <v>2024</v>
      </c>
      <c r="M5" s="12">
        <f t="shared" si="0"/>
        <v>3990575.3577186801</v>
      </c>
      <c r="N5" s="12">
        <f t="shared" si="0"/>
        <v>2992199.9401250002</v>
      </c>
      <c r="O5" s="12">
        <f t="shared" si="0"/>
        <v>3782106.6578706596</v>
      </c>
    </row>
    <row r="6" spans="1:15" x14ac:dyDescent="0.25">
      <c r="H6" s="1"/>
      <c r="I6" s="1"/>
      <c r="J6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F9B5-E84D-4FD5-8215-B7B70A3DFAE7}">
  <dimension ref="A1:C31"/>
  <sheetViews>
    <sheetView showGridLines="0" workbookViewId="0">
      <selection activeCell="I31" sqref="I31"/>
    </sheetView>
  </sheetViews>
  <sheetFormatPr defaultRowHeight="15" x14ac:dyDescent="0.25"/>
  <sheetData>
    <row r="1" spans="1:3" x14ac:dyDescent="0.25">
      <c r="B1" t="s">
        <v>10</v>
      </c>
      <c r="C1" t="s">
        <v>11</v>
      </c>
    </row>
    <row r="2" spans="1:3" x14ac:dyDescent="0.25">
      <c r="A2">
        <v>1995</v>
      </c>
      <c r="B2" s="2">
        <v>4.7067850384898762</v>
      </c>
    </row>
    <row r="3" spans="1:3" x14ac:dyDescent="0.25">
      <c r="A3">
        <v>1996</v>
      </c>
      <c r="B3" s="2">
        <v>4.2088216853686333</v>
      </c>
    </row>
    <row r="4" spans="1:3" x14ac:dyDescent="0.25">
      <c r="A4">
        <v>1997</v>
      </c>
      <c r="B4" s="2">
        <v>3.9504102693106198</v>
      </c>
    </row>
    <row r="5" spans="1:3" x14ac:dyDescent="0.25">
      <c r="A5">
        <v>1998</v>
      </c>
      <c r="B5" s="2">
        <v>3.8695753190149711</v>
      </c>
    </row>
    <row r="6" spans="1:3" x14ac:dyDescent="0.25">
      <c r="A6">
        <v>1999</v>
      </c>
      <c r="B6" s="2">
        <v>3.4699608215668913</v>
      </c>
    </row>
    <row r="7" spans="1:3" x14ac:dyDescent="0.25">
      <c r="A7">
        <v>2000</v>
      </c>
      <c r="B7" s="2">
        <v>3.2181379839264785</v>
      </c>
    </row>
    <row r="8" spans="1:3" x14ac:dyDescent="0.25">
      <c r="A8">
        <v>2001</v>
      </c>
      <c r="B8" s="2">
        <v>2.917653927673892</v>
      </c>
    </row>
    <row r="9" spans="1:3" x14ac:dyDescent="0.25">
      <c r="A9">
        <v>2002</v>
      </c>
      <c r="B9" s="2">
        <v>2.4814306653104876</v>
      </c>
    </row>
    <row r="10" spans="1:3" x14ac:dyDescent="0.25">
      <c r="A10">
        <v>2003</v>
      </c>
      <c r="B10" s="2">
        <v>2.1852064641450037</v>
      </c>
    </row>
    <row r="11" spans="1:3" x14ac:dyDescent="0.25">
      <c r="A11">
        <v>2004</v>
      </c>
      <c r="B11" s="2">
        <v>1.9602290558968427</v>
      </c>
    </row>
    <row r="12" spans="1:3" x14ac:dyDescent="0.25">
      <c r="A12">
        <v>2005</v>
      </c>
      <c r="B12" s="2">
        <v>1.8008601153343196</v>
      </c>
    </row>
    <row r="13" spans="1:3" x14ac:dyDescent="0.25">
      <c r="A13">
        <v>2006</v>
      </c>
      <c r="B13" s="2">
        <v>1.7155905713925925</v>
      </c>
    </row>
    <row r="14" spans="1:3" x14ac:dyDescent="0.25">
      <c r="A14">
        <v>2007</v>
      </c>
      <c r="B14" s="2">
        <v>1.5996463444309716</v>
      </c>
    </row>
    <row r="15" spans="1:3" x14ac:dyDescent="0.25">
      <c r="A15">
        <v>2008</v>
      </c>
      <c r="B15" s="2">
        <v>1.4548124121161208</v>
      </c>
    </row>
    <row r="16" spans="1:3" x14ac:dyDescent="0.25">
      <c r="A16">
        <v>2009</v>
      </c>
      <c r="B16" s="2">
        <v>1.3533816624639261</v>
      </c>
    </row>
    <row r="17" spans="1:3" x14ac:dyDescent="0.25">
      <c r="A17">
        <v>2010</v>
      </c>
      <c r="B17" s="2">
        <v>1.2220580327296049</v>
      </c>
    </row>
    <row r="18" spans="1:3" x14ac:dyDescent="0.25">
      <c r="A18">
        <v>2011</v>
      </c>
      <c r="B18" s="2">
        <v>1.086439467351743</v>
      </c>
    </row>
    <row r="19" spans="1:3" x14ac:dyDescent="0.25">
      <c r="A19">
        <v>2012</v>
      </c>
      <c r="B19" s="2">
        <v>0.97131468948577337</v>
      </c>
    </row>
    <row r="20" spans="1:3" x14ac:dyDescent="0.25">
      <c r="A20">
        <v>2013</v>
      </c>
      <c r="B20" s="2">
        <v>0.86131119770160836</v>
      </c>
    </row>
    <row r="21" spans="1:3" x14ac:dyDescent="0.25">
      <c r="A21">
        <v>2014</v>
      </c>
      <c r="B21" s="2">
        <v>0.74918823202857632</v>
      </c>
    </row>
    <row r="22" spans="1:3" x14ac:dyDescent="0.25">
      <c r="A22">
        <v>2015</v>
      </c>
      <c r="B22" s="2">
        <v>0.58054416917735296</v>
      </c>
    </row>
    <row r="23" spans="1:3" x14ac:dyDescent="0.25">
      <c r="A23">
        <v>2016</v>
      </c>
      <c r="B23" s="2">
        <v>0.48701116678648315</v>
      </c>
    </row>
    <row r="24" spans="1:3" x14ac:dyDescent="0.25">
      <c r="A24">
        <v>2017</v>
      </c>
      <c r="B24" s="2">
        <v>0.44440132762164497</v>
      </c>
    </row>
    <row r="25" spans="1:3" x14ac:dyDescent="0.25">
      <c r="A25">
        <v>2018</v>
      </c>
      <c r="B25" s="2">
        <v>0.39219405071965729</v>
      </c>
    </row>
    <row r="26" spans="1:3" x14ac:dyDescent="0.25">
      <c r="A26">
        <v>2019</v>
      </c>
      <c r="B26" s="2">
        <v>0.33466978306936768</v>
      </c>
    </row>
    <row r="27" spans="1:3" x14ac:dyDescent="0.25">
      <c r="A27">
        <v>2020</v>
      </c>
      <c r="B27" s="2">
        <v>0.27695157201432052</v>
      </c>
    </row>
    <row r="28" spans="1:3" x14ac:dyDescent="0.25">
      <c r="A28">
        <v>2021</v>
      </c>
      <c r="B28" s="2">
        <v>0.16023221153400025</v>
      </c>
      <c r="C28" s="3">
        <v>0.16578261799999994</v>
      </c>
    </row>
    <row r="29" spans="1:3" x14ac:dyDescent="0.25">
      <c r="A29">
        <v>2022</v>
      </c>
      <c r="B29" s="2">
        <v>9.6731459999999991E-2</v>
      </c>
      <c r="C29" s="3">
        <v>8.1430999999999809E-2</v>
      </c>
    </row>
    <row r="30" spans="1:3" x14ac:dyDescent="0.25">
      <c r="A30">
        <v>2023</v>
      </c>
      <c r="B30" s="2">
        <v>4.830000000000001E-2</v>
      </c>
      <c r="C30" s="3">
        <v>2.6999999999999913E-2</v>
      </c>
    </row>
    <row r="31" spans="1:3" x14ac:dyDescent="0.25">
      <c r="A31">
        <v>2024</v>
      </c>
      <c r="B31" s="2">
        <v>0</v>
      </c>
      <c r="C3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BR_PL</vt:lpstr>
      <vt:lpstr>PT_PL</vt:lpstr>
      <vt:lpstr>IPCA-IPC_Acum.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Ramires</dc:creator>
  <cp:lastModifiedBy>Rogerio Ramires</cp:lastModifiedBy>
  <dcterms:created xsi:type="dcterms:W3CDTF">2026-01-28T16:57:32Z</dcterms:created>
  <dcterms:modified xsi:type="dcterms:W3CDTF">2026-02-02T14:27:53Z</dcterms:modified>
</cp:coreProperties>
</file>