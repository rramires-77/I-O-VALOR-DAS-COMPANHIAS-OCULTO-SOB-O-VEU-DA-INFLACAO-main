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drawings/drawing17.xml" ContentType="application/vnd.openxmlformats-officedocument.drawing+xml"/>
  <Override PartName="/xl/charts/chart20.xml" ContentType="application/vnd.openxmlformats-officedocument.drawingml.chart+xml"/>
  <Override PartName="/xl/drawings/drawing18.xml" ContentType="application/vnd.openxmlformats-officedocument.drawing+xml"/>
  <Override PartName="/xl/charts/chart21.xml" ContentType="application/vnd.openxmlformats-officedocument.drawingml.chart+xml"/>
  <Override PartName="/xl/drawings/drawing19.xml" ContentType="application/vnd.openxmlformats-officedocument.drawing+xml"/>
  <Override PartName="/xl/charts/chart22.xml" ContentType="application/vnd.openxmlformats-officedocument.drawingml.chart+xml"/>
  <Override PartName="/xl/drawings/drawing20.xml" ContentType="application/vnd.openxmlformats-officedocument.drawing+xml"/>
  <Override PartName="/xl/charts/chart23.xml" ContentType="application/vnd.openxmlformats-officedocument.drawingml.chart+xml"/>
  <Override PartName="/xl/drawings/drawing21.xml" ContentType="application/vnd.openxmlformats-officedocument.drawing+xml"/>
  <Override PartName="/xl/charts/chart24.xml" ContentType="application/vnd.openxmlformats-officedocument.drawingml.chart+xml"/>
  <Override PartName="/xl/drawings/drawing22.xml" ContentType="application/vnd.openxmlformats-officedocument.drawing+xml"/>
  <Override PartName="/xl/charts/chart25.xml" ContentType="application/vnd.openxmlformats-officedocument.drawingml.chart+xml"/>
  <Override PartName="/xl/drawings/drawing23.xml" ContentType="application/vnd.openxmlformats-officedocument.drawing+xml"/>
  <Override PartName="/xl/charts/chart26.xml" ContentType="application/vnd.openxmlformats-officedocument.drawingml.chart+xml"/>
  <Override PartName="/xl/drawings/drawing24.xml" ContentType="application/vnd.openxmlformats-officedocument.drawing+xml"/>
  <Override PartName="/xl/charts/chart27.xml" ContentType="application/vnd.openxmlformats-officedocument.drawingml.chart+xml"/>
  <Override PartName="/xl/drawings/drawing25.xml" ContentType="application/vnd.openxmlformats-officedocument.drawing+xml"/>
  <Override PartName="/xl/charts/chart28.xml" ContentType="application/vnd.openxmlformats-officedocument.drawingml.chart+xml"/>
  <Override PartName="/xl/drawings/drawing26.xml" ContentType="application/vnd.openxmlformats-officedocument.drawing+xml"/>
  <Override PartName="/xl/charts/chart2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Backup\nova unidade t\Unidade t\Rogerio Ramires\USP Doutorado\#ISCTE\#ISCTE - Trabalho em Portugal\##Arquivos Finais 2025\Artigos finais_2025\#Versões Finais\Final_03.11.2025\Revisão B_Salotti\"/>
    </mc:Choice>
  </mc:AlternateContent>
  <xr:revisionPtr revIDLastSave="0" documentId="13_ncr:1_{A6FF40AB-EE48-4043-81CE-5DE50ABEBBF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posição do Lucro" sheetId="25" r:id="rId1"/>
    <sheet name="Valor de Mercado e PL Corrigido" sheetId="26" r:id="rId2"/>
    <sheet name="VALE3" sheetId="1" r:id="rId3"/>
    <sheet name="PETR4" sheetId="2" r:id="rId4"/>
    <sheet name="ITUB4" sheetId="3" r:id="rId5"/>
    <sheet name="PETR3" sheetId="4" r:id="rId6"/>
    <sheet name="ELET3" sheetId="5" r:id="rId7"/>
    <sheet name="BBDC4" sheetId="6" r:id="rId8"/>
    <sheet name="B3SA3" sheetId="7" r:id="rId9"/>
    <sheet name="BBAS3" sheetId="8" r:id="rId10"/>
    <sheet name="ABEV3" sheetId="9" r:id="rId11"/>
    <sheet name="RENT3" sheetId="10" r:id="rId12"/>
    <sheet name="ITSA4" sheetId="11" r:id="rId13"/>
    <sheet name="WEGE3" sheetId="12" r:id="rId14"/>
    <sheet name="BPAC11" sheetId="13" r:id="rId15"/>
    <sheet name="EQTL3" sheetId="14" r:id="rId16"/>
    <sheet name="SUZB3" sheetId="15" r:id="rId17"/>
    <sheet name="PRIO3" sheetId="16" r:id="rId18"/>
    <sheet name="RADL3" sheetId="17" r:id="rId19"/>
    <sheet name="RDOR3" sheetId="18" r:id="rId20"/>
    <sheet name="RAIL3" sheetId="19" r:id="rId21"/>
    <sheet name="GGBR4" sheetId="20" r:id="rId22"/>
    <sheet name="UGPA3" sheetId="21" r:id="rId23"/>
    <sheet name="JBSS3" sheetId="22" r:id="rId24"/>
    <sheet name="VBBR3" sheetId="23" r:id="rId25"/>
    <sheet name="BBSE3" sheetId="24" r:id="rId26"/>
  </sheets>
  <externalReferences>
    <externalReference r:id="rId27"/>
  </externalReference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45325.5879050926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25" l="1"/>
  <c r="F66" i="25"/>
  <c r="F65" i="25"/>
  <c r="C95" i="26" l="1"/>
  <c r="C94" i="26"/>
  <c r="AH97" i="26"/>
  <c r="AH98" i="26" s="1"/>
  <c r="AG97" i="26"/>
  <c r="AG98" i="26" s="1"/>
  <c r="AF97" i="26"/>
  <c r="AF98" i="26" s="1"/>
  <c r="AE97" i="26"/>
  <c r="AE98" i="26" s="1"/>
  <c r="AD97" i="26"/>
  <c r="AD98" i="26" s="1"/>
  <c r="AC97" i="26"/>
  <c r="AC98" i="26" s="1"/>
  <c r="AB97" i="26"/>
  <c r="AB98" i="26" s="1"/>
  <c r="AA97" i="26"/>
  <c r="AA98" i="26" s="1"/>
  <c r="Z97" i="26"/>
  <c r="Z98" i="26" s="1"/>
  <c r="Y97" i="26"/>
  <c r="Y98" i="26" s="1"/>
  <c r="X97" i="26"/>
  <c r="X98" i="26" s="1"/>
  <c r="W97" i="26"/>
  <c r="W98" i="26" s="1"/>
  <c r="V97" i="26"/>
  <c r="V98" i="26" s="1"/>
  <c r="U97" i="26"/>
  <c r="U98" i="26" s="1"/>
  <c r="T97" i="26"/>
  <c r="T98" i="26" s="1"/>
  <c r="S97" i="26"/>
  <c r="S98" i="26" s="1"/>
  <c r="R97" i="26"/>
  <c r="R98" i="26" s="1"/>
  <c r="Q97" i="26"/>
  <c r="Q98" i="26" s="1"/>
  <c r="P97" i="26"/>
  <c r="P98" i="26" s="1"/>
  <c r="O97" i="26"/>
  <c r="O98" i="26" s="1"/>
  <c r="N97" i="26"/>
  <c r="N98" i="26" s="1"/>
  <c r="M97" i="26"/>
  <c r="M98" i="26" s="1"/>
  <c r="L97" i="26"/>
  <c r="L98" i="26" s="1"/>
  <c r="K97" i="26"/>
  <c r="K98" i="26" s="1"/>
  <c r="J97" i="26"/>
  <c r="J98" i="26" s="1"/>
  <c r="I97" i="26"/>
  <c r="I98" i="26" s="1"/>
  <c r="H97" i="26"/>
  <c r="H98" i="26" s="1"/>
  <c r="G97" i="26"/>
  <c r="G98" i="26" s="1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8" i="26"/>
  <c r="F90" i="26"/>
  <c r="F97" i="26"/>
  <c r="F96" i="26"/>
  <c r="F95" i="26"/>
  <c r="AR24" i="2"/>
  <c r="AR24" i="3"/>
  <c r="AR24" i="4"/>
  <c r="AR24" i="5"/>
  <c r="AR24" i="6"/>
  <c r="AR24" i="7"/>
  <c r="AR24" i="8"/>
  <c r="AR24" i="9"/>
  <c r="AR24" i="10"/>
  <c r="AR24" i="11"/>
  <c r="AR24" i="12"/>
  <c r="AR24" i="13"/>
  <c r="AR24" i="14"/>
  <c r="AR24" i="15"/>
  <c r="AR24" i="16"/>
  <c r="AR24" i="17"/>
  <c r="AR24" i="18"/>
  <c r="AR24" i="19"/>
  <c r="AR24" i="20"/>
  <c r="AR24" i="21"/>
  <c r="AR24" i="22"/>
  <c r="AR24" i="23"/>
  <c r="AR24" i="24"/>
  <c r="AR24" i="1"/>
  <c r="B58" i="26" s="1" a="1"/>
  <c r="U82" i="26" s="1"/>
  <c r="U89" i="26" s="1"/>
  <c r="AQ24" i="2"/>
  <c r="AQ24" i="3"/>
  <c r="AQ24" i="4"/>
  <c r="AQ24" i="5"/>
  <c r="AQ24" i="6"/>
  <c r="AQ24" i="7"/>
  <c r="AQ24" i="8"/>
  <c r="AQ24" i="9"/>
  <c r="AQ24" i="10"/>
  <c r="AQ24" i="11"/>
  <c r="AQ24" i="12"/>
  <c r="AQ24" i="13"/>
  <c r="AQ24" i="14"/>
  <c r="AQ24" i="15"/>
  <c r="AQ24" i="16"/>
  <c r="AQ24" i="17"/>
  <c r="AQ24" i="18"/>
  <c r="AQ24" i="19"/>
  <c r="AQ24" i="20"/>
  <c r="AQ24" i="21"/>
  <c r="AQ24" i="22"/>
  <c r="AQ24" i="23"/>
  <c r="AQ24" i="24"/>
  <c r="AQ24" i="1"/>
  <c r="C98" i="26"/>
  <c r="C96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8" i="26"/>
  <c r="F87" i="26"/>
  <c r="C87" i="26"/>
  <c r="C86" i="26"/>
  <c r="F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B30" i="26" a="1"/>
  <c r="B30" i="26" s="1"/>
  <c r="AH26" i="26"/>
  <c r="AG26" i="26"/>
  <c r="AF26" i="26"/>
  <c r="AE26" i="26"/>
  <c r="AD26" i="26"/>
  <c r="AC26" i="26"/>
  <c r="AB26" i="26"/>
  <c r="AA26" i="26"/>
  <c r="Z26" i="26"/>
  <c r="Y26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I26" i="26"/>
  <c r="H26" i="26"/>
  <c r="G26" i="26"/>
  <c r="F26" i="26"/>
  <c r="B2" i="26" a="1"/>
  <c r="B2" i="26" s="1"/>
  <c r="AH67" i="25"/>
  <c r="AG67" i="25"/>
  <c r="AF67" i="25"/>
  <c r="AE67" i="25"/>
  <c r="AD67" i="25"/>
  <c r="AC67" i="25"/>
  <c r="AB67" i="25"/>
  <c r="AA67" i="25"/>
  <c r="Z67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G66" i="25"/>
  <c r="AH66" i="25"/>
  <c r="AG66" i="25"/>
  <c r="AF66" i="25"/>
  <c r="AE66" i="25"/>
  <c r="AD66" i="25"/>
  <c r="AC66" i="25"/>
  <c r="AB66" i="25"/>
  <c r="AA66" i="25"/>
  <c r="Z66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AH65" i="25"/>
  <c r="AG65" i="25"/>
  <c r="AF65" i="25"/>
  <c r="AE65" i="25"/>
  <c r="AD65" i="25"/>
  <c r="AC65" i="25"/>
  <c r="AB65" i="25"/>
  <c r="AA65" i="25"/>
  <c r="Z65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C67" i="25"/>
  <c r="C66" i="25"/>
  <c r="C65" i="25"/>
  <c r="C64" i="25"/>
  <c r="AF60" i="25"/>
  <c r="AE60" i="25"/>
  <c r="AB60" i="25"/>
  <c r="AA60" i="25"/>
  <c r="X60" i="25"/>
  <c r="W60" i="25"/>
  <c r="T60" i="25"/>
  <c r="S60" i="25"/>
  <c r="P60" i="25"/>
  <c r="O60" i="25"/>
  <c r="L60" i="25"/>
  <c r="K60" i="25"/>
  <c r="H60" i="25"/>
  <c r="AH59" i="25"/>
  <c r="AG59" i="25"/>
  <c r="AF59" i="25"/>
  <c r="AE59" i="25"/>
  <c r="AD59" i="25"/>
  <c r="AC59" i="25"/>
  <c r="AB59" i="25"/>
  <c r="AA59" i="25"/>
  <c r="Z59" i="25"/>
  <c r="Y59" i="25"/>
  <c r="X59" i="25"/>
  <c r="W59" i="25"/>
  <c r="V59" i="25"/>
  <c r="U59" i="25"/>
  <c r="T59" i="25"/>
  <c r="S59" i="25"/>
  <c r="R59" i="25"/>
  <c r="Q59" i="25"/>
  <c r="P59" i="25"/>
  <c r="O59" i="25"/>
  <c r="N59" i="25"/>
  <c r="M59" i="25"/>
  <c r="L59" i="25"/>
  <c r="K59" i="25"/>
  <c r="J59" i="25"/>
  <c r="I59" i="25"/>
  <c r="H59" i="25"/>
  <c r="AH58" i="25"/>
  <c r="AH60" i="25" s="1"/>
  <c r="AG58" i="25"/>
  <c r="AG60" i="25" s="1"/>
  <c r="AF58" i="25"/>
  <c r="AE58" i="25"/>
  <c r="AD58" i="25"/>
  <c r="AD60" i="25" s="1"/>
  <c r="AC58" i="25"/>
  <c r="AC60" i="25" s="1"/>
  <c r="AB58" i="25"/>
  <c r="AA58" i="25"/>
  <c r="Z58" i="25"/>
  <c r="Z60" i="25" s="1"/>
  <c r="Y58" i="25"/>
  <c r="Y60" i="25" s="1"/>
  <c r="X58" i="25"/>
  <c r="W58" i="25"/>
  <c r="V58" i="25"/>
  <c r="V60" i="25" s="1"/>
  <c r="U58" i="25"/>
  <c r="U60" i="25" s="1"/>
  <c r="T58" i="25"/>
  <c r="S58" i="25"/>
  <c r="R58" i="25"/>
  <c r="R60" i="25" s="1"/>
  <c r="Q58" i="25"/>
  <c r="Q60" i="25" s="1"/>
  <c r="P58" i="25"/>
  <c r="O58" i="25"/>
  <c r="N58" i="25"/>
  <c r="N60" i="25" s="1"/>
  <c r="M58" i="25"/>
  <c r="M60" i="25" s="1"/>
  <c r="L58" i="25"/>
  <c r="K58" i="25"/>
  <c r="J58" i="25"/>
  <c r="J60" i="25" s="1"/>
  <c r="I58" i="25"/>
  <c r="I60" i="25" s="1"/>
  <c r="H58" i="25"/>
  <c r="G59" i="25"/>
  <c r="G58" i="25"/>
  <c r="G60" i="25" s="1"/>
  <c r="F60" i="25"/>
  <c r="F59" i="25"/>
  <c r="F58" i="25"/>
  <c r="U90" i="26" l="1"/>
  <c r="I82" i="26"/>
  <c r="I89" i="26" s="1"/>
  <c r="Q82" i="26"/>
  <c r="Q89" i="26" s="1"/>
  <c r="AC82" i="26"/>
  <c r="AC89" i="26" s="1"/>
  <c r="C89" i="26"/>
  <c r="C97" i="26" s="1"/>
  <c r="J82" i="26"/>
  <c r="J89" i="26" s="1"/>
  <c r="R82" i="26"/>
  <c r="R89" i="26" s="1"/>
  <c r="AG82" i="26"/>
  <c r="AG89" i="26" s="1"/>
  <c r="M82" i="26"/>
  <c r="M89" i="26" s="1"/>
  <c r="B58" i="26"/>
  <c r="AF82" i="26"/>
  <c r="AF89" i="26" s="1"/>
  <c r="AB82" i="26"/>
  <c r="AB89" i="26" s="1"/>
  <c r="X82" i="26"/>
  <c r="X89" i="26" s="1"/>
  <c r="T82" i="26"/>
  <c r="T89" i="26" s="1"/>
  <c r="P82" i="26"/>
  <c r="P89" i="26" s="1"/>
  <c r="L82" i="26"/>
  <c r="L89" i="26" s="1"/>
  <c r="H82" i="26"/>
  <c r="H89" i="26" s="1"/>
  <c r="AE82" i="26"/>
  <c r="AE89" i="26" s="1"/>
  <c r="AA82" i="26"/>
  <c r="AA89" i="26" s="1"/>
  <c r="W82" i="26"/>
  <c r="W89" i="26" s="1"/>
  <c r="S82" i="26"/>
  <c r="S89" i="26" s="1"/>
  <c r="O82" i="26"/>
  <c r="O89" i="26" s="1"/>
  <c r="K82" i="26"/>
  <c r="K89" i="26" s="1"/>
  <c r="G82" i="26"/>
  <c r="G89" i="26" s="1"/>
  <c r="AH82" i="26"/>
  <c r="AH89" i="26" s="1"/>
  <c r="AD82" i="26"/>
  <c r="AD89" i="26" s="1"/>
  <c r="Z82" i="26"/>
  <c r="Z89" i="26" s="1"/>
  <c r="V82" i="26"/>
  <c r="V89" i="26" s="1"/>
  <c r="F82" i="26"/>
  <c r="F89" i="26" s="1"/>
  <c r="N82" i="26"/>
  <c r="N89" i="26" s="1"/>
  <c r="Y82" i="26"/>
  <c r="Y89" i="26" s="1"/>
  <c r="C58" i="25"/>
  <c r="C57" i="25"/>
  <c r="C59" i="25"/>
  <c r="F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B29" i="25" a="1"/>
  <c r="B29" i="25" s="1"/>
  <c r="AH26" i="25"/>
  <c r="AG26" i="25"/>
  <c r="AF26" i="25"/>
  <c r="AE26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B2" i="25" a="1"/>
  <c r="B2" i="25" s="1"/>
  <c r="AL23" i="2"/>
  <c r="AH23" i="2"/>
  <c r="AB23" i="2"/>
  <c r="X23" i="2"/>
  <c r="S23" i="2"/>
  <c r="Q23" i="2"/>
  <c r="AL12" i="2"/>
  <c r="AM12" i="2"/>
  <c r="AK12" i="2"/>
  <c r="AJ12" i="2"/>
  <c r="AI12" i="2"/>
  <c r="AN12" i="2"/>
  <c r="AR12" i="2"/>
  <c r="AD12" i="2"/>
  <c r="AJ12" i="1"/>
  <c r="AG12" i="1"/>
  <c r="AD12" i="1"/>
  <c r="Z12" i="1"/>
  <c r="V12" i="1"/>
  <c r="U12" i="1"/>
  <c r="T12" i="1"/>
  <c r="S12" i="1"/>
  <c r="R12" i="1"/>
  <c r="AP46" i="24"/>
  <c r="AN46" i="24"/>
  <c r="AL46" i="24"/>
  <c r="AJ46" i="24"/>
  <c r="AH46" i="24"/>
  <c r="L25" i="24"/>
  <c r="L19" i="24"/>
  <c r="L18" i="24"/>
  <c r="AR17" i="24"/>
  <c r="AQ17" i="24"/>
  <c r="AP17" i="24"/>
  <c r="AO17" i="24"/>
  <c r="AO46" i="24" s="1"/>
  <c r="AN17" i="24"/>
  <c r="AM17" i="24"/>
  <c r="AM46" i="24" s="1"/>
  <c r="AL17" i="24"/>
  <c r="AK17" i="24"/>
  <c r="AK46" i="24" s="1"/>
  <c r="AJ17" i="24"/>
  <c r="AI17" i="24"/>
  <c r="AI46" i="24" s="1"/>
  <c r="AH17" i="24"/>
  <c r="AG17" i="24"/>
  <c r="AG46" i="24" s="1"/>
  <c r="AF17" i="24"/>
  <c r="U17" i="24"/>
  <c r="T17" i="24"/>
  <c r="S17" i="24"/>
  <c r="R17" i="24"/>
  <c r="Q17" i="24"/>
  <c r="P17" i="24"/>
  <c r="L17" i="24"/>
  <c r="AR10" i="24"/>
  <c r="AQ10" i="24"/>
  <c r="AP10" i="24"/>
  <c r="AO10" i="24"/>
  <c r="AN10" i="24"/>
  <c r="AM10" i="24"/>
  <c r="AL10" i="24"/>
  <c r="AK10" i="24"/>
  <c r="AJ10" i="24"/>
  <c r="AI10" i="24"/>
  <c r="AH10" i="24"/>
  <c r="AG10" i="24"/>
  <c r="AF10" i="24"/>
  <c r="AE10" i="24"/>
  <c r="AC10" i="24"/>
  <c r="AB10" i="24"/>
  <c r="Y10" i="24"/>
  <c r="V10" i="24"/>
  <c r="U10" i="24"/>
  <c r="T10" i="24"/>
  <c r="R10" i="24"/>
  <c r="Q10" i="24"/>
  <c r="P10" i="24"/>
  <c r="P9" i="24"/>
  <c r="AR8" i="24"/>
  <c r="AQ8" i="24"/>
  <c r="AP8" i="24"/>
  <c r="AO8" i="24"/>
  <c r="AN8" i="24"/>
  <c r="AM8" i="24"/>
  <c r="AL8" i="24"/>
  <c r="AK8" i="24"/>
  <c r="AJ8" i="24"/>
  <c r="AI8" i="24"/>
  <c r="AH8" i="24"/>
  <c r="AG8" i="24"/>
  <c r="AF8" i="24"/>
  <c r="AE8" i="24"/>
  <c r="AD8" i="24"/>
  <c r="AC8" i="24"/>
  <c r="AB8" i="24"/>
  <c r="AA8" i="24"/>
  <c r="Z8" i="24"/>
  <c r="Y8" i="24"/>
  <c r="X8" i="24"/>
  <c r="W8" i="24"/>
  <c r="V8" i="24"/>
  <c r="U8" i="24"/>
  <c r="T8" i="24"/>
  <c r="S8" i="24"/>
  <c r="R8" i="24"/>
  <c r="Q8" i="24"/>
  <c r="P8" i="24"/>
  <c r="P7" i="24"/>
  <c r="AP46" i="23"/>
  <c r="AH46" i="23"/>
  <c r="AF46" i="23"/>
  <c r="S46" i="23"/>
  <c r="L25" i="23"/>
  <c r="L24" i="23"/>
  <c r="L23" i="23"/>
  <c r="L22" i="23"/>
  <c r="L19" i="23"/>
  <c r="L17" i="23" s="1"/>
  <c r="L18" i="23"/>
  <c r="AR17" i="23"/>
  <c r="AQ17" i="23"/>
  <c r="AP17" i="23"/>
  <c r="AO17" i="23"/>
  <c r="AO46" i="23" s="1"/>
  <c r="AN17" i="23"/>
  <c r="AN46" i="23" s="1"/>
  <c r="AM17" i="23"/>
  <c r="AM46" i="23" s="1"/>
  <c r="AL17" i="23"/>
  <c r="AL46" i="23" s="1"/>
  <c r="AK17" i="23"/>
  <c r="AK46" i="23" s="1"/>
  <c r="AJ17" i="23"/>
  <c r="AJ46" i="23" s="1"/>
  <c r="AI17" i="23"/>
  <c r="AI46" i="23" s="1"/>
  <c r="AH17" i="23"/>
  <c r="AG17" i="23"/>
  <c r="AG46" i="23" s="1"/>
  <c r="AF17" i="23"/>
  <c r="AE17" i="23"/>
  <c r="AE46" i="23" s="1"/>
  <c r="AD17" i="23"/>
  <c r="AD46" i="23" s="1"/>
  <c r="AC17" i="23"/>
  <c r="AC46" i="23" s="1"/>
  <c r="AB17" i="23"/>
  <c r="AB46" i="23" s="1"/>
  <c r="AA17" i="23"/>
  <c r="Z17" i="23"/>
  <c r="Y17" i="23"/>
  <c r="X17" i="23"/>
  <c r="W17" i="23"/>
  <c r="V17" i="23"/>
  <c r="V46" i="23" s="1"/>
  <c r="U17" i="23"/>
  <c r="U46" i="23" s="1"/>
  <c r="T17" i="23"/>
  <c r="T46" i="23" s="1"/>
  <c r="S17" i="23"/>
  <c r="R17" i="23"/>
  <c r="R46" i="23" s="1"/>
  <c r="Q17" i="23"/>
  <c r="Q46" i="23" s="1"/>
  <c r="P17" i="23"/>
  <c r="P46" i="23" s="1"/>
  <c r="AR10" i="23"/>
  <c r="AQ10" i="23"/>
  <c r="AP10" i="23"/>
  <c r="AO10" i="23"/>
  <c r="AN10" i="23"/>
  <c r="AM10" i="23"/>
  <c r="AL10" i="23"/>
  <c r="AK10" i="23"/>
  <c r="AJ10" i="23"/>
  <c r="AI10" i="23"/>
  <c r="AH10" i="23"/>
  <c r="AG10" i="23"/>
  <c r="AF10" i="23"/>
  <c r="AE10" i="23"/>
  <c r="AD10" i="23"/>
  <c r="AC10" i="23"/>
  <c r="AB10" i="23"/>
  <c r="V10" i="23"/>
  <c r="U10" i="23"/>
  <c r="T10" i="23"/>
  <c r="S10" i="23"/>
  <c r="R10" i="23"/>
  <c r="Q10" i="23"/>
  <c r="P10" i="23"/>
  <c r="P9" i="23"/>
  <c r="AR8" i="23"/>
  <c r="AQ8" i="23"/>
  <c r="AP8" i="23"/>
  <c r="AO8" i="23"/>
  <c r="AN8" i="23"/>
  <c r="AM8" i="23"/>
  <c r="AL8" i="23"/>
  <c r="AK8" i="23"/>
  <c r="AJ8" i="23"/>
  <c r="AI8" i="23"/>
  <c r="AH8" i="23"/>
  <c r="AG8" i="23"/>
  <c r="AF8" i="23"/>
  <c r="AE8" i="23"/>
  <c r="AD8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P7" i="23"/>
  <c r="AP46" i="22"/>
  <c r="AM46" i="22"/>
  <c r="AL46" i="22"/>
  <c r="AI46" i="22"/>
  <c r="AH46" i="22"/>
  <c r="AE46" i="22"/>
  <c r="AD46" i="22"/>
  <c r="AA46" i="22"/>
  <c r="Z46" i="22"/>
  <c r="L25" i="22"/>
  <c r="L19" i="22"/>
  <c r="L18" i="22"/>
  <c r="AR17" i="22"/>
  <c r="AQ17" i="22"/>
  <c r="AP17" i="22"/>
  <c r="AO17" i="22"/>
  <c r="AO46" i="22" s="1"/>
  <c r="AN17" i="22"/>
  <c r="AN46" i="22" s="1"/>
  <c r="AM17" i="22"/>
  <c r="AL17" i="22"/>
  <c r="AK17" i="22"/>
  <c r="AK46" i="22" s="1"/>
  <c r="AJ17" i="22"/>
  <c r="AJ46" i="22" s="1"/>
  <c r="AI17" i="22"/>
  <c r="AH17" i="22"/>
  <c r="AG17" i="22"/>
  <c r="AG46" i="22" s="1"/>
  <c r="AF17" i="22"/>
  <c r="AF46" i="22" s="1"/>
  <c r="AE17" i="22"/>
  <c r="AD17" i="22"/>
  <c r="AC17" i="22"/>
  <c r="AC46" i="22" s="1"/>
  <c r="AB17" i="22"/>
  <c r="AB46" i="22" s="1"/>
  <c r="AA17" i="22"/>
  <c r="Z17" i="22"/>
  <c r="Y17" i="22"/>
  <c r="Y46" i="22" s="1"/>
  <c r="X17" i="22"/>
  <c r="X46" i="22" s="1"/>
  <c r="U17" i="22"/>
  <c r="T17" i="22"/>
  <c r="S17" i="22"/>
  <c r="R17" i="22"/>
  <c r="Q17" i="22"/>
  <c r="P17" i="22"/>
  <c r="L17" i="22"/>
  <c r="Q13" i="22"/>
  <c r="Q12" i="22"/>
  <c r="AR10" i="22"/>
  <c r="AQ10" i="22"/>
  <c r="AP10" i="22"/>
  <c r="AO10" i="22"/>
  <c r="AN10" i="22"/>
  <c r="AM10" i="22"/>
  <c r="AL10" i="22"/>
  <c r="AK10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V10" i="22"/>
  <c r="U10" i="22"/>
  <c r="T10" i="22"/>
  <c r="R10" i="22"/>
  <c r="Q10" i="22"/>
  <c r="P10" i="22"/>
  <c r="P9" i="22"/>
  <c r="AR8" i="22"/>
  <c r="AQ8" i="22"/>
  <c r="AP8" i="22"/>
  <c r="AO8" i="22"/>
  <c r="AN8" i="22"/>
  <c r="AM8" i="22"/>
  <c r="AL8" i="22"/>
  <c r="AK8" i="22"/>
  <c r="AJ8" i="22"/>
  <c r="AI8" i="22"/>
  <c r="AH8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P8" i="22"/>
  <c r="P7" i="22"/>
  <c r="AP46" i="21"/>
  <c r="AM46" i="21"/>
  <c r="AL46" i="21"/>
  <c r="AI46" i="21"/>
  <c r="AH46" i="21"/>
  <c r="AE46" i="21"/>
  <c r="AD46" i="21"/>
  <c r="AA46" i="21"/>
  <c r="Z46" i="21"/>
  <c r="W46" i="21"/>
  <c r="V46" i="21"/>
  <c r="S46" i="21"/>
  <c r="R46" i="21"/>
  <c r="L25" i="21"/>
  <c r="L24" i="21"/>
  <c r="L23" i="21"/>
  <c r="L22" i="21"/>
  <c r="L19" i="21"/>
  <c r="L18" i="21"/>
  <c r="AR17" i="21"/>
  <c r="AQ17" i="21"/>
  <c r="AP17" i="21"/>
  <c r="AO17" i="21"/>
  <c r="AO46" i="21" s="1"/>
  <c r="AN17" i="21"/>
  <c r="AN46" i="21" s="1"/>
  <c r="AM17" i="21"/>
  <c r="AL17" i="21"/>
  <c r="AK17" i="21"/>
  <c r="AK46" i="21" s="1"/>
  <c r="AJ17" i="21"/>
  <c r="AJ46" i="21" s="1"/>
  <c r="AI17" i="21"/>
  <c r="AH17" i="21"/>
  <c r="AG17" i="21"/>
  <c r="AG46" i="21" s="1"/>
  <c r="AF17" i="21"/>
  <c r="AF46" i="21" s="1"/>
  <c r="AE17" i="21"/>
  <c r="AD17" i="21"/>
  <c r="AC17" i="21"/>
  <c r="AC46" i="21" s="1"/>
  <c r="AB17" i="21"/>
  <c r="AB46" i="21" s="1"/>
  <c r="AA17" i="21"/>
  <c r="Z17" i="21"/>
  <c r="Y17" i="21"/>
  <c r="Y46" i="21" s="1"/>
  <c r="X17" i="21"/>
  <c r="X46" i="21" s="1"/>
  <c r="W17" i="21"/>
  <c r="V17" i="21"/>
  <c r="U17" i="21"/>
  <c r="U46" i="21" s="1"/>
  <c r="T17" i="21"/>
  <c r="T46" i="21" s="1"/>
  <c r="S17" i="21"/>
  <c r="R17" i="21"/>
  <c r="Q17" i="21"/>
  <c r="P17" i="21"/>
  <c r="L17" i="21"/>
  <c r="AR10" i="21"/>
  <c r="AQ10" i="21"/>
  <c r="AP10" i="21"/>
  <c r="AO10" i="21"/>
  <c r="AN10" i="21"/>
  <c r="AM10" i="21"/>
  <c r="AL10" i="21"/>
  <c r="AK10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P9" i="21"/>
  <c r="AR8" i="21"/>
  <c r="AQ8" i="21"/>
  <c r="AP8" i="21"/>
  <c r="AO8" i="21"/>
  <c r="AN8" i="21"/>
  <c r="AM8" i="21"/>
  <c r="AL8" i="21"/>
  <c r="AK8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P7" i="21"/>
  <c r="AN46" i="20"/>
  <c r="AJ46" i="20"/>
  <c r="AF46" i="20"/>
  <c r="AB46" i="20"/>
  <c r="X46" i="20"/>
  <c r="T46" i="20"/>
  <c r="P46" i="20"/>
  <c r="L25" i="20"/>
  <c r="L23" i="20" s="1"/>
  <c r="L19" i="20"/>
  <c r="L18" i="20" s="1"/>
  <c r="AR17" i="20"/>
  <c r="AQ17" i="20"/>
  <c r="AP17" i="20"/>
  <c r="AP46" i="20" s="1"/>
  <c r="AO17" i="20"/>
  <c r="AO46" i="20" s="1"/>
  <c r="AN17" i="20"/>
  <c r="AM17" i="20"/>
  <c r="AM46" i="20" s="1"/>
  <c r="AL17" i="20"/>
  <c r="AL46" i="20" s="1"/>
  <c r="AK17" i="20"/>
  <c r="AK46" i="20" s="1"/>
  <c r="AJ17" i="20"/>
  <c r="AI17" i="20"/>
  <c r="AI46" i="20" s="1"/>
  <c r="AH17" i="20"/>
  <c r="AH46" i="20" s="1"/>
  <c r="AG17" i="20"/>
  <c r="AG46" i="20" s="1"/>
  <c r="AF17" i="20"/>
  <c r="AE17" i="20"/>
  <c r="AE46" i="20" s="1"/>
  <c r="AD17" i="20"/>
  <c r="AD46" i="20" s="1"/>
  <c r="AC17" i="20"/>
  <c r="AC46" i="20" s="1"/>
  <c r="AB17" i="20"/>
  <c r="AA17" i="20"/>
  <c r="AA46" i="20" s="1"/>
  <c r="Z17" i="20"/>
  <c r="Z46" i="20" s="1"/>
  <c r="Y17" i="20"/>
  <c r="Y46" i="20" s="1"/>
  <c r="X17" i="20"/>
  <c r="W17" i="20"/>
  <c r="W46" i="20" s="1"/>
  <c r="V17" i="20"/>
  <c r="V46" i="20" s="1"/>
  <c r="U17" i="20"/>
  <c r="U46" i="20" s="1"/>
  <c r="T17" i="20"/>
  <c r="S17" i="20"/>
  <c r="S46" i="20" s="1"/>
  <c r="R17" i="20"/>
  <c r="R46" i="20" s="1"/>
  <c r="Q17" i="20"/>
  <c r="Q46" i="20" s="1"/>
  <c r="P17" i="20"/>
  <c r="L17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P9" i="20"/>
  <c r="AR8" i="20"/>
  <c r="AQ8" i="20"/>
  <c r="AP8" i="20"/>
  <c r="AO8" i="20"/>
  <c r="AN8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P7" i="20"/>
  <c r="P14" i="20" s="1"/>
  <c r="AF46" i="19"/>
  <c r="AB46" i="19"/>
  <c r="L25" i="19"/>
  <c r="L23" i="19" s="1"/>
  <c r="L19" i="19"/>
  <c r="L18" i="19" s="1"/>
  <c r="AR17" i="19"/>
  <c r="AQ17" i="19"/>
  <c r="AP17" i="19"/>
  <c r="AP46" i="19" s="1"/>
  <c r="AO17" i="19"/>
  <c r="AO46" i="19" s="1"/>
  <c r="AN17" i="19"/>
  <c r="AN46" i="19" s="1"/>
  <c r="AM17" i="19"/>
  <c r="AM46" i="19" s="1"/>
  <c r="AL17" i="19"/>
  <c r="AL46" i="19" s="1"/>
  <c r="AK17" i="19"/>
  <c r="AK46" i="19" s="1"/>
  <c r="AJ17" i="19"/>
  <c r="AJ46" i="19" s="1"/>
  <c r="AI17" i="19"/>
  <c r="AI46" i="19" s="1"/>
  <c r="AH17" i="19"/>
  <c r="AH46" i="19" s="1"/>
  <c r="AG17" i="19"/>
  <c r="AG46" i="19" s="1"/>
  <c r="AF17" i="19"/>
  <c r="AE17" i="19"/>
  <c r="AE46" i="19" s="1"/>
  <c r="AD17" i="19"/>
  <c r="AD46" i="19" s="1"/>
  <c r="AC17" i="19"/>
  <c r="AC46" i="19" s="1"/>
  <c r="AB17" i="19"/>
  <c r="AA17" i="19"/>
  <c r="AA46" i="19" s="1"/>
  <c r="Z17" i="19"/>
  <c r="Z46" i="19" s="1"/>
  <c r="Y17" i="19"/>
  <c r="Y46" i="19" s="1"/>
  <c r="X17" i="19"/>
  <c r="X46" i="19" s="1"/>
  <c r="W17" i="19"/>
  <c r="W46" i="19" s="1"/>
  <c r="V17" i="19"/>
  <c r="V46" i="19" s="1"/>
  <c r="U17" i="19"/>
  <c r="U46" i="19" s="1"/>
  <c r="T17" i="19"/>
  <c r="T46" i="19" s="1"/>
  <c r="S17" i="19"/>
  <c r="S46" i="19" s="1"/>
  <c r="R17" i="19"/>
  <c r="Q17" i="19"/>
  <c r="P17" i="19"/>
  <c r="L17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Q9" i="19"/>
  <c r="P9" i="19"/>
  <c r="P14" i="19" s="1"/>
  <c r="P18" i="19" s="1"/>
  <c r="AR8" i="19"/>
  <c r="AQ8" i="19"/>
  <c r="AP8" i="19"/>
  <c r="AO8" i="19"/>
  <c r="AN8" i="19"/>
  <c r="AM8" i="19"/>
  <c r="AL8" i="19"/>
  <c r="AK8" i="19"/>
  <c r="AJ8" i="19"/>
  <c r="AI8" i="19"/>
  <c r="AH8" i="19"/>
  <c r="AG8" i="19"/>
  <c r="AF8" i="19"/>
  <c r="AE8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P7" i="19"/>
  <c r="AM46" i="18"/>
  <c r="L25" i="18"/>
  <c r="L19" i="18"/>
  <c r="AR17" i="18"/>
  <c r="AQ17" i="18"/>
  <c r="AP17" i="18"/>
  <c r="AP46" i="18" s="1"/>
  <c r="AO17" i="18"/>
  <c r="AO46" i="18" s="1"/>
  <c r="AN17" i="18"/>
  <c r="AN46" i="18" s="1"/>
  <c r="AM17" i="18"/>
  <c r="AL17" i="18"/>
  <c r="AL46" i="18" s="1"/>
  <c r="AI17" i="18"/>
  <c r="AG17" i="18"/>
  <c r="AF17" i="18"/>
  <c r="U17" i="18"/>
  <c r="T17" i="18"/>
  <c r="S17" i="18"/>
  <c r="R17" i="18"/>
  <c r="Q17" i="18"/>
  <c r="P17" i="18"/>
  <c r="AR10" i="18"/>
  <c r="AQ10" i="18"/>
  <c r="AP10" i="18"/>
  <c r="AO10" i="18"/>
  <c r="AN10" i="18"/>
  <c r="AM10" i="18"/>
  <c r="AL10" i="18"/>
  <c r="AI10" i="18"/>
  <c r="AF10" i="18"/>
  <c r="AE10" i="18"/>
  <c r="AC10" i="18"/>
  <c r="AB10" i="18"/>
  <c r="Y10" i="18"/>
  <c r="V10" i="18"/>
  <c r="U10" i="18"/>
  <c r="T10" i="18"/>
  <c r="R10" i="18"/>
  <c r="Q10" i="18"/>
  <c r="P10" i="18"/>
  <c r="P9" i="18"/>
  <c r="AR8" i="18"/>
  <c r="AQ8" i="18"/>
  <c r="AP8" i="18"/>
  <c r="AO8" i="18"/>
  <c r="AN8" i="18"/>
  <c r="AM8" i="18"/>
  <c r="AL8" i="18"/>
  <c r="AK8" i="18"/>
  <c r="AJ8" i="18"/>
  <c r="AI8" i="18"/>
  <c r="AH8" i="18"/>
  <c r="AG8" i="18"/>
  <c r="AF8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Q7" i="18"/>
  <c r="P7" i="18"/>
  <c r="AP46" i="17"/>
  <c r="AO46" i="17"/>
  <c r="AL46" i="17"/>
  <c r="AK46" i="17"/>
  <c r="P46" i="17"/>
  <c r="L25" i="17"/>
  <c r="L24" i="17" s="1"/>
  <c r="L22" i="17" s="1"/>
  <c r="L23" i="17"/>
  <c r="L19" i="17"/>
  <c r="L18" i="17" s="1"/>
  <c r="AR17" i="17"/>
  <c r="AQ17" i="17"/>
  <c r="AP17" i="17"/>
  <c r="AO17" i="17"/>
  <c r="AN17" i="17"/>
  <c r="AN46" i="17" s="1"/>
  <c r="AM17" i="17"/>
  <c r="AM46" i="17" s="1"/>
  <c r="AL17" i="17"/>
  <c r="AK17" i="17"/>
  <c r="AJ17" i="17"/>
  <c r="AJ46" i="17" s="1"/>
  <c r="AI17" i="17"/>
  <c r="AI46" i="17" s="1"/>
  <c r="AG17" i="17"/>
  <c r="AF17" i="17"/>
  <c r="U17" i="17"/>
  <c r="T17" i="17"/>
  <c r="S17" i="17"/>
  <c r="R17" i="17"/>
  <c r="Q17" i="17"/>
  <c r="P17" i="17"/>
  <c r="L17" i="17"/>
  <c r="AR10" i="17"/>
  <c r="AQ10" i="17"/>
  <c r="AP10" i="17"/>
  <c r="AO10" i="17"/>
  <c r="AN10" i="17"/>
  <c r="AM10" i="17"/>
  <c r="AL10" i="17"/>
  <c r="AK10" i="17"/>
  <c r="AJ10" i="17"/>
  <c r="AI10" i="17"/>
  <c r="AF10" i="17"/>
  <c r="AE10" i="17"/>
  <c r="AC10" i="17"/>
  <c r="AB10" i="17"/>
  <c r="Y10" i="17"/>
  <c r="V10" i="17"/>
  <c r="U10" i="17"/>
  <c r="T10" i="17"/>
  <c r="R10" i="17"/>
  <c r="Q10" i="17"/>
  <c r="P10" i="17"/>
  <c r="P9" i="17"/>
  <c r="AR8" i="17"/>
  <c r="AQ8" i="17"/>
  <c r="AP8" i="17"/>
  <c r="AO8" i="17"/>
  <c r="AN8" i="17"/>
  <c r="AM8" i="17"/>
  <c r="AL8" i="17"/>
  <c r="AK8" i="17"/>
  <c r="AJ8" i="17"/>
  <c r="AI8" i="17"/>
  <c r="AH8" i="17"/>
  <c r="AG8" i="17"/>
  <c r="AF8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P7" i="17"/>
  <c r="AM46" i="16"/>
  <c r="AL46" i="16"/>
  <c r="AI46" i="16"/>
  <c r="AE46" i="16"/>
  <c r="AD46" i="16"/>
  <c r="L25" i="16"/>
  <c r="L24" i="16"/>
  <c r="L22" i="16" s="1"/>
  <c r="L23" i="16"/>
  <c r="L19" i="16"/>
  <c r="AR17" i="16"/>
  <c r="AQ17" i="16"/>
  <c r="AP17" i="16"/>
  <c r="AP46" i="16" s="1"/>
  <c r="AO17" i="16"/>
  <c r="AO46" i="16" s="1"/>
  <c r="AN17" i="16"/>
  <c r="AN46" i="16" s="1"/>
  <c r="AM17" i="16"/>
  <c r="AL17" i="16"/>
  <c r="AK17" i="16"/>
  <c r="AK46" i="16" s="1"/>
  <c r="AJ17" i="16"/>
  <c r="AJ46" i="16" s="1"/>
  <c r="AI17" i="16"/>
  <c r="AH17" i="16"/>
  <c r="AH46" i="16" s="1"/>
  <c r="AG17" i="16"/>
  <c r="AG46" i="16" s="1"/>
  <c r="AF17" i="16"/>
  <c r="AF46" i="16" s="1"/>
  <c r="AE17" i="16"/>
  <c r="AD17" i="16"/>
  <c r="AC17" i="16"/>
  <c r="AC46" i="16" s="1"/>
  <c r="U17" i="16"/>
  <c r="T17" i="16"/>
  <c r="S17" i="16"/>
  <c r="R17" i="16"/>
  <c r="Q17" i="16"/>
  <c r="P17" i="16"/>
  <c r="AR10" i="16"/>
  <c r="AQ10" i="16"/>
  <c r="AP10" i="16"/>
  <c r="AO10" i="16"/>
  <c r="AN10" i="16"/>
  <c r="AM10" i="16"/>
  <c r="AL10" i="16"/>
  <c r="AK10" i="16"/>
  <c r="AJ10" i="16"/>
  <c r="AI10" i="16"/>
  <c r="AH10" i="16"/>
  <c r="AG10" i="16"/>
  <c r="AF10" i="16"/>
  <c r="AE10" i="16"/>
  <c r="AD10" i="16"/>
  <c r="AC10" i="16"/>
  <c r="AB10" i="16"/>
  <c r="Y10" i="16"/>
  <c r="V10" i="16"/>
  <c r="U10" i="16"/>
  <c r="T10" i="16"/>
  <c r="R10" i="16"/>
  <c r="Q10" i="16"/>
  <c r="P10" i="16"/>
  <c r="P23" i="16" s="1"/>
  <c r="P9" i="16"/>
  <c r="AR8" i="16"/>
  <c r="AQ8" i="16"/>
  <c r="AP8" i="16"/>
  <c r="AO8" i="16"/>
  <c r="AN8" i="16"/>
  <c r="AM8" i="16"/>
  <c r="AL8" i="16"/>
  <c r="AK8" i="16"/>
  <c r="AJ8" i="16"/>
  <c r="AI8" i="16"/>
  <c r="AH8" i="16"/>
  <c r="AG8" i="16"/>
  <c r="AF8" i="16"/>
  <c r="AE8" i="16"/>
  <c r="AD8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P14" i="16" s="1"/>
  <c r="P18" i="16" s="1"/>
  <c r="R7" i="16"/>
  <c r="Q7" i="16"/>
  <c r="P7" i="16"/>
  <c r="AN46" i="15"/>
  <c r="AJ46" i="15"/>
  <c r="AF46" i="15"/>
  <c r="AB46" i="15"/>
  <c r="X46" i="15"/>
  <c r="T46" i="15"/>
  <c r="P46" i="15"/>
  <c r="L25" i="15"/>
  <c r="L24" i="15" s="1"/>
  <c r="L22" i="15" s="1"/>
  <c r="P23" i="15"/>
  <c r="P25" i="15" s="1"/>
  <c r="L23" i="15"/>
  <c r="L19" i="15"/>
  <c r="L18" i="15" s="1"/>
  <c r="AR17" i="15"/>
  <c r="AQ17" i="15"/>
  <c r="AP17" i="15"/>
  <c r="AP46" i="15" s="1"/>
  <c r="AO17" i="15"/>
  <c r="AO46" i="15" s="1"/>
  <c r="AN17" i="15"/>
  <c r="AM17" i="15"/>
  <c r="AM46" i="15" s="1"/>
  <c r="AL17" i="15"/>
  <c r="AL46" i="15" s="1"/>
  <c r="AK17" i="15"/>
  <c r="AK46" i="15" s="1"/>
  <c r="AJ17" i="15"/>
  <c r="AI17" i="15"/>
  <c r="AI46" i="15" s="1"/>
  <c r="AH17" i="15"/>
  <c r="AH46" i="15" s="1"/>
  <c r="AG17" i="15"/>
  <c r="AG46" i="15" s="1"/>
  <c r="AF17" i="15"/>
  <c r="AE17" i="15"/>
  <c r="AE46" i="15" s="1"/>
  <c r="AD17" i="15"/>
  <c r="AD46" i="15" s="1"/>
  <c r="AC17" i="15"/>
  <c r="AC46" i="15" s="1"/>
  <c r="AB17" i="15"/>
  <c r="AA17" i="15"/>
  <c r="AA46" i="15" s="1"/>
  <c r="Z17" i="15"/>
  <c r="Z46" i="15" s="1"/>
  <c r="Y17" i="15"/>
  <c r="Y46" i="15" s="1"/>
  <c r="X17" i="15"/>
  <c r="W17" i="15"/>
  <c r="W46" i="15" s="1"/>
  <c r="V17" i="15"/>
  <c r="V46" i="15" s="1"/>
  <c r="U17" i="15"/>
  <c r="U46" i="15" s="1"/>
  <c r="T17" i="15"/>
  <c r="S17" i="15"/>
  <c r="S46" i="15" s="1"/>
  <c r="R17" i="15"/>
  <c r="R46" i="15" s="1"/>
  <c r="Q17" i="15"/>
  <c r="Q46" i="15" s="1"/>
  <c r="P17" i="15"/>
  <c r="L17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P9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Q7" i="15"/>
  <c r="R7" i="15" s="1"/>
  <c r="P7" i="15"/>
  <c r="P14" i="15" s="1"/>
  <c r="AP46" i="14"/>
  <c r="AO46" i="14"/>
  <c r="AL46" i="14"/>
  <c r="AK46" i="14"/>
  <c r="AH46" i="14"/>
  <c r="AG46" i="14"/>
  <c r="AD46" i="14"/>
  <c r="AC46" i="14"/>
  <c r="Z46" i="14"/>
  <c r="Y46" i="14"/>
  <c r="L25" i="14"/>
  <c r="L19" i="14"/>
  <c r="L18" i="14" s="1"/>
  <c r="AR17" i="14"/>
  <c r="AQ17" i="14"/>
  <c r="AP17" i="14"/>
  <c r="AO17" i="14"/>
  <c r="AN17" i="14"/>
  <c r="AN46" i="14" s="1"/>
  <c r="AM17" i="14"/>
  <c r="AM46" i="14" s="1"/>
  <c r="AL17" i="14"/>
  <c r="AK17" i="14"/>
  <c r="AJ17" i="14"/>
  <c r="AJ46" i="14" s="1"/>
  <c r="AI17" i="14"/>
  <c r="AI46" i="14" s="1"/>
  <c r="AH17" i="14"/>
  <c r="AG17" i="14"/>
  <c r="AF17" i="14"/>
  <c r="AF46" i="14" s="1"/>
  <c r="AE17" i="14"/>
  <c r="AE46" i="14" s="1"/>
  <c r="AD17" i="14"/>
  <c r="AC17" i="14"/>
  <c r="AB17" i="14"/>
  <c r="AB46" i="14" s="1"/>
  <c r="AA17" i="14"/>
  <c r="AA46" i="14" s="1"/>
  <c r="Z17" i="14"/>
  <c r="Y17" i="14"/>
  <c r="U17" i="14"/>
  <c r="T17" i="14"/>
  <c r="S17" i="14"/>
  <c r="R17" i="14"/>
  <c r="Q17" i="14"/>
  <c r="P17" i="14"/>
  <c r="L17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V10" i="14"/>
  <c r="U10" i="14"/>
  <c r="T10" i="14"/>
  <c r="R10" i="14"/>
  <c r="Q10" i="14"/>
  <c r="P10" i="14"/>
  <c r="Q9" i="14" s="1"/>
  <c r="P9" i="14"/>
  <c r="AR8" i="14"/>
  <c r="AQ8" i="14"/>
  <c r="AP8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P7" i="14"/>
  <c r="P14" i="14" s="1"/>
  <c r="P18" i="14" s="1"/>
  <c r="AP46" i="13"/>
  <c r="AO46" i="13"/>
  <c r="AL46" i="13"/>
  <c r="AK46" i="13"/>
  <c r="AH46" i="13"/>
  <c r="AG46" i="13"/>
  <c r="L25" i="13"/>
  <c r="L24" i="13"/>
  <c r="L22" i="13" s="1"/>
  <c r="L23" i="13"/>
  <c r="L19" i="13"/>
  <c r="L18" i="13"/>
  <c r="AR17" i="13"/>
  <c r="AQ17" i="13"/>
  <c r="AP17" i="13"/>
  <c r="AO17" i="13"/>
  <c r="AN17" i="13"/>
  <c r="AN46" i="13" s="1"/>
  <c r="AM17" i="13"/>
  <c r="AM46" i="13" s="1"/>
  <c r="AL17" i="13"/>
  <c r="AK17" i="13"/>
  <c r="AJ17" i="13"/>
  <c r="AJ46" i="13" s="1"/>
  <c r="AI17" i="13"/>
  <c r="AI46" i="13" s="1"/>
  <c r="AH17" i="13"/>
  <c r="AG17" i="13"/>
  <c r="AF17" i="13"/>
  <c r="AF46" i="13" s="1"/>
  <c r="AE17" i="13"/>
  <c r="AE46" i="13" s="1"/>
  <c r="U17" i="13"/>
  <c r="T17" i="13"/>
  <c r="S17" i="13"/>
  <c r="R17" i="13"/>
  <c r="Q17" i="13"/>
  <c r="P17" i="13"/>
  <c r="L17" i="13"/>
  <c r="P14" i="13"/>
  <c r="P18" i="13" s="1"/>
  <c r="Q12" i="13"/>
  <c r="Q13" i="13" s="1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C10" i="13"/>
  <c r="AB10" i="13"/>
  <c r="Y10" i="13"/>
  <c r="V10" i="13"/>
  <c r="U10" i="13"/>
  <c r="T10" i="13"/>
  <c r="R10" i="13"/>
  <c r="Q10" i="13"/>
  <c r="P10" i="13"/>
  <c r="P23" i="13" s="1"/>
  <c r="P9" i="13"/>
  <c r="Q9" i="13" s="1"/>
  <c r="AR8" i="13"/>
  <c r="AQ8" i="13"/>
  <c r="AP8" i="13"/>
  <c r="AO8" i="13"/>
  <c r="AN8" i="13"/>
  <c r="AM8" i="13"/>
  <c r="AL8" i="13"/>
  <c r="AK8" i="13"/>
  <c r="AJ8" i="13"/>
  <c r="AI8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P7" i="13"/>
  <c r="M3" i="13" a="1"/>
  <c r="M3" i="13" s="1"/>
  <c r="AM46" i="12"/>
  <c r="AL46" i="12"/>
  <c r="AE46" i="12"/>
  <c r="AD46" i="12"/>
  <c r="W46" i="12"/>
  <c r="V46" i="12"/>
  <c r="L25" i="12"/>
  <c r="L24" i="12" s="1"/>
  <c r="L22" i="12"/>
  <c r="L19" i="12"/>
  <c r="L18" i="12"/>
  <c r="AR17" i="12"/>
  <c r="AQ17" i="12"/>
  <c r="AP17" i="12"/>
  <c r="AP46" i="12" s="1"/>
  <c r="AO17" i="12"/>
  <c r="AO46" i="12" s="1"/>
  <c r="AN17" i="12"/>
  <c r="AN46" i="12" s="1"/>
  <c r="AM17" i="12"/>
  <c r="AL17" i="12"/>
  <c r="AK17" i="12"/>
  <c r="AK46" i="12" s="1"/>
  <c r="AJ17" i="12"/>
  <c r="AJ46" i="12" s="1"/>
  <c r="AI17" i="12"/>
  <c r="AI46" i="12" s="1"/>
  <c r="AH17" i="12"/>
  <c r="AH46" i="12" s="1"/>
  <c r="AG17" i="12"/>
  <c r="AG46" i="12" s="1"/>
  <c r="AF17" i="12"/>
  <c r="AF46" i="12" s="1"/>
  <c r="AE17" i="12"/>
  <c r="AD17" i="12"/>
  <c r="AC17" i="12"/>
  <c r="AC46" i="12" s="1"/>
  <c r="AB17" i="12"/>
  <c r="AB46" i="12" s="1"/>
  <c r="AA17" i="12"/>
  <c r="AA46" i="12" s="1"/>
  <c r="Z17" i="12"/>
  <c r="Z46" i="12" s="1"/>
  <c r="Y17" i="12"/>
  <c r="Y46" i="12" s="1"/>
  <c r="X17" i="12"/>
  <c r="X46" i="12" s="1"/>
  <c r="W17" i="12"/>
  <c r="V17" i="12"/>
  <c r="U17" i="12"/>
  <c r="U46" i="12" s="1"/>
  <c r="T17" i="12"/>
  <c r="T46" i="12" s="1"/>
  <c r="S17" i="12"/>
  <c r="S46" i="12" s="1"/>
  <c r="R17" i="12"/>
  <c r="R46" i="12" s="1"/>
  <c r="Q17" i="12"/>
  <c r="Q46" i="12" s="1"/>
  <c r="P17" i="12"/>
  <c r="P46" i="12" s="1"/>
  <c r="L17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P9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R7" i="12"/>
  <c r="S7" i="12" s="1"/>
  <c r="Q7" i="12"/>
  <c r="P7" i="12"/>
  <c r="P14" i="12" s="1"/>
  <c r="P18" i="12" s="1"/>
  <c r="AN46" i="11"/>
  <c r="AJ46" i="11"/>
  <c r="AF46" i="11"/>
  <c r="AB46" i="11"/>
  <c r="X46" i="11"/>
  <c r="T46" i="11"/>
  <c r="P46" i="11"/>
  <c r="L25" i="11"/>
  <c r="L24" i="11"/>
  <c r="L23" i="11"/>
  <c r="L22" i="11"/>
  <c r="L19" i="11"/>
  <c r="L18" i="11" s="1"/>
  <c r="AR17" i="11"/>
  <c r="AQ17" i="11"/>
  <c r="AP17" i="11"/>
  <c r="AP46" i="11" s="1"/>
  <c r="AO17" i="11"/>
  <c r="AO46" i="11" s="1"/>
  <c r="AN17" i="11"/>
  <c r="AM17" i="11"/>
  <c r="AM46" i="11" s="1"/>
  <c r="AL17" i="11"/>
  <c r="AL46" i="11" s="1"/>
  <c r="AK17" i="11"/>
  <c r="AK46" i="11" s="1"/>
  <c r="AJ17" i="11"/>
  <c r="AI17" i="11"/>
  <c r="AI46" i="11" s="1"/>
  <c r="AH17" i="11"/>
  <c r="AH46" i="11" s="1"/>
  <c r="AG17" i="11"/>
  <c r="AG46" i="11" s="1"/>
  <c r="AF17" i="11"/>
  <c r="AE17" i="11"/>
  <c r="AE46" i="11" s="1"/>
  <c r="AD17" i="11"/>
  <c r="AD46" i="11" s="1"/>
  <c r="AC17" i="11"/>
  <c r="AC46" i="11" s="1"/>
  <c r="AB17" i="11"/>
  <c r="AA17" i="11"/>
  <c r="AA46" i="11" s="1"/>
  <c r="Z17" i="11"/>
  <c r="Z46" i="11" s="1"/>
  <c r="Y17" i="11"/>
  <c r="Y46" i="11" s="1"/>
  <c r="X17" i="11"/>
  <c r="W17" i="11"/>
  <c r="W46" i="11" s="1"/>
  <c r="V17" i="11"/>
  <c r="V46" i="11" s="1"/>
  <c r="U17" i="11"/>
  <c r="U46" i="11" s="1"/>
  <c r="T17" i="11"/>
  <c r="S17" i="11"/>
  <c r="S46" i="11" s="1"/>
  <c r="R17" i="11"/>
  <c r="R46" i="11" s="1"/>
  <c r="Q17" i="11"/>
  <c r="Q46" i="11" s="1"/>
  <c r="P17" i="11"/>
  <c r="L17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P9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P7" i="11"/>
  <c r="P14" i="11" s="1"/>
  <c r="P18" i="11" s="1"/>
  <c r="AN46" i="10"/>
  <c r="AJ46" i="10"/>
  <c r="AF46" i="10"/>
  <c r="AB46" i="10"/>
  <c r="X46" i="10"/>
  <c r="L25" i="10"/>
  <c r="L24" i="10"/>
  <c r="L22" i="10" s="1"/>
  <c r="L23" i="10"/>
  <c r="L19" i="10"/>
  <c r="L18" i="10" s="1"/>
  <c r="AR17" i="10"/>
  <c r="AQ17" i="10"/>
  <c r="AP17" i="10"/>
  <c r="AP46" i="10" s="1"/>
  <c r="AO17" i="10"/>
  <c r="AO46" i="10" s="1"/>
  <c r="AN17" i="10"/>
  <c r="AM17" i="10"/>
  <c r="AM46" i="10" s="1"/>
  <c r="AL17" i="10"/>
  <c r="AL46" i="10" s="1"/>
  <c r="AK17" i="10"/>
  <c r="AK46" i="10" s="1"/>
  <c r="AJ17" i="10"/>
  <c r="AI17" i="10"/>
  <c r="AI46" i="10" s="1"/>
  <c r="AH17" i="10"/>
  <c r="AH46" i="10" s="1"/>
  <c r="AG17" i="10"/>
  <c r="AG46" i="10" s="1"/>
  <c r="AF17" i="10"/>
  <c r="AE17" i="10"/>
  <c r="AE46" i="10" s="1"/>
  <c r="AD17" i="10"/>
  <c r="AD46" i="10" s="1"/>
  <c r="AC17" i="10"/>
  <c r="AC46" i="10" s="1"/>
  <c r="AB17" i="10"/>
  <c r="AA17" i="10"/>
  <c r="AA46" i="10" s="1"/>
  <c r="Z17" i="10"/>
  <c r="Z46" i="10" s="1"/>
  <c r="Y17" i="10"/>
  <c r="Y46" i="10" s="1"/>
  <c r="X17" i="10"/>
  <c r="U17" i="10"/>
  <c r="T17" i="10"/>
  <c r="S17" i="10"/>
  <c r="R17" i="10"/>
  <c r="Q17" i="10"/>
  <c r="P17" i="10"/>
  <c r="G12" i="10"/>
  <c r="E11" i="10"/>
  <c r="U8" i="10" s="1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V10" i="10"/>
  <c r="U10" i="10"/>
  <c r="T10" i="10"/>
  <c r="R10" i="10"/>
  <c r="Q10" i="10"/>
  <c r="P10" i="10"/>
  <c r="E10" i="10"/>
  <c r="T8" i="10" s="1"/>
  <c r="P9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S8" i="10"/>
  <c r="R8" i="10"/>
  <c r="Q8" i="10"/>
  <c r="P8" i="10"/>
  <c r="P7" i="10"/>
  <c r="AP46" i="8"/>
  <c r="AK46" i="8"/>
  <c r="AH46" i="8"/>
  <c r="AC46" i="8"/>
  <c r="Z46" i="8"/>
  <c r="U46" i="8"/>
  <c r="R46" i="8"/>
  <c r="L25" i="8"/>
  <c r="L24" i="8" s="1"/>
  <c r="L22" i="8" s="1"/>
  <c r="L19" i="8"/>
  <c r="L18" i="8" s="1"/>
  <c r="AR17" i="8"/>
  <c r="AQ17" i="8"/>
  <c r="AP17" i="8"/>
  <c r="AO17" i="8"/>
  <c r="AO46" i="8" s="1"/>
  <c r="AN17" i="8"/>
  <c r="AN46" i="8" s="1"/>
  <c r="AM17" i="8"/>
  <c r="AM46" i="8" s="1"/>
  <c r="AL17" i="8"/>
  <c r="AL46" i="8" s="1"/>
  <c r="AK17" i="8"/>
  <c r="AJ17" i="8"/>
  <c r="AJ46" i="8" s="1"/>
  <c r="AI17" i="8"/>
  <c r="AI46" i="8" s="1"/>
  <c r="AH17" i="8"/>
  <c r="AG17" i="8"/>
  <c r="AG46" i="8" s="1"/>
  <c r="AF17" i="8"/>
  <c r="AF46" i="8" s="1"/>
  <c r="AE17" i="8"/>
  <c r="AE46" i="8" s="1"/>
  <c r="AD17" i="8"/>
  <c r="AD46" i="8" s="1"/>
  <c r="AC17" i="8"/>
  <c r="AB17" i="8"/>
  <c r="AB46" i="8" s="1"/>
  <c r="AA17" i="8"/>
  <c r="AA46" i="8" s="1"/>
  <c r="Z17" i="8"/>
  <c r="Y17" i="8"/>
  <c r="Y46" i="8" s="1"/>
  <c r="X17" i="8"/>
  <c r="X46" i="8" s="1"/>
  <c r="W17" i="8"/>
  <c r="W46" i="8" s="1"/>
  <c r="V17" i="8"/>
  <c r="V46" i="8" s="1"/>
  <c r="U17" i="8"/>
  <c r="T17" i="8"/>
  <c r="T46" i="8" s="1"/>
  <c r="S17" i="8"/>
  <c r="S46" i="8" s="1"/>
  <c r="R17" i="8"/>
  <c r="Q17" i="8"/>
  <c r="Q46" i="8" s="1"/>
  <c r="P17" i="8"/>
  <c r="P46" i="8" s="1"/>
  <c r="L17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P9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Q7" i="8"/>
  <c r="R7" i="8" s="1"/>
  <c r="P7" i="8"/>
  <c r="P14" i="8" s="1"/>
  <c r="P18" i="8" s="1"/>
  <c r="L25" i="7"/>
  <c r="L24" i="7" s="1"/>
  <c r="L22" i="7" s="1"/>
  <c r="L23" i="7"/>
  <c r="L19" i="7"/>
  <c r="L18" i="7"/>
  <c r="AR17" i="7"/>
  <c r="AQ17" i="7"/>
  <c r="AP17" i="7"/>
  <c r="AP46" i="7" s="1"/>
  <c r="AO17" i="7"/>
  <c r="AO46" i="7" s="1"/>
  <c r="AN17" i="7"/>
  <c r="AN46" i="7" s="1"/>
  <c r="AM17" i="7"/>
  <c r="AM46" i="7" s="1"/>
  <c r="AL17" i="7"/>
  <c r="AL46" i="7" s="1"/>
  <c r="AK17" i="7"/>
  <c r="AK46" i="7" s="1"/>
  <c r="AJ17" i="7"/>
  <c r="AJ46" i="7" s="1"/>
  <c r="AI17" i="7"/>
  <c r="AI46" i="7" s="1"/>
  <c r="AH17" i="7"/>
  <c r="AH46" i="7" s="1"/>
  <c r="AG17" i="7"/>
  <c r="AG46" i="7" s="1"/>
  <c r="AF17" i="7"/>
  <c r="AF46" i="7" s="1"/>
  <c r="AE17" i="7"/>
  <c r="AE46" i="7" s="1"/>
  <c r="AD17" i="7"/>
  <c r="AD46" i="7" s="1"/>
  <c r="AC17" i="7"/>
  <c r="AC46" i="7" s="1"/>
  <c r="AB17" i="7"/>
  <c r="AB46" i="7" s="1"/>
  <c r="U17" i="7"/>
  <c r="T17" i="7"/>
  <c r="S17" i="7"/>
  <c r="R17" i="7"/>
  <c r="Q17" i="7"/>
  <c r="P17" i="7"/>
  <c r="L17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Y10" i="7"/>
  <c r="V10" i="7"/>
  <c r="U10" i="7"/>
  <c r="T10" i="7"/>
  <c r="R10" i="7"/>
  <c r="Q10" i="7"/>
  <c r="P10" i="7"/>
  <c r="P9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P7" i="7"/>
  <c r="L25" i="6"/>
  <c r="L24" i="6"/>
  <c r="L23" i="6"/>
  <c r="L22" i="6"/>
  <c r="L19" i="6"/>
  <c r="L18" i="6"/>
  <c r="AR17" i="6"/>
  <c r="AQ17" i="6"/>
  <c r="AP17" i="6"/>
  <c r="AP46" i="6" s="1"/>
  <c r="AO17" i="6"/>
  <c r="AO46" i="6" s="1"/>
  <c r="AN17" i="6"/>
  <c r="AN46" i="6" s="1"/>
  <c r="AM17" i="6"/>
  <c r="AM46" i="6" s="1"/>
  <c r="AL17" i="6"/>
  <c r="AL46" i="6" s="1"/>
  <c r="AK17" i="6"/>
  <c r="AK46" i="6" s="1"/>
  <c r="AJ17" i="6"/>
  <c r="AJ46" i="6" s="1"/>
  <c r="AI17" i="6"/>
  <c r="AI46" i="6" s="1"/>
  <c r="AH17" i="6"/>
  <c r="AH46" i="6" s="1"/>
  <c r="AG17" i="6"/>
  <c r="AG46" i="6" s="1"/>
  <c r="AF17" i="6"/>
  <c r="AF46" i="6" s="1"/>
  <c r="AE17" i="6"/>
  <c r="AE46" i="6" s="1"/>
  <c r="AD17" i="6"/>
  <c r="AD46" i="6" s="1"/>
  <c r="AC17" i="6"/>
  <c r="AC46" i="6" s="1"/>
  <c r="AB17" i="6"/>
  <c r="AB46" i="6" s="1"/>
  <c r="AA17" i="6"/>
  <c r="AA46" i="6" s="1"/>
  <c r="Z17" i="6"/>
  <c r="Z46" i="6" s="1"/>
  <c r="Y17" i="6"/>
  <c r="Y46" i="6" s="1"/>
  <c r="X17" i="6"/>
  <c r="X46" i="6" s="1"/>
  <c r="W17" i="6"/>
  <c r="W46" i="6" s="1"/>
  <c r="V17" i="6"/>
  <c r="V46" i="6" s="1"/>
  <c r="U17" i="6"/>
  <c r="U46" i="6" s="1"/>
  <c r="T17" i="6"/>
  <c r="T46" i="6" s="1"/>
  <c r="S17" i="6"/>
  <c r="S46" i="6" s="1"/>
  <c r="R17" i="6"/>
  <c r="R46" i="6" s="1"/>
  <c r="Q17" i="6"/>
  <c r="Q46" i="6" s="1"/>
  <c r="P17" i="6"/>
  <c r="P46" i="6" s="1"/>
  <c r="L17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P9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P7" i="6"/>
  <c r="L25" i="5"/>
  <c r="L24" i="5" s="1"/>
  <c r="L22" i="5" s="1"/>
  <c r="L23" i="5"/>
  <c r="L19" i="5"/>
  <c r="L18" i="5"/>
  <c r="AR17" i="5"/>
  <c r="AQ17" i="5"/>
  <c r="AP17" i="5"/>
  <c r="AP46" i="5" s="1"/>
  <c r="AO17" i="5"/>
  <c r="AO46" i="5" s="1"/>
  <c r="AN17" i="5"/>
  <c r="AN46" i="5" s="1"/>
  <c r="AM17" i="5"/>
  <c r="AM46" i="5" s="1"/>
  <c r="AL17" i="5"/>
  <c r="AL46" i="5" s="1"/>
  <c r="AK17" i="5"/>
  <c r="AK46" i="5" s="1"/>
  <c r="AJ17" i="5"/>
  <c r="AJ46" i="5" s="1"/>
  <c r="AI17" i="5"/>
  <c r="AI46" i="5" s="1"/>
  <c r="AH17" i="5"/>
  <c r="AH46" i="5" s="1"/>
  <c r="AG17" i="5"/>
  <c r="AG46" i="5" s="1"/>
  <c r="AF17" i="5"/>
  <c r="AF46" i="5" s="1"/>
  <c r="AE17" i="5"/>
  <c r="AE46" i="5" s="1"/>
  <c r="AD17" i="5"/>
  <c r="AD46" i="5" s="1"/>
  <c r="AC17" i="5"/>
  <c r="AC46" i="5" s="1"/>
  <c r="AB17" i="5"/>
  <c r="AB46" i="5" s="1"/>
  <c r="AA17" i="5"/>
  <c r="AA46" i="5" s="1"/>
  <c r="Z17" i="5"/>
  <c r="Z46" i="5" s="1"/>
  <c r="Y17" i="5"/>
  <c r="Y46" i="5" s="1"/>
  <c r="X17" i="5"/>
  <c r="X46" i="5" s="1"/>
  <c r="W17" i="5"/>
  <c r="W46" i="5" s="1"/>
  <c r="V17" i="5"/>
  <c r="V46" i="5" s="1"/>
  <c r="U17" i="5"/>
  <c r="U46" i="5" s="1"/>
  <c r="T17" i="5"/>
  <c r="T46" i="5" s="1"/>
  <c r="S17" i="5"/>
  <c r="S46" i="5" s="1"/>
  <c r="R17" i="5"/>
  <c r="R46" i="5" s="1"/>
  <c r="Q17" i="5"/>
  <c r="Q46" i="5" s="1"/>
  <c r="P17" i="5"/>
  <c r="P46" i="5" s="1"/>
  <c r="L17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P9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Q7" i="5"/>
  <c r="P7" i="5"/>
  <c r="L25" i="4"/>
  <c r="L24" i="4" s="1"/>
  <c r="L22" i="4" s="1"/>
  <c r="L23" i="4"/>
  <c r="L19" i="4"/>
  <c r="L18" i="4"/>
  <c r="AR17" i="4"/>
  <c r="AQ17" i="4"/>
  <c r="AP17" i="4"/>
  <c r="AP46" i="4" s="1"/>
  <c r="AO17" i="4"/>
  <c r="AO46" i="4" s="1"/>
  <c r="AN17" i="4"/>
  <c r="AN46" i="4" s="1"/>
  <c r="AM17" i="4"/>
  <c r="AM46" i="4" s="1"/>
  <c r="AL17" i="4"/>
  <c r="AL46" i="4" s="1"/>
  <c r="AK17" i="4"/>
  <c r="AK46" i="4" s="1"/>
  <c r="AJ17" i="4"/>
  <c r="AJ46" i="4" s="1"/>
  <c r="AI17" i="4"/>
  <c r="AI46" i="4" s="1"/>
  <c r="AH17" i="4"/>
  <c r="AH46" i="4" s="1"/>
  <c r="AG17" i="4"/>
  <c r="AG46" i="4" s="1"/>
  <c r="AF17" i="4"/>
  <c r="AF46" i="4" s="1"/>
  <c r="AE17" i="4"/>
  <c r="AE46" i="4" s="1"/>
  <c r="AD17" i="4"/>
  <c r="AD46" i="4" s="1"/>
  <c r="AC17" i="4"/>
  <c r="AC46" i="4" s="1"/>
  <c r="AB17" i="4"/>
  <c r="AB46" i="4" s="1"/>
  <c r="AA17" i="4"/>
  <c r="AA46" i="4" s="1"/>
  <c r="Z17" i="4"/>
  <c r="Z46" i="4" s="1"/>
  <c r="Y17" i="4"/>
  <c r="Y46" i="4" s="1"/>
  <c r="X17" i="4"/>
  <c r="X46" i="4" s="1"/>
  <c r="W17" i="4"/>
  <c r="W46" i="4" s="1"/>
  <c r="V17" i="4"/>
  <c r="V46" i="4" s="1"/>
  <c r="U17" i="4"/>
  <c r="U46" i="4" s="1"/>
  <c r="T17" i="4"/>
  <c r="T46" i="4" s="1"/>
  <c r="S17" i="4"/>
  <c r="S46" i="4" s="1"/>
  <c r="R17" i="4"/>
  <c r="R46" i="4" s="1"/>
  <c r="Q17" i="4"/>
  <c r="Q46" i="4" s="1"/>
  <c r="P17" i="4"/>
  <c r="P46" i="4" s="1"/>
  <c r="L17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P9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P7" i="4"/>
  <c r="P14" i="4" s="1"/>
  <c r="P18" i="4" s="1"/>
  <c r="L25" i="3"/>
  <c r="L24" i="3" s="1"/>
  <c r="L22" i="3" s="1"/>
  <c r="L23" i="3"/>
  <c r="L19" i="3"/>
  <c r="L18" i="3"/>
  <c r="AR17" i="3"/>
  <c r="AQ17" i="3"/>
  <c r="AP17" i="3"/>
  <c r="AP46" i="3" s="1"/>
  <c r="AO17" i="3"/>
  <c r="AO46" i="3" s="1"/>
  <c r="AN17" i="3"/>
  <c r="AN46" i="3" s="1"/>
  <c r="AM17" i="3"/>
  <c r="AM46" i="3" s="1"/>
  <c r="AL17" i="3"/>
  <c r="AL46" i="3" s="1"/>
  <c r="AK17" i="3"/>
  <c r="AK46" i="3" s="1"/>
  <c r="AJ17" i="3"/>
  <c r="AJ46" i="3" s="1"/>
  <c r="AI17" i="3"/>
  <c r="AI46" i="3" s="1"/>
  <c r="AH17" i="3"/>
  <c r="AH46" i="3" s="1"/>
  <c r="AG17" i="3"/>
  <c r="AG46" i="3" s="1"/>
  <c r="AF17" i="3"/>
  <c r="AF46" i="3" s="1"/>
  <c r="AE17" i="3"/>
  <c r="AE46" i="3" s="1"/>
  <c r="AD17" i="3"/>
  <c r="AD46" i="3" s="1"/>
  <c r="AC17" i="3"/>
  <c r="AC46" i="3" s="1"/>
  <c r="AB17" i="3"/>
  <c r="AB46" i="3" s="1"/>
  <c r="AA17" i="3"/>
  <c r="Z17" i="3"/>
  <c r="Z46" i="3" s="1"/>
  <c r="Y17" i="3"/>
  <c r="Y46" i="3" s="1"/>
  <c r="X17" i="3"/>
  <c r="X46" i="3" s="1"/>
  <c r="W17" i="3"/>
  <c r="W46" i="3" s="1"/>
  <c r="V17" i="3"/>
  <c r="V46" i="3" s="1"/>
  <c r="U17" i="3"/>
  <c r="U46" i="3" s="1"/>
  <c r="T17" i="3"/>
  <c r="T46" i="3" s="1"/>
  <c r="S17" i="3"/>
  <c r="S46" i="3" s="1"/>
  <c r="R17" i="3"/>
  <c r="R46" i="3" s="1"/>
  <c r="Q17" i="3"/>
  <c r="Q46" i="3" s="1"/>
  <c r="P17" i="3"/>
  <c r="P46" i="3" s="1"/>
  <c r="L17" i="3"/>
  <c r="G17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P9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Q7" i="3"/>
  <c r="R7" i="3" s="1"/>
  <c r="P7" i="3"/>
  <c r="P14" i="3" s="1"/>
  <c r="P18" i="3" s="1"/>
  <c r="L25" i="2"/>
  <c r="L24" i="2" s="1"/>
  <c r="L23" i="2"/>
  <c r="L22" i="2"/>
  <c r="L19" i="2"/>
  <c r="L18" i="2"/>
  <c r="AR17" i="2"/>
  <c r="AQ17" i="2"/>
  <c r="AP17" i="2"/>
  <c r="AP46" i="2" s="1"/>
  <c r="AO17" i="2"/>
  <c r="AO46" i="2" s="1"/>
  <c r="AN17" i="2"/>
  <c r="AN46" i="2" s="1"/>
  <c r="AM17" i="2"/>
  <c r="AM46" i="2" s="1"/>
  <c r="AL17" i="2"/>
  <c r="AL46" i="2" s="1"/>
  <c r="AK17" i="2"/>
  <c r="AK46" i="2" s="1"/>
  <c r="AJ17" i="2"/>
  <c r="AJ46" i="2" s="1"/>
  <c r="AI17" i="2"/>
  <c r="AI46" i="2" s="1"/>
  <c r="AH17" i="2"/>
  <c r="AH46" i="2" s="1"/>
  <c r="AG17" i="2"/>
  <c r="AG46" i="2" s="1"/>
  <c r="AF17" i="2"/>
  <c r="AF46" i="2" s="1"/>
  <c r="AE17" i="2"/>
  <c r="AE46" i="2" s="1"/>
  <c r="AD17" i="2"/>
  <c r="AD46" i="2" s="1"/>
  <c r="AC17" i="2"/>
  <c r="AC46" i="2" s="1"/>
  <c r="AB17" i="2"/>
  <c r="AB46" i="2" s="1"/>
  <c r="AA17" i="2"/>
  <c r="AA46" i="2" s="1"/>
  <c r="Z17" i="2"/>
  <c r="Z46" i="2" s="1"/>
  <c r="Y17" i="2"/>
  <c r="Y46" i="2" s="1"/>
  <c r="X17" i="2"/>
  <c r="W17" i="2"/>
  <c r="V17" i="2"/>
  <c r="U17" i="2"/>
  <c r="T17" i="2"/>
  <c r="S17" i="2"/>
  <c r="R17" i="2"/>
  <c r="Q17" i="2"/>
  <c r="P17" i="2"/>
  <c r="L17" i="2"/>
  <c r="G14" i="2"/>
  <c r="G13" i="2"/>
  <c r="G12" i="2"/>
  <c r="G11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G10" i="2"/>
  <c r="P9" i="2"/>
  <c r="G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G8" i="2"/>
  <c r="Q7" i="2"/>
  <c r="R7" i="2" s="1"/>
  <c r="P7" i="2"/>
  <c r="G7" i="2"/>
  <c r="G6" i="2"/>
  <c r="L25" i="1"/>
  <c r="L24" i="1" s="1"/>
  <c r="L22" i="1" s="1"/>
  <c r="L19" i="1"/>
  <c r="L18" i="1"/>
  <c r="AR17" i="1"/>
  <c r="AQ17" i="1"/>
  <c r="AP17" i="1"/>
  <c r="AP46" i="1" s="1"/>
  <c r="AO17" i="1"/>
  <c r="AO46" i="1" s="1"/>
  <c r="AN17" i="1"/>
  <c r="AN46" i="1" s="1"/>
  <c r="AM17" i="1"/>
  <c r="AM46" i="1" s="1"/>
  <c r="AL17" i="1"/>
  <c r="AL46" i="1" s="1"/>
  <c r="AK17" i="1"/>
  <c r="AK46" i="1" s="1"/>
  <c r="AJ17" i="1"/>
  <c r="AJ46" i="1" s="1"/>
  <c r="AI17" i="1"/>
  <c r="AI46" i="1" s="1"/>
  <c r="AH17" i="1"/>
  <c r="AH46" i="1" s="1"/>
  <c r="AG17" i="1"/>
  <c r="AG46" i="1" s="1"/>
  <c r="AF17" i="1"/>
  <c r="AF46" i="1" s="1"/>
  <c r="AE17" i="1"/>
  <c r="AE46" i="1" s="1"/>
  <c r="AD17" i="1"/>
  <c r="AD46" i="1" s="1"/>
  <c r="AC17" i="1"/>
  <c r="AC46" i="1" s="1"/>
  <c r="AB17" i="1"/>
  <c r="AB46" i="1" s="1"/>
  <c r="AA17" i="1"/>
  <c r="AA46" i="1" s="1"/>
  <c r="Z17" i="1"/>
  <c r="Z46" i="1" s="1"/>
  <c r="Y17" i="1"/>
  <c r="Y46" i="1" s="1"/>
  <c r="X17" i="1"/>
  <c r="X46" i="1" s="1"/>
  <c r="W17" i="1"/>
  <c r="V17" i="1"/>
  <c r="U17" i="1"/>
  <c r="T17" i="1"/>
  <c r="S17" i="1"/>
  <c r="R17" i="1"/>
  <c r="R46" i="1" s="1"/>
  <c r="Q17" i="1"/>
  <c r="Q46" i="1" s="1"/>
  <c r="P17" i="1"/>
  <c r="P46" i="1" s="1"/>
  <c r="L17" i="1"/>
  <c r="G13" i="1"/>
  <c r="G12" i="1"/>
  <c r="V46" i="1" s="1"/>
  <c r="G11" i="1"/>
  <c r="U46" i="1" s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G10" i="1"/>
  <c r="T46" i="1" s="1"/>
  <c r="P9" i="1"/>
  <c r="G9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P7" i="1"/>
  <c r="G5" i="1"/>
  <c r="L25" i="9"/>
  <c r="L24" i="9" s="1"/>
  <c r="L22" i="9" s="1"/>
  <c r="L23" i="9"/>
  <c r="L19" i="9"/>
  <c r="L18" i="9" s="1"/>
  <c r="AR17" i="9"/>
  <c r="AQ17" i="9"/>
  <c r="AP17" i="9"/>
  <c r="AP46" i="9" s="1"/>
  <c r="AO17" i="9"/>
  <c r="AO46" i="9" s="1"/>
  <c r="AN17" i="9"/>
  <c r="AN46" i="9" s="1"/>
  <c r="AM17" i="9"/>
  <c r="AM46" i="9" s="1"/>
  <c r="AL17" i="9"/>
  <c r="AL46" i="9" s="1"/>
  <c r="AK17" i="9"/>
  <c r="AK46" i="9" s="1"/>
  <c r="AJ17" i="9"/>
  <c r="AJ46" i="9" s="1"/>
  <c r="AI17" i="9"/>
  <c r="AI46" i="9" s="1"/>
  <c r="AH17" i="9"/>
  <c r="AH46" i="9" s="1"/>
  <c r="AG17" i="9"/>
  <c r="AG46" i="9" s="1"/>
  <c r="AF17" i="9"/>
  <c r="AF46" i="9" s="1"/>
  <c r="AE17" i="9"/>
  <c r="AE46" i="9" s="1"/>
  <c r="AD17" i="9"/>
  <c r="AD46" i="9" s="1"/>
  <c r="AC17" i="9"/>
  <c r="AC46" i="9" s="1"/>
  <c r="AB17" i="9"/>
  <c r="AB46" i="9" s="1"/>
  <c r="AA17" i="9"/>
  <c r="AA46" i="9" s="1"/>
  <c r="Z17" i="9"/>
  <c r="Z46" i="9" s="1"/>
  <c r="Y17" i="9"/>
  <c r="Y46" i="9" s="1"/>
  <c r="X17" i="9"/>
  <c r="X46" i="9" s="1"/>
  <c r="W17" i="9"/>
  <c r="W46" i="9" s="1"/>
  <c r="V17" i="9"/>
  <c r="V46" i="9" s="1"/>
  <c r="U17" i="9"/>
  <c r="U46" i="9" s="1"/>
  <c r="T17" i="9"/>
  <c r="T46" i="9" s="1"/>
  <c r="S17" i="9"/>
  <c r="S46" i="9" s="1"/>
  <c r="R17" i="9"/>
  <c r="R46" i="9" s="1"/>
  <c r="Q17" i="9"/>
  <c r="Q46" i="9" s="1"/>
  <c r="P17" i="9"/>
  <c r="P46" i="9" s="1"/>
  <c r="L17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P9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Q7" i="9"/>
  <c r="R7" i="9" s="1"/>
  <c r="P7" i="9"/>
  <c r="P14" i="9" s="1"/>
  <c r="Z90" i="26" l="1"/>
  <c r="P90" i="26"/>
  <c r="R90" i="26"/>
  <c r="O90" i="26"/>
  <c r="J90" i="26"/>
  <c r="AH90" i="26"/>
  <c r="S90" i="26"/>
  <c r="H90" i="26"/>
  <c r="X90" i="26"/>
  <c r="M90" i="26"/>
  <c r="Y90" i="26"/>
  <c r="K90" i="26"/>
  <c r="AA90" i="26"/>
  <c r="AF90" i="26"/>
  <c r="Q90" i="26"/>
  <c r="N90" i="26"/>
  <c r="AD90" i="26"/>
  <c r="AE90" i="26"/>
  <c r="T90" i="26"/>
  <c r="I90" i="26"/>
  <c r="V90" i="26"/>
  <c r="G90" i="26"/>
  <c r="W90" i="26"/>
  <c r="L90" i="26"/>
  <c r="AB90" i="26"/>
  <c r="AG90" i="26"/>
  <c r="AC90" i="26"/>
  <c r="P18" i="9"/>
  <c r="Q9" i="9"/>
  <c r="S7" i="2"/>
  <c r="S7" i="9"/>
  <c r="R12" i="9"/>
  <c r="R13" i="9" s="1"/>
  <c r="P23" i="9"/>
  <c r="P25" i="9" s="1"/>
  <c r="Q7" i="1"/>
  <c r="R13" i="1"/>
  <c r="P14" i="1"/>
  <c r="P18" i="1" s="1"/>
  <c r="L23" i="1"/>
  <c r="S46" i="1"/>
  <c r="W46" i="1"/>
  <c r="Q46" i="2"/>
  <c r="S46" i="2"/>
  <c r="U46" i="2"/>
  <c r="S12" i="2"/>
  <c r="S13" i="2" s="1"/>
  <c r="P14" i="2"/>
  <c r="Q9" i="4"/>
  <c r="S12" i="9"/>
  <c r="S13" i="9" s="1"/>
  <c r="P23" i="1"/>
  <c r="P25" i="1" s="1"/>
  <c r="V46" i="2"/>
  <c r="T12" i="2"/>
  <c r="T13" i="2" s="1"/>
  <c r="Q9" i="3"/>
  <c r="T12" i="9"/>
  <c r="T13" i="9" s="1"/>
  <c r="R46" i="2"/>
  <c r="T46" i="2"/>
  <c r="Q12" i="2"/>
  <c r="Q13" i="2" s="1"/>
  <c r="W46" i="2"/>
  <c r="P19" i="3"/>
  <c r="P47" i="3"/>
  <c r="P47" i="4"/>
  <c r="P19" i="4"/>
  <c r="Q12" i="9"/>
  <c r="Q13" i="9" s="1"/>
  <c r="Q12" i="1"/>
  <c r="Q13" i="1" s="1"/>
  <c r="P46" i="2"/>
  <c r="R12" i="2"/>
  <c r="R13" i="2" s="1"/>
  <c r="X46" i="2"/>
  <c r="S7" i="3"/>
  <c r="R12" i="3"/>
  <c r="R13" i="3" s="1"/>
  <c r="AA46" i="3"/>
  <c r="Q7" i="4"/>
  <c r="P23" i="4"/>
  <c r="P25" i="4" s="1"/>
  <c r="R7" i="5"/>
  <c r="S12" i="5"/>
  <c r="S13" i="5" s="1"/>
  <c r="S12" i="3"/>
  <c r="S13" i="3" s="1"/>
  <c r="P23" i="3"/>
  <c r="P25" i="3" s="1"/>
  <c r="Q12" i="6"/>
  <c r="Q13" i="6" s="1"/>
  <c r="P14" i="6"/>
  <c r="P18" i="6" s="1"/>
  <c r="Q9" i="8"/>
  <c r="T12" i="3"/>
  <c r="T13" i="3" s="1"/>
  <c r="Q12" i="5"/>
  <c r="Q13" i="5" s="1"/>
  <c r="P14" i="5"/>
  <c r="P18" i="5" s="1"/>
  <c r="Q7" i="6"/>
  <c r="R12" i="6"/>
  <c r="R13" i="6" s="1"/>
  <c r="P23" i="6"/>
  <c r="P25" i="6" s="1"/>
  <c r="P14" i="7"/>
  <c r="P18" i="7" s="1"/>
  <c r="Q12" i="7"/>
  <c r="Q13" i="7" s="1"/>
  <c r="P47" i="8"/>
  <c r="P19" i="8"/>
  <c r="Q12" i="3"/>
  <c r="Q13" i="3" s="1"/>
  <c r="Q12" i="4"/>
  <c r="Q13" i="4" s="1"/>
  <c r="R12" i="5"/>
  <c r="R13" i="5" s="1"/>
  <c r="Q7" i="7"/>
  <c r="S7" i="8"/>
  <c r="R12" i="8"/>
  <c r="R13" i="8" s="1"/>
  <c r="P23" i="8"/>
  <c r="P25" i="8" s="1"/>
  <c r="P23" i="11"/>
  <c r="P25" i="11" s="1"/>
  <c r="P23" i="7"/>
  <c r="S12" i="8"/>
  <c r="S13" i="8" s="1"/>
  <c r="T7" i="12"/>
  <c r="P23" i="12"/>
  <c r="P25" i="12" s="1"/>
  <c r="Q9" i="12"/>
  <c r="T12" i="8"/>
  <c r="T13" i="8" s="1"/>
  <c r="P14" i="10"/>
  <c r="P18" i="10" s="1"/>
  <c r="Q12" i="10"/>
  <c r="Q13" i="10" s="1"/>
  <c r="Q7" i="10"/>
  <c r="P47" i="11"/>
  <c r="P19" i="11"/>
  <c r="S12" i="12"/>
  <c r="S13" i="12" s="1"/>
  <c r="Q12" i="8"/>
  <c r="Q13" i="8" s="1"/>
  <c r="L23" i="8"/>
  <c r="Q7" i="11"/>
  <c r="Q9" i="11"/>
  <c r="P19" i="12"/>
  <c r="P47" i="12"/>
  <c r="S7" i="15"/>
  <c r="S7" i="16"/>
  <c r="R12" i="16"/>
  <c r="R13" i="16" s="1"/>
  <c r="L17" i="16"/>
  <c r="L18" i="16"/>
  <c r="T12" i="12"/>
  <c r="T13" i="12" s="1"/>
  <c r="R12" i="15"/>
  <c r="R13" i="15" s="1"/>
  <c r="R7" i="18"/>
  <c r="L17" i="10"/>
  <c r="Q12" i="12"/>
  <c r="Q13" i="12" s="1"/>
  <c r="U12" i="12"/>
  <c r="U13" i="12" s="1"/>
  <c r="L23" i="12"/>
  <c r="Q12" i="11"/>
  <c r="Q13" i="11" s="1"/>
  <c r="R12" i="12"/>
  <c r="R13" i="12" s="1"/>
  <c r="L24" i="14"/>
  <c r="L22" i="14" s="1"/>
  <c r="L23" i="14"/>
  <c r="P18" i="15"/>
  <c r="Q9" i="15"/>
  <c r="Q7" i="17"/>
  <c r="S12" i="15"/>
  <c r="S13" i="15" s="1"/>
  <c r="Q9" i="16"/>
  <c r="P14" i="17"/>
  <c r="Q9" i="17" s="1"/>
  <c r="L24" i="18"/>
  <c r="L22" i="18" s="1"/>
  <c r="L23" i="18"/>
  <c r="Q7" i="13"/>
  <c r="Q7" i="14"/>
  <c r="Q12" i="14"/>
  <c r="Q13" i="14" s="1"/>
  <c r="P23" i="14"/>
  <c r="T12" i="15"/>
  <c r="T13" i="15" s="1"/>
  <c r="T12" i="16"/>
  <c r="T13" i="16" s="1"/>
  <c r="S12" i="16"/>
  <c r="S13" i="16" s="1"/>
  <c r="Q12" i="15"/>
  <c r="Q13" i="15" s="1"/>
  <c r="Q12" i="16"/>
  <c r="Q13" i="16" s="1"/>
  <c r="L18" i="18"/>
  <c r="L17" i="18"/>
  <c r="Q12" i="18"/>
  <c r="Q13" i="18" s="1"/>
  <c r="P14" i="18"/>
  <c r="Q12" i="19"/>
  <c r="Q13" i="19" s="1"/>
  <c r="P23" i="19"/>
  <c r="P18" i="20"/>
  <c r="Q9" i="20"/>
  <c r="P23" i="20"/>
  <c r="P25" i="20" s="1"/>
  <c r="Q12" i="17"/>
  <c r="Q13" i="17" s="1"/>
  <c r="R12" i="18"/>
  <c r="R13" i="18" s="1"/>
  <c r="Q7" i="19"/>
  <c r="R12" i="19"/>
  <c r="R13" i="19" s="1"/>
  <c r="Q7" i="20"/>
  <c r="L24" i="22"/>
  <c r="L22" i="22" s="1"/>
  <c r="L23" i="22"/>
  <c r="S12" i="18"/>
  <c r="S13" i="18" s="1"/>
  <c r="L24" i="19"/>
  <c r="L22" i="19" s="1"/>
  <c r="L24" i="20"/>
  <c r="L22" i="20" s="1"/>
  <c r="P14" i="21"/>
  <c r="Q12" i="21"/>
  <c r="Q13" i="21" s="1"/>
  <c r="Q12" i="20"/>
  <c r="Q13" i="20" s="1"/>
  <c r="Q7" i="21"/>
  <c r="P14" i="23"/>
  <c r="P18" i="23" s="1"/>
  <c r="P47" i="23" s="1"/>
  <c r="Q12" i="23"/>
  <c r="Q13" i="23" s="1"/>
  <c r="Q9" i="23"/>
  <c r="P14" i="22"/>
  <c r="P18" i="22" s="1"/>
  <c r="Q7" i="23"/>
  <c r="Q7" i="24"/>
  <c r="P23" i="23"/>
  <c r="P25" i="23" s="1"/>
  <c r="Q7" i="22"/>
  <c r="L24" i="24"/>
  <c r="L22" i="24" s="1"/>
  <c r="L23" i="24"/>
  <c r="Q12" i="24"/>
  <c r="Q13" i="24" s="1"/>
  <c r="P14" i="24"/>
  <c r="R9" i="17" l="1"/>
  <c r="Q14" i="23"/>
  <c r="Q18" i="23" s="1"/>
  <c r="Q47" i="23" s="1"/>
  <c r="R7" i="23"/>
  <c r="R9" i="23"/>
  <c r="R12" i="23"/>
  <c r="R13" i="23" s="1"/>
  <c r="P23" i="22"/>
  <c r="Q14" i="21"/>
  <c r="Q18" i="21" s="1"/>
  <c r="R7" i="21"/>
  <c r="P47" i="15"/>
  <c r="P19" i="15"/>
  <c r="T7" i="15"/>
  <c r="Q23" i="12"/>
  <c r="Q25" i="12" s="1"/>
  <c r="Q9" i="10"/>
  <c r="Q14" i="12"/>
  <c r="Q18" i="12" s="1"/>
  <c r="T7" i="8"/>
  <c r="R12" i="7"/>
  <c r="R13" i="7" s="1"/>
  <c r="R7" i="4"/>
  <c r="Q14" i="4"/>
  <c r="T7" i="2"/>
  <c r="P47" i="20"/>
  <c r="P19" i="20"/>
  <c r="Q9" i="18"/>
  <c r="P18" i="18"/>
  <c r="P18" i="17"/>
  <c r="P47" i="17" s="1"/>
  <c r="P23" i="17"/>
  <c r="P25" i="17" s="1"/>
  <c r="Q14" i="15"/>
  <c r="Q18" i="15" s="1"/>
  <c r="Q14" i="10"/>
  <c r="Q18" i="10" s="1"/>
  <c r="R7" i="10"/>
  <c r="P23" i="10"/>
  <c r="R7" i="7"/>
  <c r="R7" i="6"/>
  <c r="Q14" i="6"/>
  <c r="Q18" i="6" s="1"/>
  <c r="Q9" i="7"/>
  <c r="Q9" i="5"/>
  <c r="P19" i="1"/>
  <c r="P47" i="1"/>
  <c r="R7" i="1"/>
  <c r="P18" i="24"/>
  <c r="P23" i="24"/>
  <c r="Q9" i="24"/>
  <c r="R12" i="21"/>
  <c r="R13" i="21" s="1"/>
  <c r="S12" i="19"/>
  <c r="S13" i="19" s="1"/>
  <c r="R7" i="19"/>
  <c r="Q14" i="19"/>
  <c r="R7" i="13"/>
  <c r="Q14" i="13"/>
  <c r="R12" i="13"/>
  <c r="R13" i="13" s="1"/>
  <c r="Q14" i="17"/>
  <c r="Q18" i="17" s="1"/>
  <c r="R7" i="17"/>
  <c r="S7" i="18"/>
  <c r="P23" i="18"/>
  <c r="R7" i="11"/>
  <c r="Q14" i="11"/>
  <c r="R12" i="11"/>
  <c r="R13" i="11" s="1"/>
  <c r="R12" i="10"/>
  <c r="R13" i="10" s="1"/>
  <c r="Q14" i="8"/>
  <c r="Q23" i="8" s="1"/>
  <c r="Q25" i="8" s="1"/>
  <c r="P47" i="5"/>
  <c r="P19" i="5"/>
  <c r="P19" i="6"/>
  <c r="P47" i="6"/>
  <c r="Q9" i="6"/>
  <c r="Q14" i="3"/>
  <c r="Q23" i="3" s="1"/>
  <c r="Q25" i="3" s="1"/>
  <c r="T7" i="3"/>
  <c r="R9" i="4"/>
  <c r="T7" i="9"/>
  <c r="R7" i="22"/>
  <c r="R12" i="22"/>
  <c r="R13" i="22" s="1"/>
  <c r="S12" i="22"/>
  <c r="S13" i="22" s="1"/>
  <c r="R7" i="24"/>
  <c r="Q14" i="24"/>
  <c r="Q18" i="24" s="1"/>
  <c r="R12" i="24"/>
  <c r="R13" i="24" s="1"/>
  <c r="Q9" i="22"/>
  <c r="P18" i="21"/>
  <c r="Q9" i="21"/>
  <c r="P23" i="21"/>
  <c r="R7" i="20"/>
  <c r="R12" i="20"/>
  <c r="R13" i="20" s="1"/>
  <c r="Q14" i="20"/>
  <c r="Q14" i="14"/>
  <c r="R12" i="14"/>
  <c r="R13" i="14" s="1"/>
  <c r="R7" i="14"/>
  <c r="S12" i="14"/>
  <c r="S13" i="14" s="1"/>
  <c r="R12" i="17"/>
  <c r="R13" i="17" s="1"/>
  <c r="S12" i="17"/>
  <c r="S13" i="17" s="1"/>
  <c r="R9" i="15"/>
  <c r="Q23" i="15"/>
  <c r="Q25" i="15" s="1"/>
  <c r="T7" i="16"/>
  <c r="U7" i="12"/>
  <c r="Q14" i="16"/>
  <c r="Q18" i="16" s="1"/>
  <c r="S7" i="5"/>
  <c r="R12" i="4"/>
  <c r="R13" i="4" s="1"/>
  <c r="P23" i="5"/>
  <c r="P25" i="5" s="1"/>
  <c r="Q9" i="2"/>
  <c r="P18" i="2"/>
  <c r="Q14" i="9"/>
  <c r="Q23" i="9" s="1"/>
  <c r="Q25" i="9" s="1"/>
  <c r="Q9" i="1"/>
  <c r="P23" i="2"/>
  <c r="P25" i="2" s="1"/>
  <c r="P47" i="9"/>
  <c r="P19" i="9"/>
  <c r="T12" i="14" l="1"/>
  <c r="T13" i="14" s="1"/>
  <c r="S7" i="7"/>
  <c r="R14" i="10"/>
  <c r="R18" i="10" s="1"/>
  <c r="S7" i="10"/>
  <c r="T12" i="10"/>
  <c r="T13" i="10" s="1"/>
  <c r="R9" i="2"/>
  <c r="Q14" i="2"/>
  <c r="Q18" i="2" s="1"/>
  <c r="S12" i="7"/>
  <c r="S13" i="7" s="1"/>
  <c r="V7" i="12"/>
  <c r="V12" i="12"/>
  <c r="V13" i="12" s="1"/>
  <c r="R14" i="15"/>
  <c r="R18" i="15" s="1"/>
  <c r="S7" i="20"/>
  <c r="S12" i="20"/>
  <c r="S13" i="20" s="1"/>
  <c r="S7" i="11"/>
  <c r="S12" i="11"/>
  <c r="S13" i="11" s="1"/>
  <c r="T12" i="11"/>
  <c r="T13" i="11" s="1"/>
  <c r="T7" i="18"/>
  <c r="U12" i="18"/>
  <c r="U13" i="18" s="1"/>
  <c r="T12" i="18"/>
  <c r="T13" i="18" s="1"/>
  <c r="S7" i="17"/>
  <c r="R14" i="17"/>
  <c r="R18" i="17" s="1"/>
  <c r="Q18" i="13"/>
  <c r="R9" i="13"/>
  <c r="Q23" i="13"/>
  <c r="S7" i="13"/>
  <c r="T12" i="13"/>
  <c r="T13" i="13" s="1"/>
  <c r="S7" i="19"/>
  <c r="Q23" i="24"/>
  <c r="R9" i="24"/>
  <c r="S7" i="1"/>
  <c r="S13" i="1"/>
  <c r="S12" i="10"/>
  <c r="S13" i="10" s="1"/>
  <c r="Q19" i="15"/>
  <c r="Q47" i="15"/>
  <c r="S7" i="4"/>
  <c r="R14" i="4"/>
  <c r="R18" i="4" s="1"/>
  <c r="S12" i="4"/>
  <c r="S13" i="4" s="1"/>
  <c r="T12" i="4"/>
  <c r="T13" i="4" s="1"/>
  <c r="Q23" i="10"/>
  <c r="R9" i="10"/>
  <c r="S7" i="21"/>
  <c r="S12" i="21"/>
  <c r="S13" i="21" s="1"/>
  <c r="Q23" i="23"/>
  <c r="Q25" i="23" s="1"/>
  <c r="U7" i="9"/>
  <c r="V12" i="9"/>
  <c r="V13" i="9" s="1"/>
  <c r="U12" i="9"/>
  <c r="U13" i="9" s="1"/>
  <c r="R23" i="4"/>
  <c r="R25" i="4" s="1"/>
  <c r="S9" i="4"/>
  <c r="Q18" i="3"/>
  <c r="Q18" i="8"/>
  <c r="Q18" i="11"/>
  <c r="Q18" i="4"/>
  <c r="Q18" i="9"/>
  <c r="U7" i="16"/>
  <c r="U12" i="16"/>
  <c r="U13" i="16" s="1"/>
  <c r="V12" i="16"/>
  <c r="V13" i="16" s="1"/>
  <c r="S7" i="14"/>
  <c r="Q18" i="14"/>
  <c r="Q23" i="14"/>
  <c r="R9" i="14"/>
  <c r="Q18" i="20"/>
  <c r="Q14" i="22"/>
  <c r="Q18" i="22" s="1"/>
  <c r="S7" i="22"/>
  <c r="R9" i="9"/>
  <c r="U7" i="3"/>
  <c r="U12" i="3"/>
  <c r="U13" i="3" s="1"/>
  <c r="V12" i="3"/>
  <c r="V13" i="3" s="1"/>
  <c r="Q18" i="19"/>
  <c r="Q23" i="19"/>
  <c r="Q25" i="19" s="1"/>
  <c r="R9" i="19"/>
  <c r="R14" i="19" s="1"/>
  <c r="R18" i="19" s="1"/>
  <c r="Q14" i="1"/>
  <c r="Q18" i="1" s="1"/>
  <c r="R9" i="3"/>
  <c r="Q47" i="6"/>
  <c r="Q19" i="6"/>
  <c r="Q23" i="11"/>
  <c r="Q25" i="11" s="1"/>
  <c r="Q23" i="18"/>
  <c r="R9" i="18"/>
  <c r="Q14" i="18"/>
  <c r="Q18" i="18" s="1"/>
  <c r="U7" i="2"/>
  <c r="U12" i="2"/>
  <c r="U13" i="2" s="1"/>
  <c r="V12" i="2"/>
  <c r="V13" i="2" s="1"/>
  <c r="R9" i="8"/>
  <c r="U7" i="8"/>
  <c r="U12" i="8"/>
  <c r="U13" i="8" s="1"/>
  <c r="U7" i="15"/>
  <c r="V12" i="15"/>
  <c r="V13" i="15" s="1"/>
  <c r="U12" i="15"/>
  <c r="U13" i="15" s="1"/>
  <c r="R9" i="16"/>
  <c r="Q23" i="20"/>
  <c r="Q25" i="20" s="1"/>
  <c r="P19" i="2"/>
  <c r="P47" i="2"/>
  <c r="T7" i="5"/>
  <c r="T12" i="5"/>
  <c r="T13" i="5" s="1"/>
  <c r="U12" i="5"/>
  <c r="U13" i="5" s="1"/>
  <c r="Q23" i="21"/>
  <c r="Q25" i="21" s="1"/>
  <c r="R9" i="21"/>
  <c r="R14" i="24"/>
  <c r="R18" i="24" s="1"/>
  <c r="S7" i="24"/>
  <c r="S12" i="24"/>
  <c r="S13" i="24" s="1"/>
  <c r="Q23" i="4"/>
  <c r="Q25" i="4" s="1"/>
  <c r="Q23" i="6"/>
  <c r="Q25" i="6" s="1"/>
  <c r="R9" i="6"/>
  <c r="R14" i="6" s="1"/>
  <c r="R18" i="6" s="1"/>
  <c r="T12" i="7"/>
  <c r="T13" i="7" s="1"/>
  <c r="T12" i="19"/>
  <c r="T13" i="19" s="1"/>
  <c r="R9" i="5"/>
  <c r="Q23" i="5"/>
  <c r="Q25" i="5" s="1"/>
  <c r="Q14" i="5"/>
  <c r="Q18" i="5" s="1"/>
  <c r="S7" i="6"/>
  <c r="S12" i="6"/>
  <c r="S13" i="6" s="1"/>
  <c r="Q14" i="7"/>
  <c r="Q18" i="7" s="1"/>
  <c r="R9" i="11"/>
  <c r="R14" i="11" s="1"/>
  <c r="R18" i="11" s="1"/>
  <c r="Q47" i="12"/>
  <c r="Q19" i="12"/>
  <c r="R9" i="12"/>
  <c r="Q23" i="16"/>
  <c r="R9" i="20"/>
  <c r="S7" i="23"/>
  <c r="R14" i="23"/>
  <c r="R18" i="23" s="1"/>
  <c r="S12" i="23"/>
  <c r="S13" i="23" s="1"/>
  <c r="S12" i="13"/>
  <c r="S13" i="13" s="1"/>
  <c r="Q23" i="17"/>
  <c r="Q25" i="17" s="1"/>
  <c r="R19" i="11" l="1"/>
  <c r="R47" i="11"/>
  <c r="R47" i="6"/>
  <c r="R19" i="6"/>
  <c r="T7" i="21"/>
  <c r="T12" i="21"/>
  <c r="T13" i="21" s="1"/>
  <c r="R9" i="7"/>
  <c r="W7" i="12"/>
  <c r="R23" i="2"/>
  <c r="R25" i="2" s="1"/>
  <c r="S9" i="2"/>
  <c r="R14" i="2"/>
  <c r="R18" i="2" s="1"/>
  <c r="R23" i="23"/>
  <c r="R25" i="23" s="1"/>
  <c r="R14" i="5"/>
  <c r="R18" i="5" s="1"/>
  <c r="U7" i="5"/>
  <c r="V12" i="8"/>
  <c r="V13" i="8" s="1"/>
  <c r="V7" i="2"/>
  <c r="S9" i="3"/>
  <c r="R14" i="3"/>
  <c r="R18" i="3" s="1"/>
  <c r="V7" i="3"/>
  <c r="Q19" i="20"/>
  <c r="Q47" i="20"/>
  <c r="V7" i="16"/>
  <c r="Q19" i="4"/>
  <c r="Q47" i="4"/>
  <c r="Q47" i="8"/>
  <c r="Q19" i="8"/>
  <c r="Q23" i="7"/>
  <c r="U13" i="1"/>
  <c r="T13" i="1"/>
  <c r="T7" i="17"/>
  <c r="S14" i="17"/>
  <c r="S18" i="17" s="1"/>
  <c r="T12" i="20"/>
  <c r="T13" i="20" s="1"/>
  <c r="R19" i="15"/>
  <c r="R47" i="15"/>
  <c r="X12" i="12"/>
  <c r="X13" i="12" s="1"/>
  <c r="R23" i="17"/>
  <c r="R25" i="17" s="1"/>
  <c r="R14" i="18"/>
  <c r="R18" i="18" s="1"/>
  <c r="T7" i="19"/>
  <c r="U12" i="19"/>
  <c r="U13" i="19" s="1"/>
  <c r="T7" i="20"/>
  <c r="S9" i="17"/>
  <c r="U12" i="6"/>
  <c r="U13" i="6" s="1"/>
  <c r="T12" i="23"/>
  <c r="T13" i="23" s="1"/>
  <c r="S9" i="20"/>
  <c r="S14" i="20" s="1"/>
  <c r="S18" i="20" s="1"/>
  <c r="R23" i="11"/>
  <c r="R25" i="11" s="1"/>
  <c r="S9" i="11"/>
  <c r="Q47" i="5"/>
  <c r="Q19" i="5"/>
  <c r="S9" i="16"/>
  <c r="R14" i="16"/>
  <c r="R18" i="16" s="1"/>
  <c r="V7" i="15"/>
  <c r="Q19" i="1"/>
  <c r="Q47" i="1"/>
  <c r="T7" i="22"/>
  <c r="R9" i="22"/>
  <c r="T7" i="14"/>
  <c r="V7" i="9"/>
  <c r="T7" i="13"/>
  <c r="U12" i="13"/>
  <c r="U13" i="13" s="1"/>
  <c r="R23" i="13"/>
  <c r="T12" i="17"/>
  <c r="T13" i="17" s="1"/>
  <c r="T7" i="11"/>
  <c r="S14" i="11"/>
  <c r="S18" i="11" s="1"/>
  <c r="S9" i="15"/>
  <c r="W12" i="12"/>
  <c r="W13" i="12" s="1"/>
  <c r="Q19" i="2"/>
  <c r="Q47" i="2"/>
  <c r="R9" i="1"/>
  <c r="T7" i="7"/>
  <c r="T7" i="23"/>
  <c r="R14" i="12"/>
  <c r="R18" i="12" s="1"/>
  <c r="T7" i="6"/>
  <c r="T12" i="6"/>
  <c r="T13" i="6" s="1"/>
  <c r="S9" i="6"/>
  <c r="R23" i="6"/>
  <c r="R25" i="6" s="1"/>
  <c r="V7" i="8"/>
  <c r="R23" i="19"/>
  <c r="R25" i="19" s="1"/>
  <c r="S9" i="19"/>
  <c r="T9" i="4"/>
  <c r="T7" i="4"/>
  <c r="S14" i="4"/>
  <c r="S18" i="4" s="1"/>
  <c r="T7" i="1"/>
  <c r="R47" i="23"/>
  <c r="R19" i="23"/>
  <c r="T7" i="24"/>
  <c r="T12" i="24"/>
  <c r="T13" i="24" s="1"/>
  <c r="R23" i="8"/>
  <c r="R25" i="8" s="1"/>
  <c r="R14" i="8"/>
  <c r="R18" i="8" s="1"/>
  <c r="R23" i="9"/>
  <c r="R25" i="9" s="1"/>
  <c r="R14" i="9"/>
  <c r="R18" i="9" s="1"/>
  <c r="T12" i="22"/>
  <c r="T13" i="22" s="1"/>
  <c r="Q23" i="22"/>
  <c r="R23" i="14"/>
  <c r="R14" i="14"/>
  <c r="R18" i="14" s="1"/>
  <c r="W12" i="16"/>
  <c r="W13" i="16" s="1"/>
  <c r="Q19" i="9"/>
  <c r="Q47" i="9"/>
  <c r="Q19" i="11"/>
  <c r="Q47" i="11"/>
  <c r="Q19" i="3"/>
  <c r="Q47" i="3"/>
  <c r="R14" i="21"/>
  <c r="R18" i="21" s="1"/>
  <c r="R23" i="10"/>
  <c r="S9" i="10"/>
  <c r="R19" i="4"/>
  <c r="R47" i="4"/>
  <c r="S9" i="24"/>
  <c r="R23" i="24"/>
  <c r="R14" i="13"/>
  <c r="R18" i="13" s="1"/>
  <c r="U7" i="18"/>
  <c r="U12" i="20"/>
  <c r="U13" i="20" s="1"/>
  <c r="R14" i="20"/>
  <c r="R18" i="20" s="1"/>
  <c r="R23" i="15"/>
  <c r="R25" i="15" s="1"/>
  <c r="Q25" i="2"/>
  <c r="Q23" i="1"/>
  <c r="Q25" i="1" s="1"/>
  <c r="S9" i="23"/>
  <c r="S14" i="10"/>
  <c r="S18" i="10" s="1"/>
  <c r="T7" i="10"/>
  <c r="U12" i="10"/>
  <c r="U13" i="10" s="1"/>
  <c r="S47" i="20" l="1"/>
  <c r="S19" i="20"/>
  <c r="R47" i="21"/>
  <c r="R19" i="21"/>
  <c r="U7" i="24"/>
  <c r="W7" i="15"/>
  <c r="X12" i="15"/>
  <c r="X13" i="15" s="1"/>
  <c r="W12" i="15"/>
  <c r="W13" i="15" s="1"/>
  <c r="U7" i="10"/>
  <c r="R19" i="20"/>
  <c r="R47" i="20"/>
  <c r="V7" i="18"/>
  <c r="V12" i="18"/>
  <c r="V13" i="18" s="1"/>
  <c r="W12" i="8"/>
  <c r="W13" i="8" s="1"/>
  <c r="S23" i="4"/>
  <c r="S25" i="4" s="1"/>
  <c r="S9" i="12"/>
  <c r="R23" i="1"/>
  <c r="R25" i="1" s="1"/>
  <c r="R14" i="1"/>
  <c r="R18" i="1" s="1"/>
  <c r="T9" i="15"/>
  <c r="S14" i="15"/>
  <c r="S18" i="15" s="1"/>
  <c r="U7" i="11"/>
  <c r="U12" i="11"/>
  <c r="U13" i="11" s="1"/>
  <c r="U7" i="13"/>
  <c r="U12" i="4"/>
  <c r="U13" i="4" s="1"/>
  <c r="W7" i="9"/>
  <c r="X12" i="9" s="1"/>
  <c r="X13" i="9" s="1"/>
  <c r="W12" i="9"/>
  <c r="W13" i="9" s="1"/>
  <c r="U7" i="14"/>
  <c r="U12" i="14"/>
  <c r="U13" i="14" s="1"/>
  <c r="U7" i="22"/>
  <c r="V12" i="22"/>
  <c r="V13" i="22" s="1"/>
  <c r="U12" i="22"/>
  <c r="U13" i="22" s="1"/>
  <c r="R23" i="20"/>
  <c r="R25" i="20" s="1"/>
  <c r="S9" i="18"/>
  <c r="U7" i="17"/>
  <c r="U12" i="17"/>
  <c r="U13" i="17" s="1"/>
  <c r="R23" i="3"/>
  <c r="R25" i="3" s="1"/>
  <c r="R23" i="5"/>
  <c r="R25" i="5" s="1"/>
  <c r="R19" i="2"/>
  <c r="R47" i="2"/>
  <c r="U9" i="4"/>
  <c r="R47" i="12"/>
  <c r="R19" i="12"/>
  <c r="T9" i="3"/>
  <c r="S14" i="3"/>
  <c r="S18" i="3" s="1"/>
  <c r="R19" i="5"/>
  <c r="R47" i="5"/>
  <c r="S23" i="10"/>
  <c r="S25" i="10" s="1"/>
  <c r="T9" i="10"/>
  <c r="T14" i="10" s="1"/>
  <c r="T18" i="10" s="1"/>
  <c r="U12" i="21"/>
  <c r="U13" i="21" s="1"/>
  <c r="T9" i="16"/>
  <c r="S14" i="16"/>
  <c r="S18" i="16" s="1"/>
  <c r="S9" i="21"/>
  <c r="S23" i="11"/>
  <c r="S25" i="11" s="1"/>
  <c r="T9" i="11"/>
  <c r="T14" i="11" s="1"/>
  <c r="T18" i="11" s="1"/>
  <c r="U7" i="20"/>
  <c r="U7" i="19"/>
  <c r="R23" i="18"/>
  <c r="W7" i="3"/>
  <c r="W12" i="3"/>
  <c r="W13" i="3" s="1"/>
  <c r="S9" i="5"/>
  <c r="T9" i="2"/>
  <c r="S25" i="2"/>
  <c r="S14" i="2"/>
  <c r="S18" i="2" s="1"/>
  <c r="W7" i="8"/>
  <c r="X12" i="8"/>
  <c r="X13" i="8" s="1"/>
  <c r="S47" i="11"/>
  <c r="S19" i="11"/>
  <c r="U12" i="24"/>
  <c r="U13" i="24" s="1"/>
  <c r="S23" i="20"/>
  <c r="S25" i="20" s="1"/>
  <c r="T9" i="20"/>
  <c r="T14" i="20" s="1"/>
  <c r="T18" i="20" s="1"/>
  <c r="R23" i="7"/>
  <c r="R14" i="7"/>
  <c r="R18" i="7" s="1"/>
  <c r="U7" i="21"/>
  <c r="R19" i="9"/>
  <c r="R47" i="9"/>
  <c r="R19" i="8"/>
  <c r="R47" i="8"/>
  <c r="S47" i="4"/>
  <c r="S19" i="4"/>
  <c r="S23" i="6"/>
  <c r="S25" i="6" s="1"/>
  <c r="S14" i="6"/>
  <c r="S18" i="6" s="1"/>
  <c r="R23" i="12"/>
  <c r="R25" i="12" s="1"/>
  <c r="U7" i="23"/>
  <c r="U12" i="23"/>
  <c r="U13" i="23" s="1"/>
  <c r="S23" i="23"/>
  <c r="S25" i="23" s="1"/>
  <c r="S23" i="24"/>
  <c r="S9" i="14"/>
  <c r="S9" i="9"/>
  <c r="S9" i="8"/>
  <c r="S14" i="24"/>
  <c r="S18" i="24" s="1"/>
  <c r="U7" i="1"/>
  <c r="T14" i="4"/>
  <c r="T18" i="4" s="1"/>
  <c r="U7" i="4"/>
  <c r="U7" i="6"/>
  <c r="S14" i="23"/>
  <c r="S18" i="23" s="1"/>
  <c r="U7" i="7"/>
  <c r="U12" i="7"/>
  <c r="U13" i="7" s="1"/>
  <c r="V12" i="7"/>
  <c r="V13" i="7" s="1"/>
  <c r="S9" i="13"/>
  <c r="S9" i="22"/>
  <c r="R23" i="22"/>
  <c r="R14" i="22"/>
  <c r="R18" i="22" s="1"/>
  <c r="R23" i="16"/>
  <c r="R23" i="21"/>
  <c r="R25" i="21" s="1"/>
  <c r="V12" i="24"/>
  <c r="V13" i="24" s="1"/>
  <c r="S23" i="17"/>
  <c r="S25" i="17" s="1"/>
  <c r="T9" i="17"/>
  <c r="S14" i="19"/>
  <c r="S18" i="19" s="1"/>
  <c r="W7" i="16"/>
  <c r="R47" i="3"/>
  <c r="R19" i="3"/>
  <c r="W7" i="2"/>
  <c r="W12" i="2"/>
  <c r="W13" i="2" s="1"/>
  <c r="X12" i="2"/>
  <c r="X13" i="2" s="1"/>
  <c r="V7" i="5"/>
  <c r="W12" i="5"/>
  <c r="W13" i="5" s="1"/>
  <c r="V12" i="5"/>
  <c r="V13" i="5" s="1"/>
  <c r="X7" i="12"/>
  <c r="T47" i="20" l="1"/>
  <c r="T19" i="20"/>
  <c r="T47" i="11"/>
  <c r="T19" i="11"/>
  <c r="V7" i="6"/>
  <c r="W12" i="6"/>
  <c r="W13" i="6" s="1"/>
  <c r="V12" i="6"/>
  <c r="V13" i="6" s="1"/>
  <c r="V7" i="1"/>
  <c r="V13" i="1"/>
  <c r="S14" i="8"/>
  <c r="S18" i="8" s="1"/>
  <c r="V7" i="21"/>
  <c r="W12" i="21" s="1"/>
  <c r="W13" i="21" s="1"/>
  <c r="X7" i="3"/>
  <c r="V7" i="20"/>
  <c r="V12" i="20"/>
  <c r="V13" i="20" s="1"/>
  <c r="V7" i="13"/>
  <c r="V12" i="13"/>
  <c r="V13" i="13" s="1"/>
  <c r="U9" i="15"/>
  <c r="T23" i="15"/>
  <c r="T25" i="15" s="1"/>
  <c r="T14" i="15"/>
  <c r="T18" i="15" s="1"/>
  <c r="S23" i="12"/>
  <c r="S25" i="12" s="1"/>
  <c r="S14" i="12"/>
  <c r="S18" i="12" s="1"/>
  <c r="V7" i="10"/>
  <c r="X7" i="16"/>
  <c r="Y12" i="16"/>
  <c r="Y13" i="16" s="1"/>
  <c r="X12" i="16"/>
  <c r="X13" i="16" s="1"/>
  <c r="W12" i="20"/>
  <c r="W13" i="20" s="1"/>
  <c r="V12" i="19"/>
  <c r="V13" i="19" s="1"/>
  <c r="S23" i="13"/>
  <c r="S14" i="13"/>
  <c r="S18" i="13" s="1"/>
  <c r="S47" i="23"/>
  <c r="S19" i="23"/>
  <c r="V7" i="4"/>
  <c r="U14" i="4"/>
  <c r="U18" i="4" s="1"/>
  <c r="V12" i="4"/>
  <c r="V13" i="4" s="1"/>
  <c r="S23" i="9"/>
  <c r="S25" i="9" s="1"/>
  <c r="T9" i="9"/>
  <c r="S14" i="9"/>
  <c r="S18" i="9" s="1"/>
  <c r="T9" i="23"/>
  <c r="T9" i="6"/>
  <c r="X7" i="8"/>
  <c r="S19" i="2"/>
  <c r="S47" i="2"/>
  <c r="S23" i="16"/>
  <c r="V7" i="22"/>
  <c r="V7" i="14"/>
  <c r="W12" i="14"/>
  <c r="W13" i="14" s="1"/>
  <c r="V12" i="14"/>
  <c r="V13" i="14" s="1"/>
  <c r="W12" i="13"/>
  <c r="W13" i="13" s="1"/>
  <c r="V7" i="11"/>
  <c r="U14" i="11"/>
  <c r="U18" i="11" s="1"/>
  <c r="V12" i="11"/>
  <c r="V13" i="11" s="1"/>
  <c r="S23" i="15"/>
  <c r="S25" i="15" s="1"/>
  <c r="V12" i="10"/>
  <c r="V13" i="10" s="1"/>
  <c r="X7" i="15"/>
  <c r="V7" i="24"/>
  <c r="V7" i="23"/>
  <c r="V12" i="23"/>
  <c r="V13" i="23" s="1"/>
  <c r="S23" i="5"/>
  <c r="S25" i="5" s="1"/>
  <c r="T9" i="5"/>
  <c r="S14" i="5"/>
  <c r="S18" i="5" s="1"/>
  <c r="U9" i="16"/>
  <c r="T14" i="16"/>
  <c r="T18" i="16" s="1"/>
  <c r="T23" i="3"/>
  <c r="T25" i="3" s="1"/>
  <c r="T14" i="3"/>
  <c r="T18" i="3" s="1"/>
  <c r="T14" i="17"/>
  <c r="T18" i="17" s="1"/>
  <c r="X7" i="2"/>
  <c r="U9" i="20"/>
  <c r="T23" i="20"/>
  <c r="T25" i="20" s="1"/>
  <c r="X12" i="3"/>
  <c r="X13" i="3" s="1"/>
  <c r="T9" i="21"/>
  <c r="S14" i="21"/>
  <c r="S18" i="21" s="1"/>
  <c r="S47" i="3"/>
  <c r="S19" i="3"/>
  <c r="S23" i="18"/>
  <c r="S14" i="18"/>
  <c r="S18" i="18" s="1"/>
  <c r="X7" i="9"/>
  <c r="Y12" i="9" s="1"/>
  <c r="Y13" i="9" s="1"/>
  <c r="R47" i="1"/>
  <c r="R19" i="1"/>
  <c r="W7" i="18"/>
  <c r="V7" i="19"/>
  <c r="W12" i="19"/>
  <c r="W13" i="19" s="1"/>
  <c r="T23" i="10"/>
  <c r="T25" i="10" s="1"/>
  <c r="U9" i="10"/>
  <c r="U14" i="10" s="1"/>
  <c r="U18" i="10" s="1"/>
  <c r="U47" i="10" s="1"/>
  <c r="V9" i="4"/>
  <c r="U23" i="4"/>
  <c r="U25" i="4" s="1"/>
  <c r="Y7" i="12"/>
  <c r="Y12" i="12"/>
  <c r="Y13" i="12" s="1"/>
  <c r="Z12" i="12"/>
  <c r="Z13" i="12" s="1"/>
  <c r="S47" i="19"/>
  <c r="S19" i="19"/>
  <c r="T47" i="4"/>
  <c r="T19" i="4"/>
  <c r="T9" i="14"/>
  <c r="S23" i="14"/>
  <c r="S14" i="14"/>
  <c r="S18" i="14" s="1"/>
  <c r="T9" i="19"/>
  <c r="W7" i="5"/>
  <c r="S14" i="22"/>
  <c r="S18" i="22" s="1"/>
  <c r="V7" i="7"/>
  <c r="T9" i="24"/>
  <c r="S47" i="6"/>
  <c r="S19" i="6"/>
  <c r="S23" i="19"/>
  <c r="S25" i="19" s="1"/>
  <c r="S9" i="7"/>
  <c r="V12" i="21"/>
  <c r="V13" i="21" s="1"/>
  <c r="T14" i="2"/>
  <c r="T18" i="2" s="1"/>
  <c r="U9" i="11"/>
  <c r="T23" i="11"/>
  <c r="T25" i="11" s="1"/>
  <c r="S23" i="3"/>
  <c r="S25" i="3" s="1"/>
  <c r="T23" i="4"/>
  <c r="T25" i="4" s="1"/>
  <c r="V7" i="17"/>
  <c r="W12" i="17"/>
  <c r="W13" i="17" s="1"/>
  <c r="V12" i="17"/>
  <c r="V13" i="17" s="1"/>
  <c r="S47" i="15"/>
  <c r="S19" i="15"/>
  <c r="S9" i="1"/>
  <c r="W12" i="18"/>
  <c r="W13" i="18" s="1"/>
  <c r="S14" i="1" l="1"/>
  <c r="S18" i="1" s="1"/>
  <c r="T9" i="7"/>
  <c r="S14" i="7"/>
  <c r="S18" i="7" s="1"/>
  <c r="U23" i="16"/>
  <c r="V9" i="16"/>
  <c r="U14" i="16"/>
  <c r="U18" i="16" s="1"/>
  <c r="U9" i="23"/>
  <c r="T14" i="23"/>
  <c r="T18" i="23" s="1"/>
  <c r="W7" i="10"/>
  <c r="S47" i="8"/>
  <c r="S19" i="8"/>
  <c r="W7" i="1"/>
  <c r="W12" i="1"/>
  <c r="W13" i="1" s="1"/>
  <c r="W7" i="17"/>
  <c r="T23" i="2"/>
  <c r="T25" i="2" s="1"/>
  <c r="T9" i="22"/>
  <c r="X12" i="10"/>
  <c r="X13" i="10" s="1"/>
  <c r="Y12" i="2"/>
  <c r="Y13" i="2" s="1"/>
  <c r="U9" i="3"/>
  <c r="S19" i="5"/>
  <c r="S47" i="5"/>
  <c r="W7" i="11"/>
  <c r="X12" i="11"/>
  <c r="X13" i="11" s="1"/>
  <c r="W12" i="11"/>
  <c r="W13" i="11" s="1"/>
  <c r="W7" i="14"/>
  <c r="X12" i="14"/>
  <c r="X13" i="14" s="1"/>
  <c r="W7" i="22"/>
  <c r="W12" i="22"/>
  <c r="W13" i="22" s="1"/>
  <c r="X12" i="22"/>
  <c r="X13" i="22" s="1"/>
  <c r="W12" i="4"/>
  <c r="W13" i="4" s="1"/>
  <c r="Y7" i="8"/>
  <c r="Y12" i="8"/>
  <c r="Y13" i="8" s="1"/>
  <c r="S47" i="9"/>
  <c r="S19" i="9"/>
  <c r="Y7" i="16"/>
  <c r="Z12" i="16"/>
  <c r="Z13" i="16" s="1"/>
  <c r="T47" i="15"/>
  <c r="T19" i="15"/>
  <c r="W7" i="13"/>
  <c r="Y7" i="3"/>
  <c r="Y12" i="3"/>
  <c r="Y13" i="3" s="1"/>
  <c r="T9" i="8"/>
  <c r="W7" i="6"/>
  <c r="T14" i="19"/>
  <c r="T18" i="19" s="1"/>
  <c r="U23" i="10"/>
  <c r="U25" i="10" s="1"/>
  <c r="V9" i="10"/>
  <c r="T23" i="21"/>
  <c r="T25" i="21" s="1"/>
  <c r="T14" i="21"/>
  <c r="T18" i="21" s="1"/>
  <c r="U19" i="11"/>
  <c r="U47" i="11"/>
  <c r="U9" i="2"/>
  <c r="S47" i="21"/>
  <c r="S19" i="21"/>
  <c r="Y7" i="2"/>
  <c r="T23" i="5"/>
  <c r="T25" i="5" s="1"/>
  <c r="U9" i="5"/>
  <c r="T14" i="5"/>
  <c r="T18" i="5" s="1"/>
  <c r="W12" i="23"/>
  <c r="W13" i="23" s="1"/>
  <c r="Y7" i="15"/>
  <c r="Z12" i="15"/>
  <c r="Z13" i="15" s="1"/>
  <c r="Y12" i="15"/>
  <c r="Y13" i="15" s="1"/>
  <c r="T23" i="6"/>
  <c r="T25" i="6" s="1"/>
  <c r="U9" i="6"/>
  <c r="T14" i="6"/>
  <c r="T18" i="6" s="1"/>
  <c r="T23" i="9"/>
  <c r="T25" i="9" s="1"/>
  <c r="T14" i="9"/>
  <c r="T18" i="9" s="1"/>
  <c r="Z12" i="2"/>
  <c r="Z13" i="2" s="1"/>
  <c r="W12" i="10"/>
  <c r="W13" i="10" s="1"/>
  <c r="S19" i="12"/>
  <c r="S47" i="12"/>
  <c r="U14" i="20"/>
  <c r="U18" i="20" s="1"/>
  <c r="W7" i="21"/>
  <c r="S23" i="8"/>
  <c r="S25" i="8" s="1"/>
  <c r="T23" i="17"/>
  <c r="T25" i="17" s="1"/>
  <c r="T19" i="2"/>
  <c r="T47" i="2"/>
  <c r="Z7" i="12"/>
  <c r="Y7" i="9"/>
  <c r="W7" i="23"/>
  <c r="W7" i="24"/>
  <c r="X12" i="24"/>
  <c r="X13" i="24" s="1"/>
  <c r="W12" i="24"/>
  <c r="W13" i="24" s="1"/>
  <c r="W7" i="4"/>
  <c r="V14" i="4"/>
  <c r="V18" i="4" s="1"/>
  <c r="S23" i="22"/>
  <c r="X7" i="5"/>
  <c r="X12" i="5"/>
  <c r="X13" i="5" s="1"/>
  <c r="V9" i="11"/>
  <c r="V14" i="11" s="1"/>
  <c r="V18" i="11" s="1"/>
  <c r="U23" i="11"/>
  <c r="U25" i="11" s="1"/>
  <c r="T23" i="24"/>
  <c r="U9" i="24"/>
  <c r="T14" i="24"/>
  <c r="T18" i="24" s="1"/>
  <c r="W7" i="7"/>
  <c r="W12" i="7"/>
  <c r="W13" i="7" s="1"/>
  <c r="Y12" i="5"/>
  <c r="Y13" i="5" s="1"/>
  <c r="T14" i="14"/>
  <c r="T18" i="14" s="1"/>
  <c r="V23" i="4"/>
  <c r="V25" i="4" s="1"/>
  <c r="W9" i="4"/>
  <c r="W7" i="19"/>
  <c r="X7" i="18"/>
  <c r="X12" i="18"/>
  <c r="X13" i="18" s="1"/>
  <c r="T9" i="18"/>
  <c r="S23" i="21"/>
  <c r="S25" i="21" s="1"/>
  <c r="T19" i="3"/>
  <c r="T47" i="3"/>
  <c r="T23" i="16"/>
  <c r="U19" i="4"/>
  <c r="U47" i="4"/>
  <c r="T9" i="13"/>
  <c r="T9" i="12"/>
  <c r="V9" i="15"/>
  <c r="U23" i="15"/>
  <c r="U25" i="15" s="1"/>
  <c r="U14" i="15"/>
  <c r="U18" i="15" s="1"/>
  <c r="W7" i="20"/>
  <c r="U9" i="17"/>
  <c r="V19" i="11" l="1"/>
  <c r="V47" i="11"/>
  <c r="X7" i="20"/>
  <c r="X12" i="20"/>
  <c r="X13" i="20" s="1"/>
  <c r="W9" i="15"/>
  <c r="V14" i="15"/>
  <c r="V18" i="15" s="1"/>
  <c r="X7" i="4"/>
  <c r="W14" i="4"/>
  <c r="W18" i="4" s="1"/>
  <c r="Z7" i="9"/>
  <c r="AA7" i="12"/>
  <c r="AB12" i="12" s="1"/>
  <c r="AB13" i="12" s="1"/>
  <c r="T19" i="19"/>
  <c r="T47" i="19"/>
  <c r="T23" i="12"/>
  <c r="T25" i="12" s="1"/>
  <c r="T14" i="12"/>
  <c r="T18" i="12" s="1"/>
  <c r="X7" i="19"/>
  <c r="X12" i="19"/>
  <c r="X13" i="19" s="1"/>
  <c r="Y12" i="19"/>
  <c r="Y13" i="19" s="1"/>
  <c r="U9" i="14"/>
  <c r="X7" i="7"/>
  <c r="X12" i="7"/>
  <c r="X13" i="7" s="1"/>
  <c r="Y12" i="7"/>
  <c r="Y13" i="7" s="1"/>
  <c r="Y7" i="5"/>
  <c r="Z12" i="5"/>
  <c r="Z13" i="5" s="1"/>
  <c r="X12" i="1"/>
  <c r="X13" i="1" s="1"/>
  <c r="X7" i="21"/>
  <c r="Y12" i="21"/>
  <c r="Y13" i="21" s="1"/>
  <c r="X12" i="21"/>
  <c r="X13" i="21" s="1"/>
  <c r="U9" i="9"/>
  <c r="Z7" i="2"/>
  <c r="U9" i="21"/>
  <c r="U9" i="19"/>
  <c r="AA12" i="9"/>
  <c r="AA13" i="9" s="1"/>
  <c r="V9" i="3"/>
  <c r="U14" i="3"/>
  <c r="U18" i="3" s="1"/>
  <c r="U23" i="20"/>
  <c r="U25" i="20" s="1"/>
  <c r="X7" i="17"/>
  <c r="X12" i="17"/>
  <c r="X13" i="17" s="1"/>
  <c r="X7" i="10"/>
  <c r="T23" i="23"/>
  <c r="T25" i="23" s="1"/>
  <c r="S23" i="1"/>
  <c r="S25" i="1" s="1"/>
  <c r="T23" i="8"/>
  <c r="T25" i="8" s="1"/>
  <c r="T14" i="8"/>
  <c r="T18" i="8" s="1"/>
  <c r="Z7" i="3"/>
  <c r="Z12" i="3"/>
  <c r="Z13" i="3" s="1"/>
  <c r="AA12" i="3"/>
  <c r="AA13" i="3" s="1"/>
  <c r="X7" i="1"/>
  <c r="Y12" i="1"/>
  <c r="Y13" i="1" s="1"/>
  <c r="V9" i="23"/>
  <c r="U14" i="23"/>
  <c r="U18" i="23" s="1"/>
  <c r="S19" i="1"/>
  <c r="S47" i="1"/>
  <c r="U19" i="15"/>
  <c r="U47" i="15"/>
  <c r="T23" i="13"/>
  <c r="U9" i="13"/>
  <c r="T14" i="13"/>
  <c r="T18" i="13" s="1"/>
  <c r="U9" i="18"/>
  <c r="T14" i="18"/>
  <c r="T18" i="18" s="1"/>
  <c r="Y7" i="18"/>
  <c r="Y12" i="18"/>
  <c r="Y13" i="18" s="1"/>
  <c r="Z12" i="18"/>
  <c r="Z13" i="18" s="1"/>
  <c r="T23" i="14"/>
  <c r="V23" i="11"/>
  <c r="V25" i="11" s="1"/>
  <c r="W9" i="11"/>
  <c r="Y12" i="4"/>
  <c r="Y13" i="4" s="1"/>
  <c r="X12" i="4"/>
  <c r="X13" i="4" s="1"/>
  <c r="T47" i="6"/>
  <c r="T19" i="6"/>
  <c r="Z7" i="15"/>
  <c r="T47" i="5"/>
  <c r="T19" i="5"/>
  <c r="V9" i="2"/>
  <c r="U23" i="2"/>
  <c r="U25" i="2" s="1"/>
  <c r="U14" i="2"/>
  <c r="U18" i="2" s="1"/>
  <c r="V23" i="10"/>
  <c r="V25" i="10" s="1"/>
  <c r="T23" i="19"/>
  <c r="T25" i="19" s="1"/>
  <c r="X7" i="13"/>
  <c r="X12" i="13"/>
  <c r="X13" i="13" s="1"/>
  <c r="Y12" i="22"/>
  <c r="Y13" i="22" s="1"/>
  <c r="X7" i="11"/>
  <c r="W14" i="11"/>
  <c r="W18" i="11" s="1"/>
  <c r="Y12" i="23"/>
  <c r="Y13" i="23" s="1"/>
  <c r="X12" i="23"/>
  <c r="X13" i="23" s="1"/>
  <c r="V9" i="20"/>
  <c r="T23" i="22"/>
  <c r="U9" i="22"/>
  <c r="T14" i="22"/>
  <c r="T18" i="22" s="1"/>
  <c r="V14" i="10"/>
  <c r="V18" i="10" s="1"/>
  <c r="S23" i="7"/>
  <c r="T9" i="1"/>
  <c r="V9" i="17"/>
  <c r="U14" i="17"/>
  <c r="U18" i="17" s="1"/>
  <c r="U47" i="17" s="1"/>
  <c r="AA12" i="12"/>
  <c r="AA13" i="12" s="1"/>
  <c r="W23" i="4"/>
  <c r="W25" i="4" s="1"/>
  <c r="X9" i="4"/>
  <c r="U23" i="24"/>
  <c r="U14" i="24"/>
  <c r="U18" i="24" s="1"/>
  <c r="V19" i="4"/>
  <c r="V47" i="4"/>
  <c r="X7" i="24"/>
  <c r="X7" i="23"/>
  <c r="U19" i="20"/>
  <c r="U47" i="20"/>
  <c r="T47" i="9"/>
  <c r="T19" i="9"/>
  <c r="V9" i="6"/>
  <c r="U14" i="6"/>
  <c r="U18" i="6" s="1"/>
  <c r="V9" i="5"/>
  <c r="U14" i="5"/>
  <c r="U18" i="5" s="1"/>
  <c r="Z12" i="9"/>
  <c r="Z13" i="9" s="1"/>
  <c r="T47" i="21"/>
  <c r="T19" i="21"/>
  <c r="X7" i="6"/>
  <c r="X12" i="6"/>
  <c r="X13" i="6" s="1"/>
  <c r="Z7" i="16"/>
  <c r="AA12" i="16"/>
  <c r="AA13" i="16" s="1"/>
  <c r="Z7" i="8"/>
  <c r="AA12" i="8"/>
  <c r="AA13" i="8" s="1"/>
  <c r="Z12" i="8"/>
  <c r="Z13" i="8" s="1"/>
  <c r="X7" i="22"/>
  <c r="X7" i="14"/>
  <c r="AA12" i="2"/>
  <c r="AA13" i="2" s="1"/>
  <c r="T47" i="23"/>
  <c r="T19" i="23"/>
  <c r="W9" i="16"/>
  <c r="V14" i="16"/>
  <c r="V18" i="16" s="1"/>
  <c r="U9" i="7"/>
  <c r="T14" i="7"/>
  <c r="T18" i="7" s="1"/>
  <c r="AA7" i="8" l="1"/>
  <c r="U23" i="22"/>
  <c r="V9" i="22"/>
  <c r="U14" i="22"/>
  <c r="U18" i="22" s="1"/>
  <c r="V23" i="20"/>
  <c r="V25" i="20" s="1"/>
  <c r="V14" i="20"/>
  <c r="V18" i="20" s="1"/>
  <c r="U23" i="13"/>
  <c r="U14" i="13"/>
  <c r="U18" i="13" s="1"/>
  <c r="V14" i="23"/>
  <c r="V18" i="23" s="1"/>
  <c r="Y7" i="17"/>
  <c r="Z12" i="17"/>
  <c r="Z13" i="17" s="1"/>
  <c r="Y12" i="17"/>
  <c r="Y13" i="17" s="1"/>
  <c r="W23" i="15"/>
  <c r="W25" i="15" s="1"/>
  <c r="X9" i="15"/>
  <c r="W14" i="15"/>
  <c r="W18" i="15" s="1"/>
  <c r="Y7" i="20"/>
  <c r="Y7" i="14"/>
  <c r="Y12" i="14"/>
  <c r="Y13" i="14" s="1"/>
  <c r="Y7" i="22"/>
  <c r="Y12" i="20"/>
  <c r="Y13" i="20" s="1"/>
  <c r="Y12" i="6"/>
  <c r="Y13" i="6" s="1"/>
  <c r="U47" i="6"/>
  <c r="U19" i="6"/>
  <c r="Y7" i="24"/>
  <c r="W9" i="10"/>
  <c r="V14" i="2"/>
  <c r="V18" i="2" s="1"/>
  <c r="W23" i="11"/>
  <c r="W25" i="11" s="1"/>
  <c r="X9" i="11"/>
  <c r="AA7" i="3"/>
  <c r="V9" i="9"/>
  <c r="U23" i="9"/>
  <c r="U25" i="9" s="1"/>
  <c r="U14" i="9"/>
  <c r="U18" i="9" s="1"/>
  <c r="U14" i="14"/>
  <c r="U18" i="14" s="1"/>
  <c r="Y7" i="19"/>
  <c r="AA7" i="9"/>
  <c r="W47" i="4"/>
  <c r="W19" i="4"/>
  <c r="V23" i="15"/>
  <c r="V25" i="15" s="1"/>
  <c r="U23" i="7"/>
  <c r="V9" i="7"/>
  <c r="U14" i="7"/>
  <c r="U18" i="7" s="1"/>
  <c r="W9" i="3"/>
  <c r="V14" i="3"/>
  <c r="V18" i="3" s="1"/>
  <c r="AB12" i="8"/>
  <c r="AB13" i="8" s="1"/>
  <c r="X9" i="16"/>
  <c r="W14" i="16"/>
  <c r="W23" i="16" s="1"/>
  <c r="Y7" i="6"/>
  <c r="W9" i="6"/>
  <c r="V23" i="6"/>
  <c r="V25" i="6" s="1"/>
  <c r="V14" i="6"/>
  <c r="V18" i="6" s="1"/>
  <c r="W47" i="11"/>
  <c r="W19" i="11"/>
  <c r="AA7" i="15"/>
  <c r="AA12" i="15"/>
  <c r="AA13" i="15" s="1"/>
  <c r="U23" i="18"/>
  <c r="V9" i="18"/>
  <c r="U14" i="18"/>
  <c r="U18" i="18" s="1"/>
  <c r="U19" i="23"/>
  <c r="U47" i="23"/>
  <c r="T47" i="8"/>
  <c r="T19" i="8"/>
  <c r="Y7" i="10"/>
  <c r="Z12" i="10"/>
  <c r="Z13" i="10" s="1"/>
  <c r="Y12" i="10"/>
  <c r="Y13" i="10" s="1"/>
  <c r="U19" i="3"/>
  <c r="U47" i="3"/>
  <c r="U23" i="19"/>
  <c r="U25" i="19" s="1"/>
  <c r="V9" i="19"/>
  <c r="U14" i="19"/>
  <c r="U18" i="19" s="1"/>
  <c r="Y7" i="21"/>
  <c r="T19" i="12"/>
  <c r="T47" i="12"/>
  <c r="AB7" i="12"/>
  <c r="X14" i="4"/>
  <c r="X18" i="4" s="1"/>
  <c r="Y7" i="4"/>
  <c r="W9" i="5"/>
  <c r="V23" i="5"/>
  <c r="V25" i="5" s="1"/>
  <c r="V14" i="5"/>
  <c r="V18" i="5" s="1"/>
  <c r="V23" i="17"/>
  <c r="V25" i="17" s="1"/>
  <c r="W9" i="17"/>
  <c r="V14" i="17"/>
  <c r="V18" i="17" s="1"/>
  <c r="Y7" i="13"/>
  <c r="U47" i="5"/>
  <c r="U19" i="5"/>
  <c r="T23" i="7"/>
  <c r="V23" i="16"/>
  <c r="Z12" i="22"/>
  <c r="Z13" i="22" s="1"/>
  <c r="AA7" i="16"/>
  <c r="U23" i="5"/>
  <c r="U25" i="5" s="1"/>
  <c r="U23" i="6"/>
  <c r="U25" i="6" s="1"/>
  <c r="Y7" i="23"/>
  <c r="V9" i="24"/>
  <c r="U23" i="17"/>
  <c r="U25" i="17" s="1"/>
  <c r="T23" i="1"/>
  <c r="T25" i="1" s="1"/>
  <c r="T14" i="1"/>
  <c r="T18" i="1" s="1"/>
  <c r="X14" i="11"/>
  <c r="X18" i="11" s="1"/>
  <c r="Y7" i="11"/>
  <c r="Y12" i="11"/>
  <c r="Y13" i="11" s="1"/>
  <c r="Z12" i="11"/>
  <c r="Z13" i="11" s="1"/>
  <c r="Y12" i="13"/>
  <c r="Y13" i="13" s="1"/>
  <c r="U19" i="2"/>
  <c r="U47" i="2"/>
  <c r="Z7" i="18"/>
  <c r="T23" i="18"/>
  <c r="Z12" i="23"/>
  <c r="Z13" i="23" s="1"/>
  <c r="U23" i="23"/>
  <c r="U25" i="23" s="1"/>
  <c r="Y7" i="1"/>
  <c r="U9" i="8"/>
  <c r="U23" i="3"/>
  <c r="U25" i="3" s="1"/>
  <c r="V9" i="21"/>
  <c r="U14" i="21"/>
  <c r="U18" i="21" s="1"/>
  <c r="AA7" i="2"/>
  <c r="Z12" i="21"/>
  <c r="Z13" i="21" s="1"/>
  <c r="Y12" i="24"/>
  <c r="Y13" i="24" s="1"/>
  <c r="Z7" i="5"/>
  <c r="Y7" i="7"/>
  <c r="U9" i="12"/>
  <c r="AC12" i="12"/>
  <c r="AC13" i="12" s="1"/>
  <c r="Z12" i="4"/>
  <c r="Z13" i="4" s="1"/>
  <c r="V19" i="15"/>
  <c r="V47" i="15"/>
  <c r="Z7" i="7" l="1"/>
  <c r="Z7" i="10"/>
  <c r="X14" i="16"/>
  <c r="X18" i="16" s="1"/>
  <c r="X9" i="3"/>
  <c r="W23" i="3"/>
  <c r="W25" i="3" s="1"/>
  <c r="W14" i="3"/>
  <c r="W18" i="3" s="1"/>
  <c r="AB7" i="3"/>
  <c r="AC12" i="3" s="1"/>
  <c r="AC13" i="3" s="1"/>
  <c r="AB12" i="3"/>
  <c r="AB13" i="3" s="1"/>
  <c r="V19" i="2"/>
  <c r="V47" i="2"/>
  <c r="Z7" i="24"/>
  <c r="Z7" i="14"/>
  <c r="Z12" i="14"/>
  <c r="Z13" i="14" s="1"/>
  <c r="AA12" i="14"/>
  <c r="AA13" i="14" s="1"/>
  <c r="V47" i="23"/>
  <c r="V19" i="23"/>
  <c r="AA12" i="1"/>
  <c r="AA13" i="1" s="1"/>
  <c r="AA12" i="5"/>
  <c r="AA13" i="5" s="1"/>
  <c r="AB7" i="2"/>
  <c r="AB12" i="2"/>
  <c r="AB13" i="2" s="1"/>
  <c r="U23" i="21"/>
  <c r="U25" i="21" s="1"/>
  <c r="Z7" i="11"/>
  <c r="U9" i="1"/>
  <c r="X23" i="4"/>
  <c r="X25" i="4" s="1"/>
  <c r="Z7" i="13"/>
  <c r="V19" i="5"/>
  <c r="V47" i="5"/>
  <c r="AC7" i="12"/>
  <c r="AC12" i="15"/>
  <c r="AC13" i="15" s="1"/>
  <c r="V47" i="6"/>
  <c r="V19" i="6"/>
  <c r="Z7" i="6"/>
  <c r="Z12" i="6"/>
  <c r="Z13" i="6" s="1"/>
  <c r="V23" i="3"/>
  <c r="V25" i="3" s="1"/>
  <c r="V9" i="14"/>
  <c r="U19" i="9"/>
  <c r="U47" i="9"/>
  <c r="Y9" i="11"/>
  <c r="X23" i="11"/>
  <c r="X25" i="11" s="1"/>
  <c r="W9" i="2"/>
  <c r="AA12" i="13"/>
  <c r="AA13" i="13" s="1"/>
  <c r="Z12" i="24"/>
  <c r="Z13" i="24" s="1"/>
  <c r="W47" i="15"/>
  <c r="W19" i="15"/>
  <c r="W9" i="23"/>
  <c r="V9" i="13"/>
  <c r="AB7" i="8"/>
  <c r="AB7" i="15"/>
  <c r="X47" i="11"/>
  <c r="X19" i="11"/>
  <c r="Z7" i="23"/>
  <c r="AB12" i="16"/>
  <c r="AB13" i="16" s="1"/>
  <c r="Y9" i="4"/>
  <c r="Y14" i="4" s="1"/>
  <c r="Y18" i="4" s="1"/>
  <c r="Z7" i="4"/>
  <c r="AA12" i="4"/>
  <c r="AA13" i="4" s="1"/>
  <c r="U19" i="19"/>
  <c r="U47" i="19"/>
  <c r="AA12" i="10"/>
  <c r="AA13" i="10" s="1"/>
  <c r="AB7" i="9"/>
  <c r="AC12" i="9"/>
  <c r="AC13" i="9" s="1"/>
  <c r="AB12" i="9"/>
  <c r="AB13" i="9" s="1"/>
  <c r="U23" i="14"/>
  <c r="V23" i="2"/>
  <c r="V25" i="2" s="1"/>
  <c r="Z7" i="22"/>
  <c r="X14" i="15"/>
  <c r="X18" i="15" s="1"/>
  <c r="Z7" i="17"/>
  <c r="V23" i="23"/>
  <c r="V25" i="23" s="1"/>
  <c r="V19" i="20"/>
  <c r="V47" i="20"/>
  <c r="W9" i="22"/>
  <c r="V23" i="22"/>
  <c r="V14" i="22"/>
  <c r="V18" i="22" s="1"/>
  <c r="U23" i="12"/>
  <c r="U25" i="12" s="1"/>
  <c r="V9" i="12"/>
  <c r="U14" i="12"/>
  <c r="U18" i="12" s="1"/>
  <c r="AA7" i="5"/>
  <c r="AB12" i="5"/>
  <c r="AB13" i="5" s="1"/>
  <c r="V23" i="21"/>
  <c r="V25" i="21" s="1"/>
  <c r="W9" i="21"/>
  <c r="V14" i="21"/>
  <c r="V18" i="21" s="1"/>
  <c r="Z7" i="21"/>
  <c r="AA12" i="21"/>
  <c r="AA13" i="21" s="1"/>
  <c r="Z12" i="7"/>
  <c r="Z13" i="7" s="1"/>
  <c r="U19" i="21"/>
  <c r="U47" i="21"/>
  <c r="U14" i="8"/>
  <c r="U18" i="8" s="1"/>
  <c r="Z7" i="1"/>
  <c r="Z13" i="1"/>
  <c r="AA7" i="18"/>
  <c r="AB12" i="18"/>
  <c r="AB13" i="18" s="1"/>
  <c r="AA12" i="18"/>
  <c r="AA13" i="18" s="1"/>
  <c r="T19" i="1"/>
  <c r="T47" i="1"/>
  <c r="V23" i="24"/>
  <c r="W9" i="24"/>
  <c r="V14" i="24"/>
  <c r="V18" i="24" s="1"/>
  <c r="AB7" i="16"/>
  <c r="AC12" i="16"/>
  <c r="AC13" i="16" s="1"/>
  <c r="W23" i="17"/>
  <c r="W25" i="17" s="1"/>
  <c r="X9" i="17"/>
  <c r="W14" i="17"/>
  <c r="X9" i="5"/>
  <c r="W14" i="5"/>
  <c r="W18" i="5" s="1"/>
  <c r="X47" i="4"/>
  <c r="X19" i="4"/>
  <c r="V23" i="19"/>
  <c r="V25" i="19" s="1"/>
  <c r="V14" i="19"/>
  <c r="V18" i="19" s="1"/>
  <c r="V23" i="18"/>
  <c r="W9" i="18"/>
  <c r="V14" i="18"/>
  <c r="V18" i="18" s="1"/>
  <c r="AB12" i="15"/>
  <c r="AB13" i="15" s="1"/>
  <c r="W23" i="6"/>
  <c r="W25" i="6" s="1"/>
  <c r="W14" i="6"/>
  <c r="W18" i="6" s="1"/>
  <c r="V47" i="3"/>
  <c r="V19" i="3"/>
  <c r="V23" i="7"/>
  <c r="W9" i="7"/>
  <c r="V14" i="7"/>
  <c r="V18" i="7" s="1"/>
  <c r="Z7" i="19"/>
  <c r="Z12" i="19"/>
  <c r="Z13" i="19" s="1"/>
  <c r="AA12" i="24"/>
  <c r="AA13" i="24" s="1"/>
  <c r="W9" i="9"/>
  <c r="V14" i="9"/>
  <c r="V18" i="9" s="1"/>
  <c r="W23" i="10"/>
  <c r="W25" i="10" s="1"/>
  <c r="X9" i="10"/>
  <c r="W14" i="10"/>
  <c r="AA12" i="22"/>
  <c r="AA13" i="22" s="1"/>
  <c r="Z7" i="20"/>
  <c r="Z12" i="20"/>
  <c r="Z13" i="20" s="1"/>
  <c r="W9" i="20"/>
  <c r="Z12" i="13"/>
  <c r="Z13" i="13" s="1"/>
  <c r="Y19" i="4" l="1"/>
  <c r="Y47" i="4"/>
  <c r="W23" i="9"/>
  <c r="W25" i="9" s="1"/>
  <c r="W14" i="9"/>
  <c r="W18" i="9" s="1"/>
  <c r="AA7" i="19"/>
  <c r="AC7" i="16"/>
  <c r="W14" i="21"/>
  <c r="W18" i="21" s="1"/>
  <c r="AA7" i="20"/>
  <c r="AA12" i="20"/>
  <c r="AA13" i="20" s="1"/>
  <c r="AB12" i="20"/>
  <c r="AB13" i="20" s="1"/>
  <c r="V23" i="9"/>
  <c r="V25" i="9" s="1"/>
  <c r="AA12" i="19"/>
  <c r="AA13" i="19" s="1"/>
  <c r="X9" i="6"/>
  <c r="V19" i="19"/>
  <c r="V47" i="19"/>
  <c r="W23" i="5"/>
  <c r="W25" i="5" s="1"/>
  <c r="AB7" i="18"/>
  <c r="U47" i="8"/>
  <c r="U19" i="8"/>
  <c r="AA7" i="21"/>
  <c r="W23" i="22"/>
  <c r="W14" i="22"/>
  <c r="X9" i="22" s="1"/>
  <c r="X47" i="15"/>
  <c r="X19" i="15"/>
  <c r="AC7" i="15"/>
  <c r="W14" i="23"/>
  <c r="W23" i="23" s="1"/>
  <c r="W25" i="23" s="1"/>
  <c r="AA12" i="6"/>
  <c r="AA13" i="6" s="1"/>
  <c r="V14" i="14"/>
  <c r="V18" i="14" s="1"/>
  <c r="AC7" i="2"/>
  <c r="AC12" i="2"/>
  <c r="AC13" i="2" s="1"/>
  <c r="W47" i="3"/>
  <c r="W19" i="3"/>
  <c r="Y9" i="16"/>
  <c r="AA7" i="10"/>
  <c r="W9" i="12"/>
  <c r="V23" i="12"/>
  <c r="V25" i="12" s="1"/>
  <c r="V14" i="12"/>
  <c r="V18" i="12" s="1"/>
  <c r="AA7" i="6"/>
  <c r="AD7" i="12"/>
  <c r="AA7" i="11"/>
  <c r="AA12" i="11"/>
  <c r="AA13" i="11" s="1"/>
  <c r="AA7" i="14"/>
  <c r="AA7" i="7"/>
  <c r="W9" i="19"/>
  <c r="V9" i="8"/>
  <c r="AB7" i="5"/>
  <c r="X23" i="15"/>
  <c r="X25" i="15" s="1"/>
  <c r="AB12" i="14"/>
  <c r="AB13" i="14" s="1"/>
  <c r="AA7" i="4"/>
  <c r="Z14" i="4"/>
  <c r="Z18" i="4" s="1"/>
  <c r="AA7" i="23"/>
  <c r="AA12" i="23"/>
  <c r="AA13" i="23" s="1"/>
  <c r="W14" i="2"/>
  <c r="W18" i="2" s="1"/>
  <c r="AA7" i="24"/>
  <c r="X23" i="16"/>
  <c r="AC12" i="18"/>
  <c r="AC13" i="18" s="1"/>
  <c r="W23" i="20"/>
  <c r="W25" i="20" s="1"/>
  <c r="W14" i="20"/>
  <c r="W18" i="20" s="1"/>
  <c r="X23" i="5"/>
  <c r="X25" i="5" s="1"/>
  <c r="Y9" i="5"/>
  <c r="X14" i="5"/>
  <c r="X18" i="5" s="1"/>
  <c r="V14" i="13"/>
  <c r="V18" i="13" s="1"/>
  <c r="X23" i="10"/>
  <c r="X25" i="10" s="1"/>
  <c r="X14" i="10"/>
  <c r="X18" i="10" s="1"/>
  <c r="V19" i="9"/>
  <c r="V47" i="9"/>
  <c r="W14" i="7"/>
  <c r="X9" i="7" s="1"/>
  <c r="W19" i="6"/>
  <c r="W47" i="6"/>
  <c r="W14" i="18"/>
  <c r="X9" i="18" s="1"/>
  <c r="W19" i="5"/>
  <c r="W47" i="5"/>
  <c r="Y9" i="17"/>
  <c r="X23" i="17"/>
  <c r="X25" i="17" s="1"/>
  <c r="X14" i="17"/>
  <c r="X18" i="17" s="1"/>
  <c r="W14" i="24"/>
  <c r="W23" i="24" s="1"/>
  <c r="AA7" i="1"/>
  <c r="U23" i="8"/>
  <c r="U25" i="8" s="1"/>
  <c r="V47" i="21"/>
  <c r="V19" i="21"/>
  <c r="U47" i="12"/>
  <c r="U19" i="12"/>
  <c r="AA7" i="17"/>
  <c r="AA12" i="17"/>
  <c r="AA13" i="17" s="1"/>
  <c r="Y9" i="15"/>
  <c r="AA7" i="22"/>
  <c r="AB12" i="22"/>
  <c r="AB13" i="22" s="1"/>
  <c r="AC7" i="9"/>
  <c r="Z9" i="4"/>
  <c r="Y23" i="4"/>
  <c r="Y25" i="4" s="1"/>
  <c r="AC12" i="5"/>
  <c r="AC13" i="5" s="1"/>
  <c r="AB12" i="6"/>
  <c r="AB13" i="6" s="1"/>
  <c r="AC7" i="8"/>
  <c r="AC12" i="8"/>
  <c r="AC13" i="8" s="1"/>
  <c r="AD12" i="8"/>
  <c r="AD13" i="8" s="1"/>
  <c r="AE12" i="12"/>
  <c r="AE13" i="12" s="1"/>
  <c r="AD12" i="12"/>
  <c r="AD13" i="12" s="1"/>
  <c r="AA7" i="13"/>
  <c r="U23" i="1"/>
  <c r="U25" i="1" s="1"/>
  <c r="V9" i="1"/>
  <c r="U14" i="1"/>
  <c r="U18" i="1" s="1"/>
  <c r="Y14" i="11"/>
  <c r="Y18" i="11" s="1"/>
  <c r="AB12" i="23"/>
  <c r="AB13" i="23" s="1"/>
  <c r="AC7" i="3"/>
  <c r="X14" i="3"/>
  <c r="X18" i="3" s="1"/>
  <c r="AA12" i="7"/>
  <c r="AA13" i="7" s="1"/>
  <c r="Y9" i="7" l="1"/>
  <c r="X23" i="7"/>
  <c r="X25" i="7" s="1"/>
  <c r="X14" i="7"/>
  <c r="X18" i="7" s="1"/>
  <c r="X23" i="18"/>
  <c r="X14" i="18"/>
  <c r="X18" i="18" s="1"/>
  <c r="X14" i="22"/>
  <c r="X18" i="22" s="1"/>
  <c r="W23" i="19"/>
  <c r="W25" i="19" s="1"/>
  <c r="X9" i="19"/>
  <c r="W14" i="19"/>
  <c r="W18" i="19" s="1"/>
  <c r="AB7" i="7"/>
  <c r="AB7" i="11"/>
  <c r="AD7" i="15"/>
  <c r="V23" i="1"/>
  <c r="V25" i="1" s="1"/>
  <c r="W9" i="1"/>
  <c r="V14" i="1"/>
  <c r="V18" i="1" s="1"/>
  <c r="W19" i="2"/>
  <c r="W47" i="2"/>
  <c r="Z19" i="4"/>
  <c r="Z47" i="4"/>
  <c r="AC12" i="11"/>
  <c r="AC13" i="11" s="1"/>
  <c r="AB12" i="11"/>
  <c r="AB13" i="11" s="1"/>
  <c r="AE7" i="12"/>
  <c r="Y19" i="11"/>
  <c r="Y47" i="11"/>
  <c r="AB12" i="13"/>
  <c r="AB13" i="13" s="1"/>
  <c r="Z23" i="4"/>
  <c r="Z25" i="4" s="1"/>
  <c r="AA9" i="4"/>
  <c r="AD7" i="9"/>
  <c r="AD12" i="9"/>
  <c r="AD13" i="9" s="1"/>
  <c r="Z9" i="15"/>
  <c r="Y23" i="15"/>
  <c r="Y25" i="15" s="1"/>
  <c r="Y14" i="15"/>
  <c r="Y18" i="15" s="1"/>
  <c r="AB12" i="17"/>
  <c r="AB13" i="17" s="1"/>
  <c r="X9" i="24"/>
  <c r="W23" i="18"/>
  <c r="W23" i="7"/>
  <c r="X19" i="10"/>
  <c r="X47" i="10"/>
  <c r="Y23" i="11"/>
  <c r="Y25" i="11" s="1"/>
  <c r="W9" i="13"/>
  <c r="W47" i="20"/>
  <c r="W19" i="20"/>
  <c r="AE12" i="15"/>
  <c r="AE13" i="15" s="1"/>
  <c r="X9" i="2"/>
  <c r="AB7" i="4"/>
  <c r="AA14" i="4"/>
  <c r="AA18" i="4" s="1"/>
  <c r="AC12" i="4"/>
  <c r="AC13" i="4" s="1"/>
  <c r="AB12" i="4"/>
  <c r="AB13" i="4" s="1"/>
  <c r="AB12" i="7"/>
  <c r="AB13" i="7" s="1"/>
  <c r="AB7" i="14"/>
  <c r="AC12" i="14"/>
  <c r="AC13" i="14" s="1"/>
  <c r="Y14" i="16"/>
  <c r="Y18" i="16" s="1"/>
  <c r="AF12" i="12"/>
  <c r="AF13" i="12" s="1"/>
  <c r="W9" i="14"/>
  <c r="X9" i="23"/>
  <c r="X14" i="6"/>
  <c r="X18" i="6" s="1"/>
  <c r="X9" i="21"/>
  <c r="W47" i="9"/>
  <c r="W19" i="9"/>
  <c r="AB7" i="22"/>
  <c r="AC12" i="22"/>
  <c r="AC13" i="22" s="1"/>
  <c r="AB7" i="17"/>
  <c r="Z9" i="5"/>
  <c r="Y23" i="5"/>
  <c r="Y25" i="5" s="1"/>
  <c r="Y14" i="5"/>
  <c r="Y18" i="5" s="1"/>
  <c r="AB7" i="10"/>
  <c r="AC12" i="10"/>
  <c r="AC13" i="10" s="1"/>
  <c r="AB12" i="10"/>
  <c r="AB13" i="10" s="1"/>
  <c r="AB7" i="19"/>
  <c r="AB12" i="19"/>
  <c r="AB13" i="19" s="1"/>
  <c r="X19" i="3"/>
  <c r="X47" i="3"/>
  <c r="AB7" i="13"/>
  <c r="Z9" i="17"/>
  <c r="Y23" i="17"/>
  <c r="Y25" i="17" s="1"/>
  <c r="Y14" i="17"/>
  <c r="Y18" i="17" s="1"/>
  <c r="V23" i="13"/>
  <c r="AB7" i="6"/>
  <c r="W23" i="12"/>
  <c r="W25" i="12" s="1"/>
  <c r="W14" i="12"/>
  <c r="W18" i="12" s="1"/>
  <c r="V23" i="14"/>
  <c r="AB7" i="21"/>
  <c r="AC12" i="21"/>
  <c r="AC13" i="21" s="1"/>
  <c r="AB12" i="21"/>
  <c r="AB13" i="21" s="1"/>
  <c r="AC12" i="19"/>
  <c r="AC13" i="19" s="1"/>
  <c r="W47" i="21"/>
  <c r="W19" i="21"/>
  <c r="AD7" i="16"/>
  <c r="X23" i="3"/>
  <c r="X25" i="3" s="1"/>
  <c r="AD7" i="3"/>
  <c r="AE12" i="3"/>
  <c r="AE13" i="3" s="1"/>
  <c r="AD12" i="3"/>
  <c r="AD13" i="3" s="1"/>
  <c r="Y9" i="3"/>
  <c r="U19" i="1"/>
  <c r="U47" i="1"/>
  <c r="AD7" i="8"/>
  <c r="AE12" i="8"/>
  <c r="AE13" i="8" s="1"/>
  <c r="AB7" i="1"/>
  <c r="AC12" i="1"/>
  <c r="AC13" i="1" s="1"/>
  <c r="AB12" i="1"/>
  <c r="AB13" i="1" s="1"/>
  <c r="Y9" i="10"/>
  <c r="Z9" i="11"/>
  <c r="X47" i="5"/>
  <c r="X19" i="5"/>
  <c r="X9" i="20"/>
  <c r="AB7" i="24"/>
  <c r="AB12" i="24"/>
  <c r="AB13" i="24" s="1"/>
  <c r="W23" i="2"/>
  <c r="W25" i="2" s="1"/>
  <c r="AB7" i="23"/>
  <c r="AC12" i="17"/>
  <c r="AC13" i="17" s="1"/>
  <c r="AC7" i="5"/>
  <c r="V14" i="8"/>
  <c r="V18" i="8" s="1"/>
  <c r="V47" i="12"/>
  <c r="V19" i="12"/>
  <c r="AD12" i="15"/>
  <c r="AD13" i="15" s="1"/>
  <c r="AD7" i="2"/>
  <c r="AD13" i="2"/>
  <c r="AC7" i="18"/>
  <c r="AB7" i="20"/>
  <c r="W23" i="21"/>
  <c r="W25" i="21" s="1"/>
  <c r="AD12" i="16"/>
  <c r="AD13" i="16" s="1"/>
  <c r="X9" i="9"/>
  <c r="AE7" i="2" l="1"/>
  <c r="AF12" i="2"/>
  <c r="AF13" i="2" s="1"/>
  <c r="AE7" i="16"/>
  <c r="AE12" i="16"/>
  <c r="AE13" i="16" s="1"/>
  <c r="AF12" i="16"/>
  <c r="AF13" i="16" s="1"/>
  <c r="AC7" i="13"/>
  <c r="AD12" i="13"/>
  <c r="AD13" i="13" s="1"/>
  <c r="AC12" i="13"/>
  <c r="AC13" i="13" s="1"/>
  <c r="X19" i="6"/>
  <c r="X47" i="6"/>
  <c r="W14" i="14"/>
  <c r="X9" i="14" s="1"/>
  <c r="Y9" i="2"/>
  <c r="X14" i="2"/>
  <c r="X18" i="2" s="1"/>
  <c r="W9" i="8"/>
  <c r="AD12" i="5"/>
  <c r="AD13" i="5" s="1"/>
  <c r="AC7" i="24"/>
  <c r="Z23" i="17"/>
  <c r="Z25" i="17" s="1"/>
  <c r="AA9" i="17"/>
  <c r="Z14" i="17"/>
  <c r="Z18" i="17" s="1"/>
  <c r="AC7" i="10"/>
  <c r="AE7" i="9"/>
  <c r="AF12" i="9"/>
  <c r="AF13" i="9" s="1"/>
  <c r="AC7" i="7"/>
  <c r="Y14" i="7"/>
  <c r="Y18" i="7" s="1"/>
  <c r="AE12" i="2"/>
  <c r="AE13" i="2" s="1"/>
  <c r="AC7" i="23"/>
  <c r="AC12" i="23"/>
  <c r="AC13" i="23" s="1"/>
  <c r="Z23" i="11"/>
  <c r="Z25" i="11" s="1"/>
  <c r="AA9" i="11"/>
  <c r="Z14" i="11"/>
  <c r="Z18" i="11" s="1"/>
  <c r="Z9" i="3"/>
  <c r="Y23" i="3"/>
  <c r="Y25" i="3" s="1"/>
  <c r="Y14" i="3"/>
  <c r="Y18" i="3" s="1"/>
  <c r="W19" i="12"/>
  <c r="W47" i="12"/>
  <c r="AC7" i="17"/>
  <c r="AC7" i="22"/>
  <c r="Y9" i="21"/>
  <c r="X14" i="21"/>
  <c r="X18" i="21" s="1"/>
  <c r="X23" i="6"/>
  <c r="X25" i="6" s="1"/>
  <c r="Y23" i="16"/>
  <c r="AC7" i="14"/>
  <c r="AD12" i="14"/>
  <c r="AD13" i="14" s="1"/>
  <c r="AA47" i="4"/>
  <c r="AA19" i="4"/>
  <c r="W14" i="13"/>
  <c r="W23" i="13" s="1"/>
  <c r="X14" i="24"/>
  <c r="X18" i="24" s="1"/>
  <c r="AA23" i="4"/>
  <c r="AA25" i="4" s="1"/>
  <c r="AB9" i="4"/>
  <c r="AF7" i="12"/>
  <c r="AG12" i="12"/>
  <c r="AG13" i="12" s="1"/>
  <c r="AE7" i="15"/>
  <c r="AC7" i="11"/>
  <c r="AD12" i="11"/>
  <c r="AD13" i="11" s="1"/>
  <c r="Y9" i="22"/>
  <c r="V47" i="8"/>
  <c r="V19" i="8"/>
  <c r="AD7" i="5"/>
  <c r="AC7" i="1"/>
  <c r="W14" i="1"/>
  <c r="W18" i="1" s="1"/>
  <c r="X14" i="19"/>
  <c r="X18" i="19" s="1"/>
  <c r="AD7" i="18"/>
  <c r="AD12" i="18"/>
  <c r="AD13" i="18" s="1"/>
  <c r="AC7" i="6"/>
  <c r="AD12" i="6"/>
  <c r="AD13" i="6" s="1"/>
  <c r="AC7" i="19"/>
  <c r="AA9" i="5"/>
  <c r="Z14" i="5"/>
  <c r="Z18" i="5" s="1"/>
  <c r="Y9" i="6"/>
  <c r="Z9" i="16"/>
  <c r="Z23" i="15"/>
  <c r="Z25" i="15" s="1"/>
  <c r="AA9" i="15"/>
  <c r="Z14" i="15"/>
  <c r="Z18" i="15" s="1"/>
  <c r="X19" i="22"/>
  <c r="X47" i="22"/>
  <c r="Y9" i="9"/>
  <c r="X14" i="9"/>
  <c r="X18" i="9" s="1"/>
  <c r="V23" i="8"/>
  <c r="V25" i="8" s="1"/>
  <c r="AE12" i="9"/>
  <c r="AE13" i="9" s="1"/>
  <c r="AE7" i="8"/>
  <c r="AF12" i="8"/>
  <c r="AF13" i="8" s="1"/>
  <c r="AC12" i="7"/>
  <c r="AC13" i="7" s="1"/>
  <c r="AC7" i="20"/>
  <c r="AC12" i="20"/>
  <c r="AC13" i="20" s="1"/>
  <c r="AD12" i="20"/>
  <c r="AD13" i="20" s="1"/>
  <c r="AE12" i="18"/>
  <c r="AE13" i="18" s="1"/>
  <c r="AE12" i="5"/>
  <c r="AE13" i="5" s="1"/>
  <c r="AD12" i="23"/>
  <c r="AD13" i="23" s="1"/>
  <c r="AC12" i="24"/>
  <c r="AC13" i="24" s="1"/>
  <c r="X14" i="20"/>
  <c r="X18" i="20" s="1"/>
  <c r="Y14" i="10"/>
  <c r="Y18" i="10" s="1"/>
  <c r="AE7" i="3"/>
  <c r="AC7" i="21"/>
  <c r="X9" i="12"/>
  <c r="AC12" i="6"/>
  <c r="AC13" i="6" s="1"/>
  <c r="Y47" i="5"/>
  <c r="Y19" i="5"/>
  <c r="X23" i="23"/>
  <c r="X25" i="23" s="1"/>
  <c r="Y9" i="23"/>
  <c r="X14" i="23"/>
  <c r="AB14" i="4"/>
  <c r="AB18" i="4" s="1"/>
  <c r="AC7" i="4"/>
  <c r="AD12" i="7"/>
  <c r="AD13" i="7" s="1"/>
  <c r="Y19" i="15"/>
  <c r="Y47" i="15"/>
  <c r="V19" i="1"/>
  <c r="V47" i="1"/>
  <c r="W47" i="19"/>
  <c r="W19" i="19"/>
  <c r="X23" i="22"/>
  <c r="X25" i="22" s="1"/>
  <c r="Y9" i="18"/>
  <c r="X23" i="14" l="1"/>
  <c r="X25" i="14" s="1"/>
  <c r="X14" i="14"/>
  <c r="X18" i="14" s="1"/>
  <c r="X47" i="20"/>
  <c r="X19" i="20"/>
  <c r="AD7" i="20"/>
  <c r="AE12" i="20"/>
  <c r="AE13" i="20" s="1"/>
  <c r="AA23" i="15"/>
  <c r="AA25" i="15" s="1"/>
  <c r="AB9" i="15"/>
  <c r="AA14" i="15"/>
  <c r="AA18" i="15" s="1"/>
  <c r="Y14" i="2"/>
  <c r="Y18" i="2" s="1"/>
  <c r="Y23" i="6"/>
  <c r="Y25" i="6" s="1"/>
  <c r="Z9" i="6"/>
  <c r="Y14" i="6"/>
  <c r="Y18" i="6" s="1"/>
  <c r="X19" i="19"/>
  <c r="X47" i="19"/>
  <c r="W23" i="1"/>
  <c r="W25" i="1" s="1"/>
  <c r="AE7" i="5"/>
  <c r="AD7" i="11"/>
  <c r="AF7" i="15"/>
  <c r="AF12" i="15"/>
  <c r="AF13" i="15" s="1"/>
  <c r="X23" i="24"/>
  <c r="X9" i="13"/>
  <c r="Z23" i="3"/>
  <c r="Z25" i="3" s="1"/>
  <c r="Z14" i="3"/>
  <c r="Z18" i="3" s="1"/>
  <c r="AD7" i="23"/>
  <c r="AF7" i="2"/>
  <c r="AD13" i="1"/>
  <c r="Y14" i="23"/>
  <c r="Y23" i="23" s="1"/>
  <c r="Y25" i="23" s="1"/>
  <c r="Z9" i="9"/>
  <c r="Y14" i="9"/>
  <c r="Y18" i="9" s="1"/>
  <c r="W19" i="1"/>
  <c r="W47" i="1"/>
  <c r="AG7" i="12"/>
  <c r="AH12" i="12"/>
  <c r="AH13" i="12" s="1"/>
  <c r="Y14" i="21"/>
  <c r="Y18" i="21" s="1"/>
  <c r="AA14" i="11"/>
  <c r="AA18" i="11" s="1"/>
  <c r="AD7" i="10"/>
  <c r="AD12" i="10"/>
  <c r="AD13" i="10" s="1"/>
  <c r="AA23" i="17"/>
  <c r="AA25" i="17" s="1"/>
  <c r="AB9" i="17"/>
  <c r="AA14" i="17"/>
  <c r="AA18" i="17" s="1"/>
  <c r="AD7" i="24"/>
  <c r="W14" i="8"/>
  <c r="W18" i="8" s="1"/>
  <c r="Y14" i="18"/>
  <c r="Y18" i="18" s="1"/>
  <c r="Y47" i="10"/>
  <c r="Y19" i="10"/>
  <c r="X23" i="20"/>
  <c r="X25" i="20" s="1"/>
  <c r="AD7" i="4"/>
  <c r="AC14" i="4"/>
  <c r="AC18" i="4" s="1"/>
  <c r="AD12" i="4"/>
  <c r="AD13" i="4" s="1"/>
  <c r="AE12" i="4"/>
  <c r="AE13" i="4" s="1"/>
  <c r="X14" i="12"/>
  <c r="X18" i="12" s="1"/>
  <c r="AF7" i="3"/>
  <c r="AF12" i="3"/>
  <c r="AF13" i="3" s="1"/>
  <c r="Z9" i="10"/>
  <c r="Y9" i="20"/>
  <c r="AE12" i="24"/>
  <c r="AE13" i="24" s="1"/>
  <c r="AF7" i="8"/>
  <c r="AD12" i="24"/>
  <c r="AD13" i="24" s="1"/>
  <c r="X47" i="9"/>
  <c r="X19" i="9"/>
  <c r="Z19" i="5"/>
  <c r="Z47" i="5"/>
  <c r="AD7" i="19"/>
  <c r="AD7" i="6"/>
  <c r="Y9" i="19"/>
  <c r="X9" i="1"/>
  <c r="AC9" i="4"/>
  <c r="AB23" i="4"/>
  <c r="AB25" i="4" s="1"/>
  <c r="Y9" i="24"/>
  <c r="AD7" i="14"/>
  <c r="X47" i="21"/>
  <c r="X19" i="21"/>
  <c r="AD7" i="17"/>
  <c r="AD12" i="17"/>
  <c r="AD13" i="17" s="1"/>
  <c r="Z9" i="7"/>
  <c r="AF7" i="9"/>
  <c r="X19" i="2"/>
  <c r="X47" i="2"/>
  <c r="W23" i="14"/>
  <c r="W25" i="14" s="1"/>
  <c r="AF7" i="16"/>
  <c r="AA14" i="5"/>
  <c r="AA18" i="5" s="1"/>
  <c r="AD7" i="1"/>
  <c r="AD7" i="13"/>
  <c r="AE12" i="1"/>
  <c r="AE13" i="1" s="1"/>
  <c r="AB47" i="4"/>
  <c r="AB19" i="4"/>
  <c r="AD7" i="21"/>
  <c r="AD12" i="21"/>
  <c r="AD13" i="21" s="1"/>
  <c r="AE12" i="21"/>
  <c r="AE13" i="21" s="1"/>
  <c r="Y23" i="10"/>
  <c r="Y25" i="10" s="1"/>
  <c r="X23" i="9"/>
  <c r="X25" i="9" s="1"/>
  <c r="Z19" i="15"/>
  <c r="Z47" i="15"/>
  <c r="Z14" i="16"/>
  <c r="Z18" i="16" s="1"/>
  <c r="Z23" i="5"/>
  <c r="Z25" i="5" s="1"/>
  <c r="AE7" i="18"/>
  <c r="AF12" i="18" s="1"/>
  <c r="AF13" i="18" s="1"/>
  <c r="X23" i="19"/>
  <c r="X25" i="19" s="1"/>
  <c r="Y23" i="22"/>
  <c r="Y25" i="22" s="1"/>
  <c r="Z9" i="22"/>
  <c r="Y14" i="22"/>
  <c r="Y18" i="22" s="1"/>
  <c r="AD12" i="19"/>
  <c r="AD13" i="19" s="1"/>
  <c r="X23" i="21"/>
  <c r="X25" i="21" s="1"/>
  <c r="AD7" i="22"/>
  <c r="AD12" i="22"/>
  <c r="AD13" i="22" s="1"/>
  <c r="AE12" i="22"/>
  <c r="AE13" i="22" s="1"/>
  <c r="Y19" i="3"/>
  <c r="Y47" i="3"/>
  <c r="Z19" i="11"/>
  <c r="Z47" i="11"/>
  <c r="Y23" i="7"/>
  <c r="Y25" i="7" s="1"/>
  <c r="AD7" i="7"/>
  <c r="X25" i="2"/>
  <c r="Y14" i="24" l="1"/>
  <c r="Y18" i="24" s="1"/>
  <c r="AE7" i="6"/>
  <c r="AE12" i="6"/>
  <c r="AE13" i="6" s="1"/>
  <c r="AE7" i="19"/>
  <c r="AE12" i="19"/>
  <c r="AE13" i="19" s="1"/>
  <c r="AF12" i="19"/>
  <c r="AF13" i="19" s="1"/>
  <c r="X19" i="12"/>
  <c r="X47" i="12"/>
  <c r="AC19" i="4"/>
  <c r="AC47" i="4"/>
  <c r="W47" i="8"/>
  <c r="W19" i="8"/>
  <c r="AC9" i="17"/>
  <c r="AB14" i="17"/>
  <c r="AB18" i="17" s="1"/>
  <c r="Y19" i="21"/>
  <c r="Y47" i="21"/>
  <c r="Z14" i="9"/>
  <c r="Z18" i="9" s="1"/>
  <c r="AE7" i="23"/>
  <c r="AG7" i="15"/>
  <c r="AE7" i="11"/>
  <c r="Y47" i="2"/>
  <c r="Y19" i="2"/>
  <c r="AC9" i="15"/>
  <c r="AB23" i="15"/>
  <c r="AB25" i="15" s="1"/>
  <c r="AB14" i="15"/>
  <c r="AB18" i="15" s="1"/>
  <c r="AE7" i="22"/>
  <c r="AF12" i="22"/>
  <c r="AF13" i="22" s="1"/>
  <c r="AE7" i="13"/>
  <c r="AA19" i="5"/>
  <c r="AA47" i="5"/>
  <c r="AG7" i="8"/>
  <c r="AG12" i="8"/>
  <c r="AG13" i="8" s="1"/>
  <c r="X14" i="13"/>
  <c r="X18" i="13" s="1"/>
  <c r="AH12" i="15"/>
  <c r="AH13" i="15" s="1"/>
  <c r="Z9" i="2"/>
  <c r="AA9" i="16"/>
  <c r="AE7" i="21"/>
  <c r="AF12" i="21"/>
  <c r="AF13" i="21" s="1"/>
  <c r="AG7" i="16"/>
  <c r="AG12" i="16"/>
  <c r="AG13" i="16" s="1"/>
  <c r="AE7" i="17"/>
  <c r="X23" i="12"/>
  <c r="X25" i="12" s="1"/>
  <c r="AE7" i="24"/>
  <c r="AB9" i="11"/>
  <c r="Y23" i="21"/>
  <c r="Y25" i="21" s="1"/>
  <c r="Y19" i="9"/>
  <c r="Y47" i="9"/>
  <c r="Z9" i="23"/>
  <c r="AG7" i="2"/>
  <c r="AH12" i="2"/>
  <c r="AH13" i="2" s="1"/>
  <c r="AG12" i="2"/>
  <c r="AG13" i="2" s="1"/>
  <c r="Z47" i="3"/>
  <c r="Z19" i="3"/>
  <c r="AF12" i="11"/>
  <c r="AF13" i="11" s="1"/>
  <c r="Y23" i="2"/>
  <c r="Y25" i="2" s="1"/>
  <c r="Z14" i="22"/>
  <c r="Z18" i="22" s="1"/>
  <c r="AF7" i="18"/>
  <c r="AG12" i="18"/>
  <c r="AG13" i="18" s="1"/>
  <c r="AG7" i="9"/>
  <c r="AG12" i="9"/>
  <c r="AG13" i="9" s="1"/>
  <c r="X14" i="1"/>
  <c r="X18" i="1" s="1"/>
  <c r="Z14" i="6"/>
  <c r="Z18" i="6" s="1"/>
  <c r="AE7" i="7"/>
  <c r="AE12" i="7"/>
  <c r="AE13" i="7" s="1"/>
  <c r="Z14" i="7"/>
  <c r="Z18" i="7" s="1"/>
  <c r="Y14" i="19"/>
  <c r="Y18" i="19" s="1"/>
  <c r="Y14" i="20"/>
  <c r="Y18" i="20" s="1"/>
  <c r="Y9" i="12"/>
  <c r="AE7" i="4"/>
  <c r="AF12" i="4"/>
  <c r="AF13" i="4" s="1"/>
  <c r="X9" i="8"/>
  <c r="AA47" i="11"/>
  <c r="AA19" i="11"/>
  <c r="Z9" i="21"/>
  <c r="AE12" i="23"/>
  <c r="AE13" i="23" s="1"/>
  <c r="AG12" i="15"/>
  <c r="AG13" i="15" s="1"/>
  <c r="AF7" i="5"/>
  <c r="AG12" i="5"/>
  <c r="AG13" i="5" s="1"/>
  <c r="AF12" i="5"/>
  <c r="AF13" i="5" s="1"/>
  <c r="AB9" i="5"/>
  <c r="AE7" i="14"/>
  <c r="AF12" i="14"/>
  <c r="AF13" i="14" s="1"/>
  <c r="AE12" i="14"/>
  <c r="AE13" i="14" s="1"/>
  <c r="AD9" i="4"/>
  <c r="AC23" i="4"/>
  <c r="AC25" i="4" s="1"/>
  <c r="Z23" i="10"/>
  <c r="Z25" i="10" s="1"/>
  <c r="AA9" i="10"/>
  <c r="Z14" i="10"/>
  <c r="Z18" i="10" s="1"/>
  <c r="Z9" i="18"/>
  <c r="W23" i="8"/>
  <c r="W25" i="8" s="1"/>
  <c r="Y47" i="22"/>
  <c r="Y19" i="22"/>
  <c r="AF12" i="6"/>
  <c r="AF13" i="6" s="1"/>
  <c r="Z23" i="16"/>
  <c r="AF12" i="13"/>
  <c r="AF13" i="13" s="1"/>
  <c r="AE7" i="1"/>
  <c r="AA23" i="5"/>
  <c r="AA25" i="5" s="1"/>
  <c r="AF12" i="23"/>
  <c r="AF13" i="23" s="1"/>
  <c r="AE12" i="17"/>
  <c r="AE13" i="17" s="1"/>
  <c r="AG7" i="3"/>
  <c r="AG12" i="3"/>
  <c r="AG13" i="3" s="1"/>
  <c r="Y23" i="18"/>
  <c r="AE7" i="10"/>
  <c r="AA23" i="11"/>
  <c r="AA25" i="11" s="1"/>
  <c r="AH7" i="12"/>
  <c r="Y23" i="9"/>
  <c r="Y25" i="9" s="1"/>
  <c r="AA9" i="3"/>
  <c r="AE12" i="13"/>
  <c r="AE13" i="13" s="1"/>
  <c r="AE12" i="11"/>
  <c r="AE13" i="11" s="1"/>
  <c r="Y47" i="6"/>
  <c r="Y19" i="6"/>
  <c r="AA47" i="15"/>
  <c r="AA19" i="15"/>
  <c r="AE7" i="20"/>
  <c r="Y9" i="14"/>
  <c r="AE12" i="10"/>
  <c r="AE13" i="10" s="1"/>
  <c r="AD23" i="4" l="1"/>
  <c r="AD25" i="4" s="1"/>
  <c r="AE9" i="4"/>
  <c r="AE14" i="4" s="1"/>
  <c r="AE18" i="4" s="1"/>
  <c r="Y19" i="19"/>
  <c r="Y47" i="19"/>
  <c r="AF7" i="7"/>
  <c r="AC9" i="11"/>
  <c r="AB14" i="11"/>
  <c r="AB18" i="11" s="1"/>
  <c r="AH7" i="16"/>
  <c r="AI12" i="16" s="1"/>
  <c r="AI13" i="16" s="1"/>
  <c r="AF7" i="22"/>
  <c r="AH7" i="3"/>
  <c r="AH12" i="3"/>
  <c r="AH13" i="3" s="1"/>
  <c r="AI12" i="3"/>
  <c r="AI13" i="3" s="1"/>
  <c r="AD14" i="4"/>
  <c r="AD18" i="4" s="1"/>
  <c r="Z47" i="6"/>
  <c r="Z19" i="6"/>
  <c r="X23" i="1"/>
  <c r="X25" i="1" s="1"/>
  <c r="AH12" i="16"/>
  <c r="AH13" i="16" s="1"/>
  <c r="AA14" i="16"/>
  <c r="AA18" i="16" s="1"/>
  <c r="Z14" i="2"/>
  <c r="Z18" i="2" s="1"/>
  <c r="AF7" i="13"/>
  <c r="AG12" i="13"/>
  <c r="AG13" i="13" s="1"/>
  <c r="AD9" i="15"/>
  <c r="AC23" i="15"/>
  <c r="AC25" i="15" s="1"/>
  <c r="AC14" i="15"/>
  <c r="AC18" i="15" s="1"/>
  <c r="AH7" i="15"/>
  <c r="Z19" i="9"/>
  <c r="Z47" i="9"/>
  <c r="AB14" i="5"/>
  <c r="AB18" i="5" s="1"/>
  <c r="X19" i="1"/>
  <c r="X47" i="1"/>
  <c r="Z47" i="22"/>
  <c r="Z19" i="22"/>
  <c r="Z23" i="23"/>
  <c r="Z25" i="23" s="1"/>
  <c r="Z14" i="23"/>
  <c r="AA9" i="23" s="1"/>
  <c r="AF7" i="1"/>
  <c r="AF12" i="1"/>
  <c r="AF13" i="1" s="1"/>
  <c r="AF7" i="14"/>
  <c r="Y23" i="20"/>
  <c r="Y25" i="20" s="1"/>
  <c r="Z9" i="19"/>
  <c r="AA9" i="7"/>
  <c r="Z23" i="22"/>
  <c r="Z25" i="22" s="1"/>
  <c r="AF7" i="20"/>
  <c r="AG12" i="20"/>
  <c r="AG13" i="20" s="1"/>
  <c r="AF12" i="20"/>
  <c r="AF13" i="20" s="1"/>
  <c r="AB9" i="3"/>
  <c r="AA23" i="3"/>
  <c r="AA25" i="3" s="1"/>
  <c r="AA14" i="3"/>
  <c r="AA18" i="3" s="1"/>
  <c r="AI7" i="12"/>
  <c r="AI12" i="12"/>
  <c r="AI13" i="12" s="1"/>
  <c r="AJ12" i="12"/>
  <c r="AJ13" i="12" s="1"/>
  <c r="AF7" i="10"/>
  <c r="AF12" i="10"/>
  <c r="AF13" i="10" s="1"/>
  <c r="AG12" i="10"/>
  <c r="AG13" i="10" s="1"/>
  <c r="Z47" i="10"/>
  <c r="Z19" i="10"/>
  <c r="AG12" i="14"/>
  <c r="AG13" i="14" s="1"/>
  <c r="AG7" i="5"/>
  <c r="X14" i="8"/>
  <c r="X18" i="8" s="1"/>
  <c r="AF7" i="4"/>
  <c r="Z9" i="20"/>
  <c r="Y23" i="19"/>
  <c r="Y25" i="19" s="1"/>
  <c r="Z23" i="7"/>
  <c r="Z25" i="7" s="1"/>
  <c r="Z23" i="6"/>
  <c r="Z25" i="6" s="1"/>
  <c r="Y9" i="1"/>
  <c r="AH7" i="9"/>
  <c r="AH12" i="9"/>
  <c r="AH13" i="9" s="1"/>
  <c r="AA9" i="22"/>
  <c r="AF7" i="24"/>
  <c r="AF12" i="24"/>
  <c r="AF13" i="24" s="1"/>
  <c r="X23" i="13"/>
  <c r="AH7" i="8"/>
  <c r="AH12" i="8"/>
  <c r="AH13" i="8" s="1"/>
  <c r="AA9" i="9"/>
  <c r="AF7" i="19"/>
  <c r="Z9" i="24"/>
  <c r="Z14" i="18"/>
  <c r="Z18" i="18" s="1"/>
  <c r="Y19" i="20"/>
  <c r="Y47" i="20"/>
  <c r="AF7" i="17"/>
  <c r="AC14" i="17"/>
  <c r="AC18" i="17" s="1"/>
  <c r="Y23" i="14"/>
  <c r="Y25" i="14" s="1"/>
  <c r="Y14" i="14"/>
  <c r="Y18" i="14" s="1"/>
  <c r="AA23" i="10"/>
  <c r="AA25" i="10" s="1"/>
  <c r="AA14" i="10"/>
  <c r="AA18" i="10" s="1"/>
  <c r="Z14" i="21"/>
  <c r="Z18" i="21" s="1"/>
  <c r="Y23" i="12"/>
  <c r="Y25" i="12" s="1"/>
  <c r="Y14" i="12"/>
  <c r="Y18" i="12" s="1"/>
  <c r="AA9" i="6"/>
  <c r="AG7" i="18"/>
  <c r="AH7" i="2"/>
  <c r="AF12" i="17"/>
  <c r="AF13" i="17" s="1"/>
  <c r="AF7" i="21"/>
  <c r="Y9" i="13"/>
  <c r="AB47" i="15"/>
  <c r="AB19" i="15"/>
  <c r="AF7" i="11"/>
  <c r="AF7" i="23"/>
  <c r="Z23" i="9"/>
  <c r="Z25" i="9" s="1"/>
  <c r="AB23" i="17"/>
  <c r="AB25" i="17" s="1"/>
  <c r="AF7" i="6"/>
  <c r="Y23" i="24"/>
  <c r="AF12" i="7"/>
  <c r="AF13" i="7" s="1"/>
  <c r="AA14" i="23" l="1"/>
  <c r="AB9" i="23" s="1"/>
  <c r="AE47" i="4"/>
  <c r="AE19" i="4"/>
  <c r="Z47" i="21"/>
  <c r="Z19" i="21"/>
  <c r="AG7" i="24"/>
  <c r="AG12" i="24"/>
  <c r="AG13" i="24" s="1"/>
  <c r="AH12" i="24"/>
  <c r="AH13" i="24" s="1"/>
  <c r="AB47" i="5"/>
  <c r="AB19" i="5"/>
  <c r="AD23" i="15"/>
  <c r="AD25" i="15" s="1"/>
  <c r="AE9" i="15"/>
  <c r="AD14" i="15"/>
  <c r="AD18" i="15" s="1"/>
  <c r="Y47" i="12"/>
  <c r="Y19" i="12"/>
  <c r="AA47" i="10"/>
  <c r="AA19" i="10"/>
  <c r="AG7" i="17"/>
  <c r="Z23" i="18"/>
  <c r="AG12" i="7"/>
  <c r="AG13" i="7" s="1"/>
  <c r="X23" i="8"/>
  <c r="X25" i="8" s="1"/>
  <c r="AG7" i="10"/>
  <c r="AJ7" i="12"/>
  <c r="AG7" i="20"/>
  <c r="Z14" i="19"/>
  <c r="Z18" i="19" s="1"/>
  <c r="AG7" i="14"/>
  <c r="AH12" i="14"/>
  <c r="AH13" i="14" s="1"/>
  <c r="AC9" i="5"/>
  <c r="AI7" i="15"/>
  <c r="AI12" i="15"/>
  <c r="AI13" i="15" s="1"/>
  <c r="AA9" i="2"/>
  <c r="AA23" i="16"/>
  <c r="AB47" i="11"/>
  <c r="AB19" i="11"/>
  <c r="AG7" i="23"/>
  <c r="AG12" i="23"/>
  <c r="AG13" i="23" s="1"/>
  <c r="AB9" i="6"/>
  <c r="AA23" i="6"/>
  <c r="AA25" i="6" s="1"/>
  <c r="AA14" i="6"/>
  <c r="AA18" i="6" s="1"/>
  <c r="Y14" i="1"/>
  <c r="Y18" i="1" s="1"/>
  <c r="X47" i="8"/>
  <c r="X19" i="8"/>
  <c r="AG7" i="1"/>
  <c r="AH12" i="1" s="1"/>
  <c r="AH13" i="1" s="1"/>
  <c r="AG13" i="1"/>
  <c r="AI7" i="3"/>
  <c r="AG7" i="22"/>
  <c r="AG12" i="22"/>
  <c r="AG13" i="22" s="1"/>
  <c r="AI7" i="16"/>
  <c r="AC14" i="11"/>
  <c r="AC18" i="11" s="1"/>
  <c r="AG7" i="7"/>
  <c r="AE23" i="4"/>
  <c r="AE25" i="4" s="1"/>
  <c r="AF9" i="4"/>
  <c r="AG7" i="11"/>
  <c r="AH12" i="11"/>
  <c r="AH13" i="11" s="1"/>
  <c r="AI7" i="2"/>
  <c r="AJ13" i="2"/>
  <c r="AA9" i="24"/>
  <c r="Z23" i="24"/>
  <c r="Z14" i="24"/>
  <c r="Z18" i="24" s="1"/>
  <c r="AA14" i="9"/>
  <c r="AA18" i="9" s="1"/>
  <c r="AI7" i="8"/>
  <c r="AJ12" i="8"/>
  <c r="AJ13" i="8" s="1"/>
  <c r="AI12" i="8"/>
  <c r="AI13" i="8" s="1"/>
  <c r="AA9" i="20"/>
  <c r="Z14" i="20"/>
  <c r="Z18" i="20" s="1"/>
  <c r="Y9" i="8"/>
  <c r="AB14" i="3"/>
  <c r="AB18" i="3" s="1"/>
  <c r="AA23" i="7"/>
  <c r="AA25" i="7" s="1"/>
  <c r="AA14" i="7"/>
  <c r="AA18" i="7" s="1"/>
  <c r="Z47" i="2"/>
  <c r="Z19" i="2"/>
  <c r="AB9" i="16"/>
  <c r="AG12" i="11"/>
  <c r="AG13" i="11" s="1"/>
  <c r="Z9" i="13"/>
  <c r="Y14" i="13"/>
  <c r="Y18" i="13" s="1"/>
  <c r="AG7" i="21"/>
  <c r="AG12" i="21"/>
  <c r="AG13" i="21" s="1"/>
  <c r="AH7" i="18"/>
  <c r="AH12" i="18"/>
  <c r="AH13" i="18" s="1"/>
  <c r="AA9" i="21"/>
  <c r="Y47" i="14"/>
  <c r="Y19" i="14"/>
  <c r="AC23" i="17"/>
  <c r="AC25" i="17" s="1"/>
  <c r="AG7" i="6"/>
  <c r="AG12" i="6"/>
  <c r="AG13" i="6" s="1"/>
  <c r="AH12" i="6"/>
  <c r="AH13" i="6" s="1"/>
  <c r="AI13" i="2"/>
  <c r="Z9" i="12"/>
  <c r="Z23" i="21"/>
  <c r="Z25" i="21" s="1"/>
  <c r="AB9" i="10"/>
  <c r="Z9" i="14"/>
  <c r="AD9" i="17"/>
  <c r="AG12" i="17"/>
  <c r="AG13" i="17" s="1"/>
  <c r="AA9" i="18"/>
  <c r="AG7" i="19"/>
  <c r="AG12" i="19"/>
  <c r="AG13" i="19" s="1"/>
  <c r="AA23" i="22"/>
  <c r="AA25" i="22" s="1"/>
  <c r="AB9" i="22"/>
  <c r="AA14" i="22"/>
  <c r="AA18" i="22" s="1"/>
  <c r="AI7" i="9"/>
  <c r="AI12" i="9"/>
  <c r="AI13" i="9" s="1"/>
  <c r="AF14" i="4"/>
  <c r="AF18" i="4" s="1"/>
  <c r="AG7" i="4"/>
  <c r="AG12" i="4"/>
  <c r="AG13" i="4" s="1"/>
  <c r="AH12" i="4"/>
  <c r="AH13" i="4" s="1"/>
  <c r="AH7" i="5"/>
  <c r="AH12" i="5"/>
  <c r="AH13" i="5" s="1"/>
  <c r="AA19" i="3"/>
  <c r="AA47" i="3"/>
  <c r="AB23" i="5"/>
  <c r="AB25" i="5" s="1"/>
  <c r="AC19" i="15"/>
  <c r="AC47" i="15"/>
  <c r="AG7" i="13"/>
  <c r="AH12" i="13"/>
  <c r="AH13" i="13" s="1"/>
  <c r="Z23" i="2"/>
  <c r="Z25" i="2" s="1"/>
  <c r="AD19" i="4"/>
  <c r="AD47" i="4"/>
  <c r="AB23" i="11"/>
  <c r="AB25" i="11" s="1"/>
  <c r="AB23" i="23" l="1"/>
  <c r="AB25" i="23" s="1"/>
  <c r="AC9" i="23"/>
  <c r="AB14" i="23"/>
  <c r="AB18" i="23" s="1"/>
  <c r="AH7" i="19"/>
  <c r="AF47" i="4"/>
  <c r="AF19" i="4"/>
  <c r="AI7" i="18"/>
  <c r="AH7" i="21"/>
  <c r="AC19" i="11"/>
  <c r="AC47" i="11"/>
  <c r="AH7" i="10"/>
  <c r="AH12" i="10"/>
  <c r="AH13" i="10" s="1"/>
  <c r="AI12" i="10"/>
  <c r="AI13" i="10" s="1"/>
  <c r="AE23" i="15"/>
  <c r="AE25" i="15" s="1"/>
  <c r="AF9" i="15"/>
  <c r="AE14" i="15"/>
  <c r="AE18" i="15" s="1"/>
  <c r="AH12" i="19"/>
  <c r="AH13" i="19" s="1"/>
  <c r="AA14" i="18"/>
  <c r="AA18" i="18" s="1"/>
  <c r="AB23" i="10"/>
  <c r="AB25" i="10" s="1"/>
  <c r="AC9" i="10"/>
  <c r="AB14" i="10"/>
  <c r="AB18" i="10" s="1"/>
  <c r="AH7" i="6"/>
  <c r="AB23" i="16"/>
  <c r="AB14" i="16"/>
  <c r="AB18" i="16" s="1"/>
  <c r="AB23" i="3"/>
  <c r="AB25" i="3" s="1"/>
  <c r="Z19" i="20"/>
  <c r="Z47" i="20"/>
  <c r="AB9" i="9"/>
  <c r="AA14" i="24"/>
  <c r="AA18" i="24" s="1"/>
  <c r="AG9" i="4"/>
  <c r="AF23" i="4"/>
  <c r="AF25" i="4" s="1"/>
  <c r="AC23" i="11"/>
  <c r="AC25" i="11" s="1"/>
  <c r="AJ7" i="16"/>
  <c r="AJ12" i="16"/>
  <c r="AJ13" i="16" s="1"/>
  <c r="AJ7" i="3"/>
  <c r="Z9" i="1"/>
  <c r="AB23" i="6"/>
  <c r="AB25" i="6" s="1"/>
  <c r="AB14" i="6"/>
  <c r="AB18" i="6" s="1"/>
  <c r="AJ12" i="3"/>
  <c r="AJ13" i="3" s="1"/>
  <c r="AA23" i="2"/>
  <c r="AA25" i="2" s="1"/>
  <c r="AB9" i="2"/>
  <c r="AA14" i="2"/>
  <c r="AA18" i="2" s="1"/>
  <c r="AJ7" i="15"/>
  <c r="AJ12" i="15"/>
  <c r="AJ13" i="15" s="1"/>
  <c r="AA9" i="19"/>
  <c r="AH7" i="20"/>
  <c r="AH12" i="20"/>
  <c r="AH13" i="20" s="1"/>
  <c r="AK7" i="12"/>
  <c r="AK12" i="12"/>
  <c r="AK13" i="12" s="1"/>
  <c r="AB23" i="22"/>
  <c r="AB25" i="22" s="1"/>
  <c r="AB14" i="22"/>
  <c r="AB18" i="22" s="1"/>
  <c r="Z23" i="13"/>
  <c r="Z25" i="13" s="1"/>
  <c r="Z14" i="13"/>
  <c r="Z18" i="13" s="1"/>
  <c r="AB19" i="3"/>
  <c r="AB47" i="3"/>
  <c r="Z9" i="8"/>
  <c r="Y14" i="8"/>
  <c r="Y18" i="8" s="1"/>
  <c r="AH7" i="1"/>
  <c r="Y19" i="1"/>
  <c r="Y47" i="1"/>
  <c r="AH7" i="23"/>
  <c r="Z19" i="19"/>
  <c r="Z47" i="19"/>
  <c r="AH7" i="13"/>
  <c r="AI12" i="18"/>
  <c r="AI13" i="18" s="1"/>
  <c r="AJ12" i="18"/>
  <c r="AJ13" i="18" s="1"/>
  <c r="AC9" i="3"/>
  <c r="AA23" i="20"/>
  <c r="AA25" i="20" s="1"/>
  <c r="AB9" i="20"/>
  <c r="AA14" i="20"/>
  <c r="AA18" i="20" s="1"/>
  <c r="AA23" i="9"/>
  <c r="AA25" i="9" s="1"/>
  <c r="AH7" i="7"/>
  <c r="AI12" i="7" s="1"/>
  <c r="AI13" i="7" s="1"/>
  <c r="AD9" i="11"/>
  <c r="AH7" i="22"/>
  <c r="AH12" i="22"/>
  <c r="AH13" i="22" s="1"/>
  <c r="Y23" i="1"/>
  <c r="Y25" i="1" s="1"/>
  <c r="AI12" i="23"/>
  <c r="AI13" i="23" s="1"/>
  <c r="AC23" i="5"/>
  <c r="AC25" i="5" s="1"/>
  <c r="AC14" i="5"/>
  <c r="AC18" i="5" s="1"/>
  <c r="AH7" i="14"/>
  <c r="AI12" i="14"/>
  <c r="AI13" i="14" s="1"/>
  <c r="Z23" i="19"/>
  <c r="Z25" i="19" s="1"/>
  <c r="AH7" i="17"/>
  <c r="AH12" i="17"/>
  <c r="AH13" i="17" s="1"/>
  <c r="AH7" i="24"/>
  <c r="AA23" i="23"/>
  <c r="AA25" i="23" s="1"/>
  <c r="AH12" i="7"/>
  <c r="AH13" i="7" s="1"/>
  <c r="AA9" i="14"/>
  <c r="Z14" i="14"/>
  <c r="Z18" i="14" s="1"/>
  <c r="AA23" i="21"/>
  <c r="AA25" i="21" s="1"/>
  <c r="AA14" i="21"/>
  <c r="AA18" i="21" s="1"/>
  <c r="AA47" i="9"/>
  <c r="AA19" i="9"/>
  <c r="AI7" i="5"/>
  <c r="AI12" i="5"/>
  <c r="AI13" i="5" s="1"/>
  <c r="AJ7" i="9"/>
  <c r="AJ12" i="9"/>
  <c r="AJ13" i="9" s="1"/>
  <c r="AH12" i="21"/>
  <c r="AH13" i="21" s="1"/>
  <c r="AJ12" i="5"/>
  <c r="AJ13" i="5" s="1"/>
  <c r="AH7" i="4"/>
  <c r="AG14" i="4"/>
  <c r="AG18" i="4" s="1"/>
  <c r="AA19" i="22"/>
  <c r="AA47" i="22"/>
  <c r="AE9" i="17"/>
  <c r="AD14" i="17"/>
  <c r="AD18" i="17" s="1"/>
  <c r="Z14" i="12"/>
  <c r="Z18" i="12" s="1"/>
  <c r="AI12" i="21"/>
  <c r="AI13" i="21" s="1"/>
  <c r="Y23" i="13"/>
  <c r="AB9" i="7"/>
  <c r="Z23" i="20"/>
  <c r="Z25" i="20" s="1"/>
  <c r="AJ7" i="8"/>
  <c r="AJ7" i="2"/>
  <c r="AH7" i="11"/>
  <c r="AA47" i="6"/>
  <c r="AA19" i="6"/>
  <c r="AH12" i="23"/>
  <c r="AH13" i="23" s="1"/>
  <c r="AK12" i="15"/>
  <c r="AK13" i="15" s="1"/>
  <c r="AI12" i="20"/>
  <c r="AI13" i="20" s="1"/>
  <c r="AD19" i="15"/>
  <c r="AD47" i="15"/>
  <c r="AI7" i="17" l="1"/>
  <c r="AI12" i="17"/>
  <c r="AI13" i="17" s="1"/>
  <c r="AC14" i="3"/>
  <c r="AC18" i="3" s="1"/>
  <c r="AI7" i="1"/>
  <c r="AK7" i="15"/>
  <c r="AK7" i="3"/>
  <c r="AK12" i="3"/>
  <c r="AK13" i="3" s="1"/>
  <c r="AI7" i="6"/>
  <c r="AI12" i="6"/>
  <c r="AI13" i="6" s="1"/>
  <c r="AJ12" i="6"/>
  <c r="AJ13" i="6" s="1"/>
  <c r="AI7" i="10"/>
  <c r="AI7" i="19"/>
  <c r="AI7" i="11"/>
  <c r="AI12" i="11"/>
  <c r="AI13" i="11" s="1"/>
  <c r="AJ12" i="11"/>
  <c r="AJ13" i="11" s="1"/>
  <c r="AC9" i="7"/>
  <c r="AB23" i="7"/>
  <c r="AB25" i="7" s="1"/>
  <c r="AB14" i="7"/>
  <c r="AB18" i="7" s="1"/>
  <c r="AA9" i="12"/>
  <c r="AD23" i="17"/>
  <c r="AD25" i="17" s="1"/>
  <c r="AG19" i="4"/>
  <c r="AG47" i="4"/>
  <c r="AK7" i="9"/>
  <c r="AK12" i="9"/>
  <c r="AK13" i="9" s="1"/>
  <c r="AB9" i="21"/>
  <c r="AI7" i="14"/>
  <c r="AD9" i="5"/>
  <c r="AI7" i="22"/>
  <c r="AI12" i="22"/>
  <c r="AI13" i="22" s="1"/>
  <c r="AJ12" i="22"/>
  <c r="AJ13" i="22" s="1"/>
  <c r="AA47" i="20"/>
  <c r="AA19" i="20"/>
  <c r="AI7" i="23"/>
  <c r="AA9" i="13"/>
  <c r="AL7" i="12"/>
  <c r="AL12" i="12"/>
  <c r="AL13" i="12" s="1"/>
  <c r="AI7" i="20"/>
  <c r="AA47" i="2"/>
  <c r="AA19" i="2"/>
  <c r="AA9" i="1"/>
  <c r="Z14" i="1"/>
  <c r="Z18" i="1" s="1"/>
  <c r="AB9" i="24"/>
  <c r="AC9" i="16"/>
  <c r="AB19" i="10"/>
  <c r="AB47" i="10"/>
  <c r="AB9" i="18"/>
  <c r="AI7" i="21"/>
  <c r="AK7" i="2"/>
  <c r="Z47" i="12"/>
  <c r="Z19" i="12"/>
  <c r="AE14" i="17"/>
  <c r="AE18" i="17" s="1"/>
  <c r="AL12" i="3"/>
  <c r="AL13" i="3" s="1"/>
  <c r="AK13" i="2"/>
  <c r="Z23" i="12"/>
  <c r="Z25" i="12" s="1"/>
  <c r="AI12" i="19"/>
  <c r="AI13" i="19" s="1"/>
  <c r="AI7" i="4"/>
  <c r="AI12" i="4"/>
  <c r="AI13" i="4" s="1"/>
  <c r="Z47" i="14"/>
  <c r="Z19" i="14"/>
  <c r="AJ12" i="17"/>
  <c r="AJ13" i="17" s="1"/>
  <c r="AD14" i="11"/>
  <c r="AD18" i="11" s="1"/>
  <c r="AB23" i="20"/>
  <c r="AB25" i="20" s="1"/>
  <c r="AB14" i="20"/>
  <c r="AB18" i="20" s="1"/>
  <c r="AI7" i="13"/>
  <c r="Y47" i="8"/>
  <c r="Y19" i="8"/>
  <c r="AB19" i="22"/>
  <c r="AB47" i="22"/>
  <c r="AA23" i="19"/>
  <c r="AA25" i="19" s="1"/>
  <c r="AB9" i="19"/>
  <c r="AA14" i="19"/>
  <c r="AA18" i="19" s="1"/>
  <c r="AB14" i="2"/>
  <c r="AB18" i="2" s="1"/>
  <c r="AB47" i="6"/>
  <c r="AB19" i="6"/>
  <c r="AA23" i="24"/>
  <c r="AC14" i="10"/>
  <c r="AC18" i="10" s="1"/>
  <c r="AA23" i="18"/>
  <c r="AA25" i="18" s="1"/>
  <c r="AE47" i="15"/>
  <c r="AE19" i="15"/>
  <c r="AB47" i="23"/>
  <c r="AB19" i="23"/>
  <c r="AI12" i="13"/>
  <c r="AI13" i="13" s="1"/>
  <c r="AB9" i="14"/>
  <c r="AA23" i="14"/>
  <c r="AA25" i="14" s="1"/>
  <c r="AA14" i="14"/>
  <c r="AA18" i="14" s="1"/>
  <c r="AI7" i="24"/>
  <c r="AI12" i="24"/>
  <c r="AI13" i="24" s="1"/>
  <c r="AJ12" i="24"/>
  <c r="AJ13" i="24" s="1"/>
  <c r="Z14" i="8"/>
  <c r="Z18" i="8" s="1"/>
  <c r="AK7" i="8"/>
  <c r="AK12" i="8"/>
  <c r="AK13" i="8" s="1"/>
  <c r="AL12" i="8"/>
  <c r="AL13" i="8" s="1"/>
  <c r="AI12" i="1"/>
  <c r="AI13" i="1" s="1"/>
  <c r="AJ7" i="5"/>
  <c r="AA47" i="21"/>
  <c r="AA19" i="21"/>
  <c r="Z23" i="14"/>
  <c r="Z25" i="14" s="1"/>
  <c r="AJ13" i="1"/>
  <c r="AC47" i="5"/>
  <c r="AC19" i="5"/>
  <c r="AI7" i="7"/>
  <c r="Y23" i="8"/>
  <c r="Y25" i="8" s="1"/>
  <c r="AC9" i="22"/>
  <c r="AC9" i="6"/>
  <c r="AK7" i="16"/>
  <c r="AK12" i="16"/>
  <c r="AK13" i="16" s="1"/>
  <c r="AL12" i="16"/>
  <c r="AL13" i="16" s="1"/>
  <c r="AH9" i="4"/>
  <c r="AG23" i="4"/>
  <c r="AG25" i="4" s="1"/>
  <c r="AB14" i="9"/>
  <c r="AB18" i="9" s="1"/>
  <c r="AG9" i="15"/>
  <c r="AF23" i="15"/>
  <c r="AF25" i="15" s="1"/>
  <c r="AF14" i="15"/>
  <c r="AF18" i="15" s="1"/>
  <c r="AJ7" i="18"/>
  <c r="AD9" i="23"/>
  <c r="AC14" i="23"/>
  <c r="AC18" i="23" s="1"/>
  <c r="AD23" i="23" l="1"/>
  <c r="AD25" i="23" s="1"/>
  <c r="AE9" i="23"/>
  <c r="AD14" i="23"/>
  <c r="AD18" i="23" s="1"/>
  <c r="AJ7" i="7"/>
  <c r="AK12" i="7"/>
  <c r="AK13" i="7" s="1"/>
  <c r="AK7" i="5"/>
  <c r="AK12" i="5"/>
  <c r="AK13" i="5" s="1"/>
  <c r="AJ7" i="11"/>
  <c r="AJ7" i="19"/>
  <c r="AC23" i="6"/>
  <c r="AC25" i="6" s="1"/>
  <c r="AD9" i="6"/>
  <c r="AC14" i="6"/>
  <c r="AC18" i="6" s="1"/>
  <c r="AC47" i="10"/>
  <c r="AC19" i="10"/>
  <c r="AB47" i="2"/>
  <c r="AB19" i="2"/>
  <c r="AD19" i="11"/>
  <c r="AD47" i="11"/>
  <c r="AL7" i="2"/>
  <c r="AB23" i="18"/>
  <c r="AB25" i="18" s="1"/>
  <c r="AC9" i="18"/>
  <c r="AB14" i="18"/>
  <c r="AB18" i="18" s="1"/>
  <c r="AC9" i="24"/>
  <c r="AB14" i="24"/>
  <c r="AB18" i="24" s="1"/>
  <c r="AK7" i="18"/>
  <c r="AK12" i="18"/>
  <c r="AK13" i="18" s="1"/>
  <c r="AH9" i="15"/>
  <c r="AG23" i="15"/>
  <c r="AG25" i="15" s="1"/>
  <c r="AG14" i="15"/>
  <c r="AG18" i="15" s="1"/>
  <c r="AB23" i="9"/>
  <c r="AB25" i="9" s="1"/>
  <c r="AA9" i="8"/>
  <c r="AJ7" i="24"/>
  <c r="AB23" i="14"/>
  <c r="AB25" i="14" s="1"/>
  <c r="AC9" i="14"/>
  <c r="AB14" i="14"/>
  <c r="AB18" i="14" s="1"/>
  <c r="AD9" i="10"/>
  <c r="AC9" i="2"/>
  <c r="AB47" i="20"/>
  <c r="AB19" i="20"/>
  <c r="AE9" i="11"/>
  <c r="AF9" i="17"/>
  <c r="AM13" i="2"/>
  <c r="Z47" i="1"/>
  <c r="Z19" i="1"/>
  <c r="AJ7" i="20"/>
  <c r="AJ12" i="20"/>
  <c r="AJ13" i="20" s="1"/>
  <c r="AK12" i="20"/>
  <c r="AK13" i="20" s="1"/>
  <c r="AJ7" i="22"/>
  <c r="AC23" i="7"/>
  <c r="AC25" i="7" s="1"/>
  <c r="AC14" i="7"/>
  <c r="AC18" i="7" s="1"/>
  <c r="AJ7" i="6"/>
  <c r="AC19" i="3"/>
  <c r="AC47" i="3"/>
  <c r="AB47" i="9"/>
  <c r="AB19" i="9"/>
  <c r="AC9" i="19"/>
  <c r="AB14" i="19"/>
  <c r="AB18" i="19" s="1"/>
  <c r="AM7" i="12"/>
  <c r="AN12" i="12" s="1"/>
  <c r="AN13" i="12" s="1"/>
  <c r="AM12" i="12"/>
  <c r="AM13" i="12" s="1"/>
  <c r="AB23" i="21"/>
  <c r="AB25" i="21" s="1"/>
  <c r="AB14" i="21"/>
  <c r="AB18" i="21" s="1"/>
  <c r="AL7" i="9"/>
  <c r="AL12" i="9"/>
  <c r="AL13" i="9" s="1"/>
  <c r="AC47" i="23"/>
  <c r="AC19" i="23"/>
  <c r="AL12" i="5"/>
  <c r="AL13" i="5" s="1"/>
  <c r="AC9" i="9"/>
  <c r="AD9" i="22"/>
  <c r="AC14" i="22"/>
  <c r="AC18" i="22" s="1"/>
  <c r="AJ12" i="7"/>
  <c r="AJ13" i="7" s="1"/>
  <c r="Z23" i="8"/>
  <c r="Z25" i="8" s="1"/>
  <c r="AC23" i="10"/>
  <c r="AC25" i="10" s="1"/>
  <c r="AB25" i="2"/>
  <c r="AD23" i="11"/>
  <c r="AD25" i="11" s="1"/>
  <c r="AH14" i="4"/>
  <c r="AH18" i="4" s="1"/>
  <c r="AE23" i="17"/>
  <c r="AE25" i="17" s="1"/>
  <c r="AJ7" i="21"/>
  <c r="AK12" i="21"/>
  <c r="AK13" i="21" s="1"/>
  <c r="AJ12" i="21"/>
  <c r="AJ13" i="21" s="1"/>
  <c r="AB9" i="1"/>
  <c r="AA23" i="1"/>
  <c r="AA25" i="1" s="1"/>
  <c r="AA14" i="1"/>
  <c r="AA18" i="1" s="1"/>
  <c r="AA23" i="13"/>
  <c r="AA25" i="13" s="1"/>
  <c r="AB9" i="13"/>
  <c r="AA14" i="13"/>
  <c r="AA18" i="13" s="1"/>
  <c r="AM12" i="9"/>
  <c r="AM13" i="9" s="1"/>
  <c r="AA23" i="12"/>
  <c r="AA25" i="12" s="1"/>
  <c r="AB9" i="12"/>
  <c r="AA14" i="12"/>
  <c r="AA18" i="12" s="1"/>
  <c r="AK12" i="11"/>
  <c r="AK13" i="11" s="1"/>
  <c r="AJ7" i="10"/>
  <c r="AJ12" i="10"/>
  <c r="AJ13" i="10" s="1"/>
  <c r="AC23" i="3"/>
  <c r="AC25" i="3" s="1"/>
  <c r="AJ7" i="17"/>
  <c r="AL7" i="8"/>
  <c r="Z19" i="8"/>
  <c r="Z47" i="8"/>
  <c r="AJ7" i="23"/>
  <c r="AJ12" i="23"/>
  <c r="AJ13" i="23" s="1"/>
  <c r="AK12" i="23"/>
  <c r="AK13" i="23" s="1"/>
  <c r="AC23" i="23"/>
  <c r="AC25" i="23" s="1"/>
  <c r="AF47" i="15"/>
  <c r="AF19" i="15"/>
  <c r="AK12" i="19"/>
  <c r="AK13" i="19" s="1"/>
  <c r="AL7" i="16"/>
  <c r="AM12" i="16" s="1"/>
  <c r="AM13" i="16" s="1"/>
  <c r="AM12" i="8"/>
  <c r="AM13" i="8" s="1"/>
  <c r="AA47" i="14"/>
  <c r="AA19" i="14"/>
  <c r="AA47" i="19"/>
  <c r="AA19" i="19"/>
  <c r="AJ7" i="13"/>
  <c r="AJ12" i="13"/>
  <c r="AJ13" i="13" s="1"/>
  <c r="AC9" i="20"/>
  <c r="AJ7" i="4"/>
  <c r="AJ12" i="4"/>
  <c r="AJ13" i="4" s="1"/>
  <c r="AL13" i="2"/>
  <c r="AJ12" i="19"/>
  <c r="AJ13" i="19" s="1"/>
  <c r="AC23" i="16"/>
  <c r="AC25" i="16" s="1"/>
  <c r="AC14" i="16"/>
  <c r="AC18" i="16" s="1"/>
  <c r="Z23" i="1"/>
  <c r="Z25" i="1" s="1"/>
  <c r="AE9" i="5"/>
  <c r="AD23" i="5"/>
  <c r="AD25" i="5" s="1"/>
  <c r="AD14" i="5"/>
  <c r="AD18" i="5" s="1"/>
  <c r="AJ7" i="14"/>
  <c r="AJ12" i="14"/>
  <c r="AJ13" i="14" s="1"/>
  <c r="AB19" i="7"/>
  <c r="AB47" i="7"/>
  <c r="AL7" i="3"/>
  <c r="AL7" i="15"/>
  <c r="AL12" i="15"/>
  <c r="AL13" i="15" s="1"/>
  <c r="AJ7" i="1"/>
  <c r="AD9" i="3"/>
  <c r="AK12" i="13"/>
  <c r="AK13" i="13" s="1"/>
  <c r="AK7" i="14" l="1"/>
  <c r="AE23" i="5"/>
  <c r="AE25" i="5" s="1"/>
  <c r="AF9" i="5"/>
  <c r="AE14" i="5"/>
  <c r="AE18" i="5" s="1"/>
  <c r="AC19" i="16"/>
  <c r="AC47" i="16"/>
  <c r="AK7" i="10"/>
  <c r="AK12" i="10"/>
  <c r="AK13" i="10" s="1"/>
  <c r="AC23" i="22"/>
  <c r="AC25" i="22" s="1"/>
  <c r="AC9" i="21"/>
  <c r="AB19" i="19"/>
  <c r="AB47" i="19"/>
  <c r="AC19" i="7"/>
  <c r="AC47" i="7"/>
  <c r="AK7" i="22"/>
  <c r="AK12" i="22"/>
  <c r="AK13" i="22" s="1"/>
  <c r="AF9" i="11"/>
  <c r="AE14" i="11"/>
  <c r="AE18" i="11" s="1"/>
  <c r="AD23" i="10"/>
  <c r="AD25" i="10" s="1"/>
  <c r="AD14" i="10"/>
  <c r="AD18" i="10" s="1"/>
  <c r="AB23" i="24"/>
  <c r="AC47" i="6"/>
  <c r="AC19" i="6"/>
  <c r="AK7" i="19"/>
  <c r="AL7" i="5"/>
  <c r="AH23" i="4"/>
  <c r="AH25" i="4" s="1"/>
  <c r="AK7" i="13"/>
  <c r="AL12" i="13"/>
  <c r="AL13" i="13" s="1"/>
  <c r="AM7" i="16"/>
  <c r="AN12" i="16"/>
  <c r="AN13" i="16" s="1"/>
  <c r="AM7" i="3"/>
  <c r="AM12" i="3"/>
  <c r="AM13" i="3" s="1"/>
  <c r="AN12" i="3"/>
  <c r="AN13" i="3" s="1"/>
  <c r="AD14" i="3"/>
  <c r="AD18" i="3" s="1"/>
  <c r="AK12" i="14"/>
  <c r="AK13" i="14" s="1"/>
  <c r="AD19" i="5"/>
  <c r="AD47" i="5"/>
  <c r="AD9" i="16"/>
  <c r="AK7" i="4"/>
  <c r="AK12" i="4"/>
  <c r="AK13" i="4" s="1"/>
  <c r="AA19" i="12"/>
  <c r="AA47" i="12"/>
  <c r="AA47" i="1"/>
  <c r="AA19" i="1"/>
  <c r="AK7" i="21"/>
  <c r="AC14" i="9"/>
  <c r="AC18" i="9" s="1"/>
  <c r="AM7" i="9"/>
  <c r="AB23" i="19"/>
  <c r="AB25" i="19" s="1"/>
  <c r="AK7" i="6"/>
  <c r="AL12" i="6"/>
  <c r="AL13" i="6" s="1"/>
  <c r="AK12" i="6"/>
  <c r="AK13" i="6" s="1"/>
  <c r="AD9" i="7"/>
  <c r="AK7" i="20"/>
  <c r="AL12" i="20" s="1"/>
  <c r="AL13" i="20" s="1"/>
  <c r="AB19" i="14"/>
  <c r="AB47" i="14"/>
  <c r="AG19" i="15"/>
  <c r="AG47" i="15"/>
  <c r="AL12" i="18"/>
  <c r="AL13" i="18" s="1"/>
  <c r="AM7" i="2"/>
  <c r="AN13" i="2"/>
  <c r="AD14" i="6"/>
  <c r="AD18" i="6" s="1"/>
  <c r="AK7" i="7"/>
  <c r="AD47" i="23"/>
  <c r="AD19" i="23"/>
  <c r="AK7" i="1"/>
  <c r="AK12" i="1"/>
  <c r="AK13" i="1" s="1"/>
  <c r="AL12" i="1"/>
  <c r="AL13" i="1" s="1"/>
  <c r="AM7" i="15"/>
  <c r="AN12" i="15"/>
  <c r="AN13" i="15" s="1"/>
  <c r="AM12" i="15"/>
  <c r="AM13" i="15" s="1"/>
  <c r="AD9" i="20"/>
  <c r="AC23" i="20"/>
  <c r="AC25" i="20" s="1"/>
  <c r="AC14" i="20"/>
  <c r="AC18" i="20" s="1"/>
  <c r="AK7" i="23"/>
  <c r="AK7" i="17"/>
  <c r="AK12" i="17"/>
  <c r="AK13" i="17" s="1"/>
  <c r="AB23" i="12"/>
  <c r="AB25" i="12" s="1"/>
  <c r="AC9" i="12"/>
  <c r="AB14" i="12"/>
  <c r="AB18" i="12" s="1"/>
  <c r="AC9" i="13"/>
  <c r="AB14" i="13"/>
  <c r="AB18" i="13" s="1"/>
  <c r="AH19" i="4"/>
  <c r="AH47" i="4"/>
  <c r="AC47" i="22"/>
  <c r="AC19" i="22"/>
  <c r="AB47" i="21"/>
  <c r="AB19" i="21"/>
  <c r="AC23" i="19"/>
  <c r="AC25" i="19" s="1"/>
  <c r="AD9" i="19"/>
  <c r="AC14" i="19"/>
  <c r="AC18" i="19" s="1"/>
  <c r="AC23" i="14"/>
  <c r="AC25" i="14" s="1"/>
  <c r="AD9" i="14"/>
  <c r="AC14" i="14"/>
  <c r="AC18" i="14" s="1"/>
  <c r="AK7" i="24"/>
  <c r="AK12" i="24"/>
  <c r="AK13" i="24" s="1"/>
  <c r="AL7" i="18"/>
  <c r="AM12" i="18"/>
  <c r="AM13" i="18" s="1"/>
  <c r="AC23" i="18"/>
  <c r="AC25" i="18" s="1"/>
  <c r="AC14" i="18"/>
  <c r="AC18" i="18" s="1"/>
  <c r="AE23" i="23"/>
  <c r="AE25" i="23" s="1"/>
  <c r="AF9" i="23"/>
  <c r="AE14" i="23"/>
  <c r="AE18" i="23" s="1"/>
  <c r="AN12" i="9"/>
  <c r="AN13" i="9" s="1"/>
  <c r="AM7" i="8"/>
  <c r="AB23" i="1"/>
  <c r="AB25" i="1" s="1"/>
  <c r="AB14" i="1"/>
  <c r="AB18" i="1" s="1"/>
  <c r="AD14" i="22"/>
  <c r="AD18" i="22" s="1"/>
  <c r="AN7" i="12"/>
  <c r="AF23" i="17"/>
  <c r="AF25" i="17" s="1"/>
  <c r="AF14" i="17"/>
  <c r="AF18" i="17" s="1"/>
  <c r="AC14" i="2"/>
  <c r="AC18" i="2" s="1"/>
  <c r="AA23" i="8"/>
  <c r="AA25" i="8" s="1"/>
  <c r="AA14" i="8"/>
  <c r="AA18" i="8" s="1"/>
  <c r="AH23" i="15"/>
  <c r="AH25" i="15" s="1"/>
  <c r="AI9" i="15"/>
  <c r="AH14" i="15"/>
  <c r="AH18" i="15" s="1"/>
  <c r="AD9" i="24"/>
  <c r="AC14" i="24"/>
  <c r="AC18" i="24" s="1"/>
  <c r="AK7" i="11"/>
  <c r="AI9" i="4"/>
  <c r="AL12" i="4"/>
  <c r="AL13" i="4" s="1"/>
  <c r="AM12" i="7" l="1"/>
  <c r="AM13" i="7" s="1"/>
  <c r="AD23" i="24"/>
  <c r="AE9" i="24"/>
  <c r="AD14" i="24"/>
  <c r="AD18" i="24" s="1"/>
  <c r="AC47" i="2"/>
  <c r="AC19" i="2"/>
  <c r="AN7" i="8"/>
  <c r="AL7" i="11"/>
  <c r="AL12" i="11"/>
  <c r="AL13" i="11" s="1"/>
  <c r="AC23" i="24"/>
  <c r="AD9" i="2"/>
  <c r="AG9" i="17"/>
  <c r="AD23" i="22"/>
  <c r="AD25" i="22" s="1"/>
  <c r="AC9" i="1"/>
  <c r="AM7" i="18"/>
  <c r="AB23" i="13"/>
  <c r="AB25" i="13" s="1"/>
  <c r="AL12" i="17"/>
  <c r="AL13" i="17" s="1"/>
  <c r="AL7" i="23"/>
  <c r="AD14" i="20"/>
  <c r="AD18" i="20" s="1"/>
  <c r="AN7" i="15"/>
  <c r="AD47" i="6"/>
  <c r="AD19" i="6"/>
  <c r="AN7" i="2"/>
  <c r="AO12" i="2"/>
  <c r="AO13" i="2" s="1"/>
  <c r="AC19" i="9"/>
  <c r="AC47" i="9"/>
  <c r="AD47" i="3"/>
  <c r="AD19" i="3"/>
  <c r="AM7" i="5"/>
  <c r="AN12" i="5"/>
  <c r="AN13" i="5" s="1"/>
  <c r="AM12" i="5"/>
  <c r="AM13" i="5" s="1"/>
  <c r="AL7" i="14"/>
  <c r="AD47" i="22"/>
  <c r="AD19" i="22"/>
  <c r="AL7" i="24"/>
  <c r="AL12" i="24"/>
  <c r="AL13" i="24" s="1"/>
  <c r="AA47" i="8"/>
  <c r="AA19" i="8"/>
  <c r="AH19" i="15"/>
  <c r="AH47" i="15"/>
  <c r="AB9" i="8"/>
  <c r="AC23" i="2"/>
  <c r="AC25" i="2" s="1"/>
  <c r="AE9" i="22"/>
  <c r="AE47" i="23"/>
  <c r="AE19" i="23"/>
  <c r="AD9" i="18"/>
  <c r="AC47" i="14"/>
  <c r="AC19" i="14"/>
  <c r="AC19" i="19"/>
  <c r="AC47" i="19"/>
  <c r="AB19" i="12"/>
  <c r="AB47" i="12"/>
  <c r="AM12" i="17"/>
  <c r="AM13" i="17" s="1"/>
  <c r="AO12" i="15"/>
  <c r="AO13" i="15" s="1"/>
  <c r="AL7" i="1"/>
  <c r="AD23" i="6"/>
  <c r="AD25" i="6" s="1"/>
  <c r="AN12" i="8"/>
  <c r="AN13" i="8" s="1"/>
  <c r="AC23" i="9"/>
  <c r="AC25" i="9" s="1"/>
  <c r="AL7" i="4"/>
  <c r="AE9" i="3"/>
  <c r="AL7" i="13"/>
  <c r="AE47" i="11"/>
  <c r="AE19" i="11"/>
  <c r="AC23" i="21"/>
  <c r="AC25" i="21" s="1"/>
  <c r="AD9" i="21"/>
  <c r="AC14" i="21"/>
  <c r="AC18" i="21" s="1"/>
  <c r="AL7" i="10"/>
  <c r="AL12" i="10"/>
  <c r="AL13" i="10" s="1"/>
  <c r="AL12" i="14"/>
  <c r="AL13" i="14" s="1"/>
  <c r="AI14" i="4"/>
  <c r="AI18" i="4" s="1"/>
  <c r="AI23" i="15"/>
  <c r="AI25" i="15" s="1"/>
  <c r="AJ9" i="15"/>
  <c r="AI14" i="15"/>
  <c r="AI18" i="15" s="1"/>
  <c r="AO7" i="12"/>
  <c r="AB19" i="1"/>
  <c r="AB47" i="1"/>
  <c r="AF23" i="23"/>
  <c r="AF25" i="23" s="1"/>
  <c r="AG9" i="23"/>
  <c r="AF14" i="23"/>
  <c r="AF18" i="23" s="1"/>
  <c r="AM12" i="24"/>
  <c r="AM13" i="24" s="1"/>
  <c r="AE9" i="14"/>
  <c r="AD23" i="14"/>
  <c r="AD25" i="14" s="1"/>
  <c r="AD14" i="14"/>
  <c r="AD18" i="14" s="1"/>
  <c r="AD14" i="19"/>
  <c r="AD18" i="19" s="1"/>
  <c r="AC14" i="12"/>
  <c r="AC18" i="12" s="1"/>
  <c r="AC19" i="20"/>
  <c r="AC47" i="20"/>
  <c r="AL7" i="7"/>
  <c r="AL12" i="7"/>
  <c r="AL13" i="7" s="1"/>
  <c r="AE9" i="6"/>
  <c r="AD23" i="7"/>
  <c r="AD25" i="7" s="1"/>
  <c r="AE9" i="7"/>
  <c r="AD14" i="7"/>
  <c r="AD18" i="7" s="1"/>
  <c r="AL7" i="6"/>
  <c r="AD9" i="9"/>
  <c r="AD23" i="3"/>
  <c r="AD25" i="3" s="1"/>
  <c r="AN7" i="3"/>
  <c r="AN7" i="16"/>
  <c r="AL12" i="23"/>
  <c r="AL13" i="23" s="1"/>
  <c r="AD47" i="10"/>
  <c r="AD19" i="10"/>
  <c r="AF14" i="11"/>
  <c r="AF18" i="11" s="1"/>
  <c r="AE19" i="5"/>
  <c r="AE47" i="5"/>
  <c r="AM12" i="11"/>
  <c r="AM13" i="11" s="1"/>
  <c r="AC14" i="13"/>
  <c r="AC18" i="13" s="1"/>
  <c r="AL7" i="17"/>
  <c r="AL7" i="20"/>
  <c r="AM12" i="20" s="1"/>
  <c r="AM13" i="20" s="1"/>
  <c r="AN7" i="9"/>
  <c r="AO12" i="9" s="1"/>
  <c r="AO13" i="9" s="1"/>
  <c r="AL7" i="21"/>
  <c r="AL12" i="21"/>
  <c r="AL13" i="21" s="1"/>
  <c r="AM12" i="21"/>
  <c r="AM13" i="21" s="1"/>
  <c r="AD23" i="16"/>
  <c r="AD25" i="16" s="1"/>
  <c r="AE9" i="16"/>
  <c r="AD14" i="16"/>
  <c r="AD18" i="16" s="1"/>
  <c r="AL7" i="19"/>
  <c r="AL12" i="19"/>
  <c r="AL13" i="19" s="1"/>
  <c r="AE9" i="10"/>
  <c r="AE23" i="11"/>
  <c r="AE25" i="11" s="1"/>
  <c r="AL7" i="22"/>
  <c r="AL12" i="22"/>
  <c r="AL13" i="22" s="1"/>
  <c r="AO12" i="12"/>
  <c r="AO13" i="12" s="1"/>
  <c r="AF14" i="5"/>
  <c r="AF18" i="5" s="1"/>
  <c r="AM12" i="14"/>
  <c r="AM13" i="14" s="1"/>
  <c r="AO7" i="16" l="1"/>
  <c r="AD19" i="19"/>
  <c r="AD47" i="19"/>
  <c r="AG14" i="23"/>
  <c r="AG18" i="23" s="1"/>
  <c r="AD14" i="18"/>
  <c r="AD18" i="18" s="1"/>
  <c r="AE23" i="22"/>
  <c r="AE25" i="22" s="1"/>
  <c r="AE14" i="22"/>
  <c r="AE18" i="22" s="1"/>
  <c r="AM7" i="14"/>
  <c r="AD19" i="20"/>
  <c r="AD47" i="20"/>
  <c r="AM7" i="23"/>
  <c r="AM12" i="23"/>
  <c r="AM13" i="23" s="1"/>
  <c r="AN12" i="23"/>
  <c r="AN13" i="23" s="1"/>
  <c r="AN7" i="18"/>
  <c r="AH9" i="17"/>
  <c r="AG23" i="17"/>
  <c r="AG25" i="17" s="1"/>
  <c r="AG14" i="17"/>
  <c r="AG18" i="17" s="1"/>
  <c r="AO7" i="8"/>
  <c r="AE23" i="24"/>
  <c r="AE14" i="24"/>
  <c r="AE18" i="24" s="1"/>
  <c r="AD23" i="21"/>
  <c r="AD25" i="21" s="1"/>
  <c r="AE9" i="21"/>
  <c r="AD14" i="21"/>
  <c r="AD18" i="21" s="1"/>
  <c r="AF47" i="5"/>
  <c r="AF19" i="5"/>
  <c r="AE23" i="10"/>
  <c r="AE25" i="10" s="1"/>
  <c r="AE14" i="10"/>
  <c r="AE18" i="10" s="1"/>
  <c r="AM7" i="21"/>
  <c r="AN12" i="18"/>
  <c r="AN13" i="18" s="1"/>
  <c r="AF47" i="11"/>
  <c r="AF19" i="11"/>
  <c r="AE9" i="9"/>
  <c r="AD14" i="9"/>
  <c r="AD18" i="9" s="1"/>
  <c r="AM7" i="6"/>
  <c r="AN12" i="6"/>
  <c r="AN13" i="6" s="1"/>
  <c r="AE23" i="6"/>
  <c r="AE25" i="6" s="1"/>
  <c r="AE14" i="6"/>
  <c r="AE18" i="6" s="1"/>
  <c r="AM7" i="7"/>
  <c r="AC47" i="12"/>
  <c r="AC19" i="12"/>
  <c r="AE9" i="19"/>
  <c r="AE23" i="14"/>
  <c r="AE25" i="14" s="1"/>
  <c r="AE14" i="14"/>
  <c r="AE18" i="14" s="1"/>
  <c r="AP7" i="12"/>
  <c r="AI47" i="4"/>
  <c r="AI19" i="4"/>
  <c r="AN12" i="14"/>
  <c r="AN13" i="14" s="1"/>
  <c r="AM7" i="10"/>
  <c r="AM12" i="10"/>
  <c r="AM13" i="10" s="1"/>
  <c r="AF9" i="3"/>
  <c r="AE14" i="3"/>
  <c r="AE18" i="3" s="1"/>
  <c r="AM7" i="4"/>
  <c r="AN12" i="4"/>
  <c r="AN13" i="4" s="1"/>
  <c r="AM12" i="4"/>
  <c r="AM13" i="4" s="1"/>
  <c r="AE9" i="20"/>
  <c r="AO12" i="18"/>
  <c r="AO13" i="18" s="1"/>
  <c r="AD23" i="2"/>
  <c r="AD25" i="2" s="1"/>
  <c r="AD14" i="2"/>
  <c r="AD18" i="2" s="1"/>
  <c r="AM7" i="11"/>
  <c r="AM7" i="19"/>
  <c r="AM12" i="19"/>
  <c r="AM13" i="19" s="1"/>
  <c r="AF9" i="16"/>
  <c r="AE14" i="16"/>
  <c r="AE18" i="16" s="1"/>
  <c r="AG9" i="5"/>
  <c r="AM7" i="22"/>
  <c r="AM12" i="22"/>
  <c r="AM13" i="22" s="1"/>
  <c r="AO12" i="16"/>
  <c r="AO13" i="16" s="1"/>
  <c r="AN12" i="21"/>
  <c r="AN13" i="21" s="1"/>
  <c r="AM7" i="20"/>
  <c r="AC23" i="13"/>
  <c r="AC25" i="13" s="1"/>
  <c r="AF23" i="11"/>
  <c r="AF25" i="11" s="1"/>
  <c r="AD47" i="7"/>
  <c r="AD19" i="7"/>
  <c r="AD9" i="12"/>
  <c r="AD23" i="19"/>
  <c r="AD25" i="19" s="1"/>
  <c r="AI47" i="15"/>
  <c r="AI19" i="15"/>
  <c r="AJ9" i="4"/>
  <c r="AM7" i="1"/>
  <c r="AN12" i="1"/>
  <c r="AN13" i="1" s="1"/>
  <c r="AM12" i="1"/>
  <c r="AM13" i="1" s="1"/>
  <c r="AB23" i="8"/>
  <c r="AB25" i="8" s="1"/>
  <c r="AC9" i="8"/>
  <c r="AB14" i="8"/>
  <c r="AB18" i="8" s="1"/>
  <c r="AM7" i="24"/>
  <c r="AP12" i="12"/>
  <c r="AP13" i="12" s="1"/>
  <c r="AO7" i="2"/>
  <c r="AD23" i="20"/>
  <c r="AD25" i="20" s="1"/>
  <c r="AC23" i="1"/>
  <c r="AC25" i="1" s="1"/>
  <c r="AC14" i="1"/>
  <c r="AC18" i="1" s="1"/>
  <c r="AO12" i="8"/>
  <c r="AO13" i="8" s="1"/>
  <c r="AP12" i="16"/>
  <c r="AP13" i="16" s="1"/>
  <c r="AO7" i="9"/>
  <c r="AF23" i="5"/>
  <c r="AF25" i="5" s="1"/>
  <c r="AD19" i="16"/>
  <c r="AD47" i="16"/>
  <c r="AM7" i="17"/>
  <c r="AD9" i="13"/>
  <c r="AG9" i="11"/>
  <c r="AO7" i="3"/>
  <c r="AO12" i="3"/>
  <c r="AO13" i="3" s="1"/>
  <c r="AP12" i="3"/>
  <c r="AP13" i="3" s="1"/>
  <c r="AM12" i="6"/>
  <c r="AM13" i="6" s="1"/>
  <c r="AF9" i="7"/>
  <c r="AE14" i="7"/>
  <c r="AE18" i="7" s="1"/>
  <c r="AC23" i="12"/>
  <c r="AC25" i="12" s="1"/>
  <c r="AD47" i="14"/>
  <c r="AD19" i="14"/>
  <c r="AF47" i="23"/>
  <c r="AF19" i="23"/>
  <c r="AJ14" i="15"/>
  <c r="AJ18" i="15" s="1"/>
  <c r="AI23" i="4"/>
  <c r="AI25" i="4" s="1"/>
  <c r="AN12" i="10"/>
  <c r="AN13" i="10" s="1"/>
  <c r="AC19" i="21"/>
  <c r="AC47" i="21"/>
  <c r="AM7" i="13"/>
  <c r="AM12" i="13"/>
  <c r="AM13" i="13" s="1"/>
  <c r="AN12" i="13"/>
  <c r="AN13" i="13" s="1"/>
  <c r="AN12" i="17"/>
  <c r="AN13" i="17" s="1"/>
  <c r="AN7" i="5"/>
  <c r="AO7" i="15"/>
  <c r="AP12" i="15"/>
  <c r="AP13" i="15" s="1"/>
  <c r="AN12" i="11"/>
  <c r="AN13" i="11" s="1"/>
  <c r="AG9" i="7" l="1"/>
  <c r="AF14" i="7"/>
  <c r="AF18" i="7" s="1"/>
  <c r="AP7" i="15"/>
  <c r="AJ47" i="15"/>
  <c r="AJ19" i="15"/>
  <c r="AG14" i="11"/>
  <c r="AG18" i="11" s="1"/>
  <c r="AN7" i="17"/>
  <c r="AP7" i="9"/>
  <c r="AQ12" i="9" s="1"/>
  <c r="AQ13" i="9" s="1"/>
  <c r="AP7" i="2"/>
  <c r="AP12" i="2"/>
  <c r="AP13" i="2" s="1"/>
  <c r="AQ12" i="2"/>
  <c r="AQ13" i="2" s="1"/>
  <c r="AN7" i="24"/>
  <c r="AN12" i="24"/>
  <c r="AN13" i="24" s="1"/>
  <c r="AN7" i="1"/>
  <c r="AE47" i="16"/>
  <c r="AE19" i="16"/>
  <c r="AN7" i="11"/>
  <c r="AN7" i="4"/>
  <c r="AE47" i="14"/>
  <c r="AE19" i="14"/>
  <c r="AE19" i="6"/>
  <c r="AE47" i="6"/>
  <c r="AD19" i="9"/>
  <c r="AD47" i="9"/>
  <c r="AP7" i="8"/>
  <c r="AP12" i="8"/>
  <c r="AP13" i="8" s="1"/>
  <c r="AH14" i="17"/>
  <c r="AH18" i="17" s="1"/>
  <c r="AG23" i="23"/>
  <c r="AG25" i="23" s="1"/>
  <c r="AO7" i="5"/>
  <c r="AO12" i="5"/>
  <c r="AO13" i="5" s="1"/>
  <c r="AP12" i="5"/>
  <c r="AP13" i="5" s="1"/>
  <c r="AJ23" i="15"/>
  <c r="AJ25" i="15" s="1"/>
  <c r="AE47" i="7"/>
  <c r="AE19" i="7"/>
  <c r="AP7" i="3"/>
  <c r="AE9" i="13"/>
  <c r="AD23" i="13"/>
  <c r="AD25" i="13" s="1"/>
  <c r="AD14" i="13"/>
  <c r="AD18" i="13" s="1"/>
  <c r="AC19" i="1"/>
  <c r="AC47" i="1"/>
  <c r="AO12" i="1"/>
  <c r="AO13" i="1" s="1"/>
  <c r="AN7" i="20"/>
  <c r="AN12" i="20"/>
  <c r="AN13" i="20" s="1"/>
  <c r="AN7" i="22"/>
  <c r="AN12" i="22"/>
  <c r="AN13" i="22" s="1"/>
  <c r="AF23" i="16"/>
  <c r="AF25" i="16" s="1"/>
  <c r="AG9" i="16"/>
  <c r="AF14" i="16"/>
  <c r="AF18" i="16" s="1"/>
  <c r="AN7" i="19"/>
  <c r="AN12" i="19"/>
  <c r="AN13" i="19" s="1"/>
  <c r="AD47" i="2"/>
  <c r="AD19" i="2"/>
  <c r="AE23" i="20"/>
  <c r="AE25" i="20" s="1"/>
  <c r="AF9" i="20"/>
  <c r="AE14" i="20"/>
  <c r="AE18" i="20" s="1"/>
  <c r="AE47" i="3"/>
  <c r="AE19" i="3"/>
  <c r="AN7" i="10"/>
  <c r="AE14" i="9"/>
  <c r="AE18" i="9" s="1"/>
  <c r="AE47" i="10"/>
  <c r="AE19" i="10"/>
  <c r="AE19" i="22"/>
  <c r="AE47" i="22"/>
  <c r="AE9" i="18"/>
  <c r="AH9" i="23"/>
  <c r="AP7" i="16"/>
  <c r="AN7" i="13"/>
  <c r="AO12" i="13"/>
  <c r="AO13" i="13" s="1"/>
  <c r="AK9" i="15"/>
  <c r="AE23" i="7"/>
  <c r="AE25" i="7" s="1"/>
  <c r="AD9" i="1"/>
  <c r="AB47" i="8"/>
  <c r="AB19" i="8"/>
  <c r="AE23" i="16"/>
  <c r="AE25" i="16" s="1"/>
  <c r="AE9" i="2"/>
  <c r="AE23" i="3"/>
  <c r="AE25" i="3" s="1"/>
  <c r="AQ7" i="12"/>
  <c r="AQ12" i="12"/>
  <c r="AQ13" i="12" s="1"/>
  <c r="AF9" i="14"/>
  <c r="AF9" i="6"/>
  <c r="AN7" i="6"/>
  <c r="AD23" i="9"/>
  <c r="AD25" i="9" s="1"/>
  <c r="AP12" i="9"/>
  <c r="AP13" i="9" s="1"/>
  <c r="AF9" i="10"/>
  <c r="AD47" i="21"/>
  <c r="AD19" i="21"/>
  <c r="AF9" i="24"/>
  <c r="AO7" i="18"/>
  <c r="AN7" i="23"/>
  <c r="AF9" i="22"/>
  <c r="AD23" i="18"/>
  <c r="AD25" i="18" s="1"/>
  <c r="AC23" i="8"/>
  <c r="AC25" i="8" s="1"/>
  <c r="AD9" i="8"/>
  <c r="AC14" i="8"/>
  <c r="AC18" i="8" s="1"/>
  <c r="AJ14" i="4"/>
  <c r="AJ18" i="4" s="1"/>
  <c r="AD14" i="12"/>
  <c r="AD18" i="12" s="1"/>
  <c r="AH9" i="5"/>
  <c r="AG14" i="5"/>
  <c r="AG18" i="5" s="1"/>
  <c r="AG9" i="3"/>
  <c r="AF23" i="3"/>
  <c r="AF25" i="3" s="1"/>
  <c r="AF14" i="3"/>
  <c r="AF18" i="3" s="1"/>
  <c r="AE14" i="19"/>
  <c r="AE18" i="19" s="1"/>
  <c r="AN7" i="7"/>
  <c r="AO12" i="7"/>
  <c r="AO13" i="7" s="1"/>
  <c r="AN12" i="7"/>
  <c r="AN13" i="7" s="1"/>
  <c r="AN7" i="21"/>
  <c r="AE23" i="21"/>
  <c r="AE25" i="21" s="1"/>
  <c r="AE14" i="21"/>
  <c r="AE18" i="21" s="1"/>
  <c r="AN7" i="14"/>
  <c r="AG47" i="23"/>
  <c r="AG19" i="23"/>
  <c r="AO7" i="14" l="1"/>
  <c r="AP12" i="14"/>
  <c r="AP13" i="14" s="1"/>
  <c r="AO12" i="14"/>
  <c r="AO13" i="14" s="1"/>
  <c r="AJ47" i="4"/>
  <c r="AJ19" i="4"/>
  <c r="AQ7" i="16"/>
  <c r="AQ12" i="16"/>
  <c r="AQ13" i="16" s="1"/>
  <c r="AE47" i="9"/>
  <c r="AE19" i="9"/>
  <c r="AO7" i="10"/>
  <c r="AP12" i="10"/>
  <c r="AP13" i="10" s="1"/>
  <c r="AF14" i="20"/>
  <c r="AF18" i="20" s="1"/>
  <c r="AG23" i="16"/>
  <c r="AG25" i="16" s="1"/>
  <c r="AH9" i="16"/>
  <c r="AG14" i="16"/>
  <c r="AG18" i="16" s="1"/>
  <c r="AO7" i="11"/>
  <c r="AF9" i="19"/>
  <c r="AH9" i="3"/>
  <c r="AG23" i="3"/>
  <c r="AG25" i="3" s="1"/>
  <c r="AG14" i="3"/>
  <c r="AG18" i="3" s="1"/>
  <c r="AD47" i="12"/>
  <c r="AD19" i="12"/>
  <c r="AJ23" i="4"/>
  <c r="AJ25" i="4" s="1"/>
  <c r="AO7" i="23"/>
  <c r="AP12" i="23"/>
  <c r="AP13" i="23" s="1"/>
  <c r="AO12" i="23"/>
  <c r="AO13" i="23" s="1"/>
  <c r="AO7" i="20"/>
  <c r="AO12" i="20"/>
  <c r="AO13" i="20" s="1"/>
  <c r="AE47" i="19"/>
  <c r="AE19" i="19"/>
  <c r="AD23" i="8"/>
  <c r="AD25" i="8" s="1"/>
  <c r="AE9" i="8"/>
  <c r="AD14" i="8"/>
  <c r="AD18" i="8" s="1"/>
  <c r="AF23" i="10"/>
  <c r="AF25" i="10" s="1"/>
  <c r="AG9" i="10"/>
  <c r="AF14" i="10"/>
  <c r="AF18" i="10" s="1"/>
  <c r="AO7" i="6"/>
  <c r="AO12" i="6"/>
  <c r="AO13" i="6" s="1"/>
  <c r="AP12" i="6"/>
  <c r="AP13" i="6" s="1"/>
  <c r="AD23" i="1"/>
  <c r="AD25" i="1" s="1"/>
  <c r="AE9" i="1"/>
  <c r="AD14" i="1"/>
  <c r="AD18" i="1" s="1"/>
  <c r="AO7" i="4"/>
  <c r="AO12" i="4"/>
  <c r="AO13" i="4" s="1"/>
  <c r="AO7" i="17"/>
  <c r="AG14" i="7"/>
  <c r="AG18" i="7" s="1"/>
  <c r="AF14" i="24"/>
  <c r="AF18" i="24" s="1"/>
  <c r="AF23" i="6"/>
  <c r="AF25" i="6" s="1"/>
  <c r="AG9" i="6"/>
  <c r="AF14" i="6"/>
  <c r="AF18" i="6" s="1"/>
  <c r="AE23" i="2"/>
  <c r="AE25" i="2" s="1"/>
  <c r="AF9" i="2"/>
  <c r="AE14" i="2"/>
  <c r="AE18" i="2" s="1"/>
  <c r="AE14" i="13"/>
  <c r="AE18" i="13" s="1"/>
  <c r="AO7" i="21"/>
  <c r="AO12" i="21"/>
  <c r="AO13" i="21" s="1"/>
  <c r="AE23" i="19"/>
  <c r="AE25" i="19" s="1"/>
  <c r="AD23" i="12"/>
  <c r="AD25" i="12" s="1"/>
  <c r="AP12" i="11"/>
  <c r="AP13" i="11" s="1"/>
  <c r="AI9" i="17"/>
  <c r="AO12" i="11"/>
  <c r="AO13" i="11" s="1"/>
  <c r="AQ7" i="2"/>
  <c r="AG23" i="11"/>
  <c r="AG25" i="11" s="1"/>
  <c r="AF19" i="7"/>
  <c r="AF47" i="7"/>
  <c r="AI9" i="5"/>
  <c r="AH23" i="5"/>
  <c r="AH25" i="5" s="1"/>
  <c r="AH14" i="5"/>
  <c r="AH18" i="5" s="1"/>
  <c r="AF23" i="22"/>
  <c r="AF25" i="22" s="1"/>
  <c r="AG9" i="22"/>
  <c r="AF14" i="22"/>
  <c r="AF18" i="22" s="1"/>
  <c r="AR7" i="12"/>
  <c r="AR12" i="12"/>
  <c r="AR13" i="12" s="1"/>
  <c r="AO12" i="17"/>
  <c r="AO13" i="17" s="1"/>
  <c r="AO7" i="13"/>
  <c r="AF9" i="9"/>
  <c r="AO7" i="19"/>
  <c r="AO12" i="19"/>
  <c r="AO13" i="19" s="1"/>
  <c r="AO7" i="24"/>
  <c r="AO12" i="24"/>
  <c r="AO13" i="24" s="1"/>
  <c r="AQ7" i="9"/>
  <c r="AG19" i="11"/>
  <c r="AG47" i="11"/>
  <c r="AQ7" i="15"/>
  <c r="AE47" i="21"/>
  <c r="AE19" i="21"/>
  <c r="AO7" i="7"/>
  <c r="AG47" i="5"/>
  <c r="AG19" i="5"/>
  <c r="AK9" i="4"/>
  <c r="AP12" i="17"/>
  <c r="AP13" i="17" s="1"/>
  <c r="AF23" i="14"/>
  <c r="AF25" i="14" s="1"/>
  <c r="AG9" i="14"/>
  <c r="AF14" i="14"/>
  <c r="AF18" i="14" s="1"/>
  <c r="AO12" i="10"/>
  <c r="AO13" i="10" s="1"/>
  <c r="AH23" i="23"/>
  <c r="AH25" i="23" s="1"/>
  <c r="AI9" i="23"/>
  <c r="AH14" i="23"/>
  <c r="AH18" i="23" s="1"/>
  <c r="AE23" i="9"/>
  <c r="AE25" i="9" s="1"/>
  <c r="AO7" i="22"/>
  <c r="AO12" i="22"/>
  <c r="AO13" i="22" s="1"/>
  <c r="AF9" i="21"/>
  <c r="AF19" i="3"/>
  <c r="AF47" i="3"/>
  <c r="AG23" i="5"/>
  <c r="AG25" i="5" s="1"/>
  <c r="AE9" i="12"/>
  <c r="AC47" i="8"/>
  <c r="AC19" i="8"/>
  <c r="AP7" i="18"/>
  <c r="AQ12" i="18" s="1"/>
  <c r="AQ13" i="18" s="1"/>
  <c r="AP12" i="18"/>
  <c r="AP13" i="18" s="1"/>
  <c r="AL9" i="15"/>
  <c r="AK23" i="15"/>
  <c r="AK25" i="15" s="1"/>
  <c r="AK14" i="15"/>
  <c r="AK18" i="15" s="1"/>
  <c r="AE23" i="18"/>
  <c r="AE25" i="18" s="1"/>
  <c r="AF9" i="18"/>
  <c r="AE14" i="18"/>
  <c r="AE18" i="18" s="1"/>
  <c r="AE47" i="20"/>
  <c r="AE19" i="20"/>
  <c r="AF47" i="16"/>
  <c r="AF19" i="16"/>
  <c r="AQ7" i="3"/>
  <c r="AQ12" i="3"/>
  <c r="AQ13" i="3" s="1"/>
  <c r="AP7" i="5"/>
  <c r="AH23" i="17"/>
  <c r="AH25" i="17" s="1"/>
  <c r="AQ7" i="8"/>
  <c r="AQ12" i="8"/>
  <c r="AQ13" i="8" s="1"/>
  <c r="AO7" i="1"/>
  <c r="AH9" i="11"/>
  <c r="AQ12" i="15"/>
  <c r="AQ13" i="15" s="1"/>
  <c r="AF23" i="7"/>
  <c r="AF25" i="7" s="1"/>
  <c r="AP7" i="7" l="1"/>
  <c r="AG19" i="7"/>
  <c r="AG47" i="7"/>
  <c r="AP7" i="4"/>
  <c r="AQ12" i="4"/>
  <c r="AQ13" i="4" s="1"/>
  <c r="AG23" i="10"/>
  <c r="AG25" i="10" s="1"/>
  <c r="AH9" i="10"/>
  <c r="AG14" i="10"/>
  <c r="AG18" i="10" s="1"/>
  <c r="AP7" i="20"/>
  <c r="AP12" i="20"/>
  <c r="AP13" i="20" s="1"/>
  <c r="AP7" i="11"/>
  <c r="AP7" i="22"/>
  <c r="AP12" i="22"/>
  <c r="AP13" i="22" s="1"/>
  <c r="AG23" i="22"/>
  <c r="AG25" i="22" s="1"/>
  <c r="AH9" i="22"/>
  <c r="AG14" i="22"/>
  <c r="AG18" i="22" s="1"/>
  <c r="AL23" i="15"/>
  <c r="AL25" i="15" s="1"/>
  <c r="AM9" i="15"/>
  <c r="AL14" i="15"/>
  <c r="AL18" i="15" s="1"/>
  <c r="AP12" i="7"/>
  <c r="AP13" i="7" s="1"/>
  <c r="AR7" i="9"/>
  <c r="AR12" i="9"/>
  <c r="AR13" i="9" s="1"/>
  <c r="AF9" i="13"/>
  <c r="AH9" i="7"/>
  <c r="AH14" i="3"/>
  <c r="AH18" i="3" s="1"/>
  <c r="AF47" i="20"/>
  <c r="AF19" i="20"/>
  <c r="AP7" i="10"/>
  <c r="AP7" i="14"/>
  <c r="AF14" i="18"/>
  <c r="AF18" i="18" s="1"/>
  <c r="AF14" i="2"/>
  <c r="AF18" i="2" s="1"/>
  <c r="AP7" i="1"/>
  <c r="AP12" i="1"/>
  <c r="AP13" i="1" s="1"/>
  <c r="AG9" i="21"/>
  <c r="AF23" i="21"/>
  <c r="AF25" i="21" s="1"/>
  <c r="AF14" i="21"/>
  <c r="AF18" i="21" s="1"/>
  <c r="AP7" i="19"/>
  <c r="AP12" i="19"/>
  <c r="AP13" i="19" s="1"/>
  <c r="AH19" i="23"/>
  <c r="AH47" i="23"/>
  <c r="AF19" i="14"/>
  <c r="AF47" i="14"/>
  <c r="AL9" i="4"/>
  <c r="AK23" i="4"/>
  <c r="AK25" i="4" s="1"/>
  <c r="AK14" i="4"/>
  <c r="AK18" i="4" s="1"/>
  <c r="AQ12" i="19"/>
  <c r="AQ13" i="19" s="1"/>
  <c r="AG9" i="9"/>
  <c r="AF14" i="9"/>
  <c r="AF18" i="9" s="1"/>
  <c r="AP7" i="13"/>
  <c r="AH19" i="5"/>
  <c r="AH47" i="5"/>
  <c r="AR7" i="2"/>
  <c r="AR13" i="2"/>
  <c r="AI23" i="17"/>
  <c r="AI25" i="17" s="1"/>
  <c r="AJ9" i="17"/>
  <c r="AI14" i="17"/>
  <c r="AI18" i="17" s="1"/>
  <c r="AP7" i="21"/>
  <c r="AP12" i="21"/>
  <c r="AP13" i="21" s="1"/>
  <c r="AE23" i="13"/>
  <c r="AE25" i="13" s="1"/>
  <c r="AF19" i="6"/>
  <c r="AF47" i="6"/>
  <c r="AF23" i="24"/>
  <c r="AG23" i="7"/>
  <c r="AG25" i="7" s="1"/>
  <c r="AD47" i="1"/>
  <c r="AD19" i="1"/>
  <c r="AP7" i="6"/>
  <c r="AD47" i="8"/>
  <c r="AD19" i="8"/>
  <c r="AP7" i="23"/>
  <c r="AF14" i="19"/>
  <c r="AF18" i="19" s="1"/>
  <c r="AG19" i="16"/>
  <c r="AG47" i="16"/>
  <c r="AF23" i="20"/>
  <c r="AF25" i="20" s="1"/>
  <c r="AR7" i="16"/>
  <c r="AR12" i="16"/>
  <c r="AR13" i="16" s="1"/>
  <c r="AI23" i="5"/>
  <c r="AI25" i="5" s="1"/>
  <c r="AJ9" i="5"/>
  <c r="AI14" i="5"/>
  <c r="AI18" i="5" s="1"/>
  <c r="AE47" i="13"/>
  <c r="AE19" i="13"/>
  <c r="AH23" i="11"/>
  <c r="AH25" i="11" s="1"/>
  <c r="AH14" i="11"/>
  <c r="AH18" i="11" s="1"/>
  <c r="AR7" i="8"/>
  <c r="AR12" i="8"/>
  <c r="AR13" i="8" s="1"/>
  <c r="AQ7" i="18"/>
  <c r="AE23" i="12"/>
  <c r="AE25" i="12" s="1"/>
  <c r="AE14" i="12"/>
  <c r="AE18" i="12" s="1"/>
  <c r="AR7" i="15"/>
  <c r="AR12" i="15"/>
  <c r="AR13" i="15" s="1"/>
  <c r="AQ7" i="5"/>
  <c r="AQ12" i="5"/>
  <c r="AQ13" i="5" s="1"/>
  <c r="AR7" i="3"/>
  <c r="AR12" i="3"/>
  <c r="AR13" i="3" s="1"/>
  <c r="AK19" i="15"/>
  <c r="AK47" i="15"/>
  <c r="AJ9" i="23"/>
  <c r="AI14" i="23"/>
  <c r="AI18" i="23" s="1"/>
  <c r="AG14" i="14"/>
  <c r="AG18" i="14" s="1"/>
  <c r="AQ12" i="7"/>
  <c r="AQ13" i="7" s="1"/>
  <c r="AP7" i="24"/>
  <c r="AP12" i="24"/>
  <c r="AP13" i="24" s="1"/>
  <c r="AF19" i="22"/>
  <c r="AF47" i="22"/>
  <c r="AQ12" i="20"/>
  <c r="AQ13" i="20" s="1"/>
  <c r="AE47" i="2"/>
  <c r="AE19" i="2"/>
  <c r="AG14" i="6"/>
  <c r="AG18" i="6" s="1"/>
  <c r="AG9" i="24"/>
  <c r="AP7" i="17"/>
  <c r="AP12" i="4"/>
  <c r="AP13" i="4" s="1"/>
  <c r="AF9" i="1"/>
  <c r="AE14" i="1"/>
  <c r="AE18" i="1" s="1"/>
  <c r="AF47" i="10"/>
  <c r="AF19" i="10"/>
  <c r="AE14" i="8"/>
  <c r="AE18" i="8" s="1"/>
  <c r="AG19" i="3"/>
  <c r="AG47" i="3"/>
  <c r="AQ12" i="11"/>
  <c r="AQ13" i="11" s="1"/>
  <c r="AH23" i="16"/>
  <c r="AH25" i="16" s="1"/>
  <c r="AI9" i="16"/>
  <c r="AH14" i="16"/>
  <c r="AH18" i="16" s="1"/>
  <c r="AG9" i="20"/>
  <c r="AP12" i="13"/>
  <c r="AP13" i="13" s="1"/>
  <c r="AE47" i="8" l="1"/>
  <c r="AE19" i="8"/>
  <c r="AJ23" i="17"/>
  <c r="AJ25" i="17" s="1"/>
  <c r="AJ14" i="17"/>
  <c r="AJ18" i="17" s="1"/>
  <c r="AG14" i="9"/>
  <c r="AG18" i="9" s="1"/>
  <c r="AQ7" i="22"/>
  <c r="AF9" i="8"/>
  <c r="AE47" i="1"/>
  <c r="AE19" i="1"/>
  <c r="AQ7" i="17"/>
  <c r="AQ12" i="17"/>
  <c r="AQ13" i="17" s="1"/>
  <c r="AH9" i="6"/>
  <c r="AH9" i="14"/>
  <c r="AI23" i="23"/>
  <c r="AI25" i="23" s="1"/>
  <c r="AR7" i="18"/>
  <c r="AR12" i="18"/>
  <c r="AR13" i="18" s="1"/>
  <c r="AG9" i="19"/>
  <c r="AQ7" i="21"/>
  <c r="AQ12" i="21"/>
  <c r="AQ13" i="21" s="1"/>
  <c r="AQ7" i="13"/>
  <c r="AQ12" i="13"/>
  <c r="AQ13" i="13" s="1"/>
  <c r="AL23" i="4"/>
  <c r="AL25" i="4" s="1"/>
  <c r="AM9" i="4"/>
  <c r="AL14" i="4"/>
  <c r="AL18" i="4" s="1"/>
  <c r="AQ7" i="19"/>
  <c r="AG14" i="21"/>
  <c r="AG18" i="21" s="1"/>
  <c r="AF47" i="2"/>
  <c r="AF19" i="2"/>
  <c r="AG9" i="18"/>
  <c r="AQ7" i="10"/>
  <c r="AQ12" i="10"/>
  <c r="AQ13" i="10" s="1"/>
  <c r="AH47" i="3"/>
  <c r="AH19" i="3"/>
  <c r="AH23" i="7"/>
  <c r="AH25" i="7" s="1"/>
  <c r="AI9" i="7"/>
  <c r="AH14" i="7"/>
  <c r="AH18" i="7" s="1"/>
  <c r="AQ7" i="20"/>
  <c r="AJ14" i="23"/>
  <c r="AJ18" i="23" s="1"/>
  <c r="AM14" i="15"/>
  <c r="AM18" i="15" s="1"/>
  <c r="AH9" i="20"/>
  <c r="AG23" i="20"/>
  <c r="AG25" i="20" s="1"/>
  <c r="AG14" i="20"/>
  <c r="AG18" i="20" s="1"/>
  <c r="AR7" i="5"/>
  <c r="AR12" i="5"/>
  <c r="AR13" i="5" s="1"/>
  <c r="AH19" i="16"/>
  <c r="AH47" i="16"/>
  <c r="AE23" i="8"/>
  <c r="AE25" i="8" s="1"/>
  <c r="AE23" i="1"/>
  <c r="AE25" i="1" s="1"/>
  <c r="AG23" i="6"/>
  <c r="AG25" i="6" s="1"/>
  <c r="AQ7" i="24"/>
  <c r="AQ12" i="24"/>
  <c r="AQ13" i="24" s="1"/>
  <c r="AG23" i="14"/>
  <c r="AG25" i="14" s="1"/>
  <c r="AE19" i="12"/>
  <c r="AE47" i="12"/>
  <c r="AH19" i="11"/>
  <c r="AH47" i="11"/>
  <c r="AF23" i="19"/>
  <c r="AF25" i="19" s="1"/>
  <c r="AF47" i="9"/>
  <c r="AF19" i="9"/>
  <c r="AQ12" i="22"/>
  <c r="AQ13" i="22" s="1"/>
  <c r="AG9" i="2"/>
  <c r="AF23" i="18"/>
  <c r="AF25" i="18" s="1"/>
  <c r="AI9" i="3"/>
  <c r="AG9" i="13"/>
  <c r="AF23" i="13"/>
  <c r="AF25" i="13" s="1"/>
  <c r="AF14" i="13"/>
  <c r="AF18" i="13" s="1"/>
  <c r="AG47" i="22"/>
  <c r="AG19" i="22"/>
  <c r="AQ7" i="11"/>
  <c r="AG47" i="10"/>
  <c r="AG19" i="10"/>
  <c r="AG47" i="6"/>
  <c r="AG19" i="6"/>
  <c r="AG47" i="14"/>
  <c r="AG19" i="14"/>
  <c r="AJ23" i="5"/>
  <c r="AJ25" i="5" s="1"/>
  <c r="AK9" i="5"/>
  <c r="AJ14" i="5"/>
  <c r="AJ18" i="5" s="1"/>
  <c r="AF19" i="19"/>
  <c r="AF47" i="19"/>
  <c r="AQ7" i="6"/>
  <c r="AQ12" i="6"/>
  <c r="AQ13" i="6" s="1"/>
  <c r="AI23" i="16"/>
  <c r="AI25" i="16" s="1"/>
  <c r="AJ9" i="16"/>
  <c r="AI14" i="16"/>
  <c r="AI18" i="16" s="1"/>
  <c r="AG9" i="1"/>
  <c r="AF23" i="1"/>
  <c r="AF25" i="1" s="1"/>
  <c r="AF14" i="1"/>
  <c r="AF18" i="1" s="1"/>
  <c r="AG14" i="24"/>
  <c r="AG18" i="24" s="1"/>
  <c r="AI47" i="23"/>
  <c r="AI19" i="23"/>
  <c r="AF9" i="12"/>
  <c r="AI9" i="11"/>
  <c r="AI19" i="5"/>
  <c r="AI47" i="5"/>
  <c r="AQ7" i="23"/>
  <c r="AQ12" i="23"/>
  <c r="AQ13" i="23" s="1"/>
  <c r="AI47" i="17"/>
  <c r="AI19" i="17"/>
  <c r="AF23" i="9"/>
  <c r="AF25" i="9" s="1"/>
  <c r="AK19" i="4"/>
  <c r="AK47" i="4"/>
  <c r="AF47" i="21"/>
  <c r="AF19" i="21"/>
  <c r="AQ7" i="1"/>
  <c r="AQ12" i="1"/>
  <c r="AQ13" i="1" s="1"/>
  <c r="AF23" i="2"/>
  <c r="AF25" i="2" s="1"/>
  <c r="AQ7" i="14"/>
  <c r="AQ12" i="14"/>
  <c r="AQ13" i="14" s="1"/>
  <c r="AH23" i="3"/>
  <c r="AH25" i="3" s="1"/>
  <c r="AL19" i="15"/>
  <c r="AL47" i="15"/>
  <c r="AI9" i="22"/>
  <c r="AH14" i="22"/>
  <c r="AH18" i="22" s="1"/>
  <c r="AH23" i="10"/>
  <c r="AH25" i="10" s="1"/>
  <c r="AI9" i="10"/>
  <c r="AH14" i="10"/>
  <c r="AH18" i="10" s="1"/>
  <c r="AQ7" i="4"/>
  <c r="AQ7" i="7"/>
  <c r="AG19" i="9" l="1"/>
  <c r="AG47" i="9"/>
  <c r="AR7" i="4"/>
  <c r="AR12" i="4"/>
  <c r="AR13" i="4" s="1"/>
  <c r="AM47" i="15"/>
  <c r="AM19" i="15"/>
  <c r="AK9" i="23"/>
  <c r="AG19" i="21"/>
  <c r="AG47" i="21"/>
  <c r="AR7" i="21"/>
  <c r="AR12" i="21"/>
  <c r="AR13" i="21" s="1"/>
  <c r="AG9" i="8"/>
  <c r="AF14" i="8"/>
  <c r="AF18" i="8" s="1"/>
  <c r="AG23" i="9"/>
  <c r="AG25" i="9" s="1"/>
  <c r="AK9" i="17"/>
  <c r="AR7" i="14"/>
  <c r="AR12" i="14"/>
  <c r="AR13" i="14" s="1"/>
  <c r="AR7" i="23"/>
  <c r="AR12" i="23"/>
  <c r="AR13" i="23" s="1"/>
  <c r="AR7" i="11"/>
  <c r="AR12" i="11"/>
  <c r="AR13" i="11" s="1"/>
  <c r="AR7" i="24"/>
  <c r="AR12" i="24"/>
  <c r="AR13" i="24" s="1"/>
  <c r="AH23" i="20"/>
  <c r="AH25" i="20" s="1"/>
  <c r="AI9" i="20"/>
  <c r="AH14" i="20"/>
  <c r="AH18" i="20" s="1"/>
  <c r="AJ47" i="23"/>
  <c r="AJ19" i="23"/>
  <c r="AR7" i="20"/>
  <c r="AR12" i="20"/>
  <c r="AR13" i="20" s="1"/>
  <c r="AR7" i="10"/>
  <c r="AR12" i="10"/>
  <c r="AR13" i="10" s="1"/>
  <c r="AH47" i="22"/>
  <c r="AH19" i="22"/>
  <c r="AF23" i="12"/>
  <c r="AF25" i="12" s="1"/>
  <c r="AG9" i="12"/>
  <c r="AF14" i="12"/>
  <c r="AF18" i="12" s="1"/>
  <c r="AH9" i="24"/>
  <c r="AG23" i="1"/>
  <c r="AG25" i="1" s="1"/>
  <c r="AH9" i="1"/>
  <c r="AG14" i="1"/>
  <c r="AG18" i="1" s="1"/>
  <c r="AH9" i="13"/>
  <c r="AG23" i="13"/>
  <c r="AG25" i="13" s="1"/>
  <c r="AG14" i="13"/>
  <c r="AG18" i="13" s="1"/>
  <c r="AH47" i="10"/>
  <c r="AH19" i="10"/>
  <c r="AH23" i="22"/>
  <c r="AH25" i="22" s="1"/>
  <c r="AG23" i="24"/>
  <c r="AG25" i="24" s="1"/>
  <c r="AI47" i="16"/>
  <c r="AI19" i="16"/>
  <c r="AR7" i="6"/>
  <c r="AR12" i="6"/>
  <c r="AR13" i="6" s="1"/>
  <c r="AJ47" i="5"/>
  <c r="AJ19" i="5"/>
  <c r="AI14" i="3"/>
  <c r="AI18" i="3" s="1"/>
  <c r="AG19" i="20"/>
  <c r="AG47" i="20"/>
  <c r="AN9" i="15"/>
  <c r="AJ23" i="23"/>
  <c r="AJ25" i="23" s="1"/>
  <c r="AH47" i="7"/>
  <c r="AH19" i="7"/>
  <c r="AH9" i="18"/>
  <c r="AG14" i="18"/>
  <c r="AG18" i="18" s="1"/>
  <c r="AH9" i="21"/>
  <c r="AL19" i="4"/>
  <c r="AL47" i="4"/>
  <c r="AR7" i="13"/>
  <c r="AR12" i="13"/>
  <c r="AR13" i="13" s="1"/>
  <c r="AI9" i="14"/>
  <c r="AH23" i="14"/>
  <c r="AH25" i="14" s="1"/>
  <c r="AH14" i="14"/>
  <c r="AH18" i="14" s="1"/>
  <c r="AR7" i="17"/>
  <c r="AR12" i="17"/>
  <c r="AR13" i="17" s="1"/>
  <c r="AR7" i="22"/>
  <c r="AR12" i="22"/>
  <c r="AR13" i="22" s="1"/>
  <c r="AH9" i="9"/>
  <c r="AR7" i="1"/>
  <c r="AR12" i="1"/>
  <c r="AR13" i="1" s="1"/>
  <c r="AI23" i="11"/>
  <c r="AI25" i="11" s="1"/>
  <c r="AI14" i="11"/>
  <c r="AI18" i="11" s="1"/>
  <c r="AG47" i="24"/>
  <c r="AG19" i="24"/>
  <c r="AG14" i="2"/>
  <c r="AG18" i="2" s="1"/>
  <c r="AR7" i="19"/>
  <c r="AR12" i="19"/>
  <c r="AR13" i="19" s="1"/>
  <c r="AR7" i="7"/>
  <c r="AR12" i="7"/>
  <c r="AR13" i="7" s="1"/>
  <c r="AI14" i="10"/>
  <c r="AI18" i="10" s="1"/>
  <c r="AI14" i="22"/>
  <c r="AI18" i="22" s="1"/>
  <c r="AF19" i="1"/>
  <c r="AF47" i="1"/>
  <c r="AJ14" i="16"/>
  <c r="AJ18" i="16" s="1"/>
  <c r="AK14" i="5"/>
  <c r="AK18" i="5" s="1"/>
  <c r="AF47" i="13"/>
  <c r="AF19" i="13"/>
  <c r="AM23" i="15"/>
  <c r="AM25" i="15" s="1"/>
  <c r="AJ9" i="7"/>
  <c r="AI23" i="7"/>
  <c r="AI25" i="7" s="1"/>
  <c r="AI14" i="7"/>
  <c r="AI18" i="7" s="1"/>
  <c r="AG23" i="21"/>
  <c r="AG25" i="21" s="1"/>
  <c r="AM23" i="4"/>
  <c r="AM25" i="4" s="1"/>
  <c r="AN9" i="4"/>
  <c r="AM14" i="4"/>
  <c r="AM18" i="4" s="1"/>
  <c r="AG14" i="19"/>
  <c r="AG18" i="19" s="1"/>
  <c r="AH14" i="6"/>
  <c r="AH18" i="6" s="1"/>
  <c r="AJ19" i="17"/>
  <c r="AJ47" i="17"/>
  <c r="AH47" i="6" l="1"/>
  <c r="AH19" i="6"/>
  <c r="AG19" i="19"/>
  <c r="AG47" i="19"/>
  <c r="AJ47" i="16"/>
  <c r="AJ19" i="16"/>
  <c r="AI47" i="10"/>
  <c r="AI19" i="10"/>
  <c r="AK47" i="5"/>
  <c r="AK19" i="5"/>
  <c r="AJ23" i="16"/>
  <c r="AJ25" i="16" s="1"/>
  <c r="AI19" i="22"/>
  <c r="AI47" i="22"/>
  <c r="AJ9" i="10"/>
  <c r="AG47" i="2"/>
  <c r="AG19" i="2"/>
  <c r="AI14" i="14"/>
  <c r="AI18" i="14" s="1"/>
  <c r="AH14" i="18"/>
  <c r="AH18" i="18" s="1"/>
  <c r="AI47" i="3"/>
  <c r="AI19" i="3"/>
  <c r="AH14" i="13"/>
  <c r="AH18" i="13" s="1"/>
  <c r="AH14" i="24"/>
  <c r="AH18" i="24" s="1"/>
  <c r="AI9" i="6"/>
  <c r="AG23" i="19"/>
  <c r="AG25" i="19" s="1"/>
  <c r="AK23" i="5"/>
  <c r="AK25" i="5" s="1"/>
  <c r="AK9" i="16"/>
  <c r="AJ9" i="22"/>
  <c r="AI23" i="10"/>
  <c r="AI25" i="10" s="1"/>
  <c r="AH9" i="2"/>
  <c r="AI47" i="11"/>
  <c r="AI19" i="11"/>
  <c r="AG23" i="18"/>
  <c r="AG25" i="18" s="1"/>
  <c r="AN14" i="15"/>
  <c r="AN18" i="15" s="1"/>
  <c r="AI23" i="3"/>
  <c r="AI25" i="3" s="1"/>
  <c r="AG19" i="1"/>
  <c r="AG47" i="1"/>
  <c r="AF19" i="12"/>
  <c r="AF47" i="12"/>
  <c r="AK14" i="17"/>
  <c r="AK18" i="17" s="1"/>
  <c r="AF23" i="8"/>
  <c r="AF25" i="8" s="1"/>
  <c r="AN23" i="4"/>
  <c r="AN25" i="4" s="1"/>
  <c r="AN14" i="4"/>
  <c r="AN18" i="4" s="1"/>
  <c r="AH14" i="9"/>
  <c r="AH18" i="9" s="1"/>
  <c r="AH23" i="6"/>
  <c r="AH25" i="6" s="1"/>
  <c r="AH9" i="19"/>
  <c r="AJ23" i="7"/>
  <c r="AJ25" i="7" s="1"/>
  <c r="AJ14" i="7"/>
  <c r="AJ18" i="7" s="1"/>
  <c r="AG14" i="8"/>
  <c r="AG18" i="8" s="1"/>
  <c r="AM47" i="4"/>
  <c r="AM19" i="4"/>
  <c r="AI47" i="7"/>
  <c r="AI19" i="7"/>
  <c r="AL9" i="5"/>
  <c r="AI23" i="22"/>
  <c r="AI25" i="22" s="1"/>
  <c r="AG23" i="2"/>
  <c r="AG25" i="2" s="1"/>
  <c r="AJ9" i="11"/>
  <c r="AH47" i="14"/>
  <c r="AH19" i="14"/>
  <c r="AH23" i="21"/>
  <c r="AH25" i="21" s="1"/>
  <c r="AI9" i="21"/>
  <c r="AH14" i="21"/>
  <c r="AH18" i="21" s="1"/>
  <c r="AJ9" i="3"/>
  <c r="AG47" i="13"/>
  <c r="AG19" i="13"/>
  <c r="AI9" i="1"/>
  <c r="AH14" i="1"/>
  <c r="AH18" i="1" s="1"/>
  <c r="AG14" i="12"/>
  <c r="AG18" i="12" s="1"/>
  <c r="AH19" i="20"/>
  <c r="AH47" i="20"/>
  <c r="AJ9" i="20"/>
  <c r="AI14" i="20"/>
  <c r="AI18" i="20" s="1"/>
  <c r="AF47" i="8"/>
  <c r="AF19" i="8"/>
  <c r="AK23" i="23"/>
  <c r="AK25" i="23" s="1"/>
  <c r="AK14" i="23"/>
  <c r="AK18" i="23" s="1"/>
  <c r="AG47" i="8" l="1"/>
  <c r="AG19" i="8"/>
  <c r="AH19" i="9"/>
  <c r="AH47" i="9"/>
  <c r="AK19" i="17"/>
  <c r="AK47" i="17"/>
  <c r="AN47" i="15"/>
  <c r="AN19" i="15"/>
  <c r="AH19" i="13"/>
  <c r="AH47" i="13"/>
  <c r="AL9" i="23"/>
  <c r="AI23" i="20"/>
  <c r="AI25" i="20" s="1"/>
  <c r="AH9" i="12"/>
  <c r="AH23" i="1"/>
  <c r="AH25" i="1" s="1"/>
  <c r="AH47" i="21"/>
  <c r="AH19" i="21"/>
  <c r="AG23" i="8"/>
  <c r="AG25" i="8" s="1"/>
  <c r="AK9" i="7"/>
  <c r="AI9" i="9"/>
  <c r="AO9" i="4"/>
  <c r="AK23" i="17"/>
  <c r="AK25" i="17" s="1"/>
  <c r="AN23" i="15"/>
  <c r="AN25" i="15" s="1"/>
  <c r="AI9" i="2"/>
  <c r="AH14" i="2"/>
  <c r="AH18" i="2" s="1"/>
  <c r="AH19" i="24"/>
  <c r="AH47" i="24"/>
  <c r="AH23" i="13"/>
  <c r="AH25" i="13" s="1"/>
  <c r="AI23" i="14"/>
  <c r="AI25" i="14" s="1"/>
  <c r="AJ14" i="10"/>
  <c r="AJ18" i="10" s="1"/>
  <c r="AJ9" i="1"/>
  <c r="AI23" i="1"/>
  <c r="AI25" i="1" s="1"/>
  <c r="AI14" i="1"/>
  <c r="AI18" i="1" s="1"/>
  <c r="AK23" i="16"/>
  <c r="AK25" i="16" s="1"/>
  <c r="AL9" i="16"/>
  <c r="AK14" i="16"/>
  <c r="AK18" i="16" s="1"/>
  <c r="AI47" i="14"/>
  <c r="AI19" i="14"/>
  <c r="AG23" i="12"/>
  <c r="AG25" i="12" s="1"/>
  <c r="AI14" i="21"/>
  <c r="AI18" i="21" s="1"/>
  <c r="AH9" i="8"/>
  <c r="AH14" i="19"/>
  <c r="AH18" i="19" s="1"/>
  <c r="AH23" i="9"/>
  <c r="AH25" i="9" s="1"/>
  <c r="AL9" i="17"/>
  <c r="AO9" i="15"/>
  <c r="AH23" i="24"/>
  <c r="AH25" i="24" s="1"/>
  <c r="AI9" i="13"/>
  <c r="AI9" i="18"/>
  <c r="AJ9" i="14"/>
  <c r="AK9" i="20"/>
  <c r="AJ23" i="20"/>
  <c r="AJ25" i="20" s="1"/>
  <c r="AJ14" i="20"/>
  <c r="AJ18" i="20" s="1"/>
  <c r="AG47" i="12"/>
  <c r="AG19" i="12"/>
  <c r="AK9" i="3"/>
  <c r="AJ23" i="3"/>
  <c r="AJ25" i="3" s="1"/>
  <c r="AJ14" i="3"/>
  <c r="AJ18" i="3" s="1"/>
  <c r="AK47" i="23"/>
  <c r="AK19" i="23"/>
  <c r="AI47" i="20"/>
  <c r="AI19" i="20"/>
  <c r="AH47" i="1"/>
  <c r="AH19" i="1"/>
  <c r="AJ14" i="11"/>
  <c r="AJ18" i="11" s="1"/>
  <c r="AM9" i="5"/>
  <c r="AL23" i="5"/>
  <c r="AL25" i="5" s="1"/>
  <c r="AL14" i="5"/>
  <c r="AL18" i="5" s="1"/>
  <c r="AJ19" i="7"/>
  <c r="AJ47" i="7"/>
  <c r="AN47" i="4"/>
  <c r="AN19" i="4"/>
  <c r="AJ23" i="22"/>
  <c r="AJ25" i="22" s="1"/>
  <c r="AK9" i="22"/>
  <c r="AJ14" i="22"/>
  <c r="AJ18" i="22" s="1"/>
  <c r="AI14" i="6"/>
  <c r="AI18" i="6" s="1"/>
  <c r="AI9" i="24"/>
  <c r="AH23" i="18"/>
  <c r="AH25" i="18" s="1"/>
  <c r="AI47" i="6" l="1"/>
  <c r="AI19" i="6"/>
  <c r="AJ9" i="13"/>
  <c r="AI14" i="13"/>
  <c r="AI18" i="13" s="1"/>
  <c r="AI23" i="6"/>
  <c r="AI25" i="6" s="1"/>
  <c r="AH19" i="19"/>
  <c r="AH47" i="19"/>
  <c r="AI47" i="21"/>
  <c r="AI19" i="21"/>
  <c r="AJ19" i="10"/>
  <c r="AJ47" i="10"/>
  <c r="AI23" i="2"/>
  <c r="AI25" i="2" s="1"/>
  <c r="AJ9" i="2"/>
  <c r="AI14" i="2"/>
  <c r="AI18" i="2" s="1"/>
  <c r="AP9" i="4"/>
  <c r="AO14" i="4"/>
  <c r="AO18" i="4" s="1"/>
  <c r="AJ9" i="6"/>
  <c r="AL19" i="5"/>
  <c r="AL47" i="5"/>
  <c r="AJ23" i="11"/>
  <c r="AJ25" i="11" s="1"/>
  <c r="AJ19" i="3"/>
  <c r="AJ47" i="3"/>
  <c r="AJ23" i="14"/>
  <c r="AJ25" i="14" s="1"/>
  <c r="AK9" i="14"/>
  <c r="AJ14" i="14"/>
  <c r="AJ18" i="14" s="1"/>
  <c r="AP9" i="15"/>
  <c r="AO14" i="15"/>
  <c r="AO18" i="15" s="1"/>
  <c r="AI9" i="19"/>
  <c r="AI23" i="21"/>
  <c r="AI25" i="21" s="1"/>
  <c r="AI47" i="1"/>
  <c r="AI19" i="1"/>
  <c r="AK9" i="10"/>
  <c r="AH25" i="2"/>
  <c r="AI23" i="9"/>
  <c r="AI25" i="9" s="1"/>
  <c r="AJ9" i="9"/>
  <c r="AI14" i="9"/>
  <c r="AI18" i="9" s="1"/>
  <c r="AL23" i="23"/>
  <c r="AL25" i="23" s="1"/>
  <c r="AM9" i="23"/>
  <c r="AL14" i="23"/>
  <c r="AL18" i="23" s="1"/>
  <c r="AL9" i="22"/>
  <c r="AK14" i="22"/>
  <c r="AK18" i="22" s="1"/>
  <c r="AM14" i="5"/>
  <c r="AM18" i="5" s="1"/>
  <c r="AL9" i="3"/>
  <c r="AK23" i="3"/>
  <c r="AK25" i="3" s="1"/>
  <c r="AK14" i="3"/>
  <c r="AK18" i="3" s="1"/>
  <c r="AJ47" i="11"/>
  <c r="AJ19" i="11"/>
  <c r="AK14" i="20"/>
  <c r="AK18" i="20" s="1"/>
  <c r="AI23" i="24"/>
  <c r="AI25" i="24" s="1"/>
  <c r="AJ9" i="24"/>
  <c r="AI14" i="24"/>
  <c r="AI18" i="24" s="1"/>
  <c r="AJ19" i="22"/>
  <c r="AJ47" i="22"/>
  <c r="AK9" i="11"/>
  <c r="AJ47" i="20"/>
  <c r="AJ19" i="20"/>
  <c r="AI23" i="18"/>
  <c r="AI25" i="18" s="1"/>
  <c r="AJ9" i="18"/>
  <c r="AI14" i="18"/>
  <c r="AI18" i="18" s="1"/>
  <c r="AL23" i="17"/>
  <c r="AL25" i="17" s="1"/>
  <c r="AM9" i="17"/>
  <c r="AL14" i="17"/>
  <c r="AL18" i="17" s="1"/>
  <c r="AH23" i="19"/>
  <c r="AH25" i="19" s="1"/>
  <c r="AJ9" i="21"/>
  <c r="AK19" i="16"/>
  <c r="AK47" i="16"/>
  <c r="AJ23" i="10"/>
  <c r="AJ25" i="10" s="1"/>
  <c r="AK23" i="7"/>
  <c r="AK25" i="7" s="1"/>
  <c r="AL9" i="7"/>
  <c r="AK14" i="7"/>
  <c r="AK18" i="7" s="1"/>
  <c r="AI9" i="8"/>
  <c r="AH14" i="8"/>
  <c r="AH18" i="8" s="1"/>
  <c r="AL14" i="16"/>
  <c r="AL18" i="16" s="1"/>
  <c r="AK9" i="1"/>
  <c r="AJ23" i="1"/>
  <c r="AJ25" i="1" s="1"/>
  <c r="AJ14" i="1"/>
  <c r="AJ18" i="1" s="1"/>
  <c r="AH47" i="2"/>
  <c r="AH19" i="2"/>
  <c r="AH14" i="12"/>
  <c r="AH18" i="12" s="1"/>
  <c r="AK19" i="20" l="1"/>
  <c r="AK47" i="20"/>
  <c r="AM19" i="5"/>
  <c r="AM47" i="5"/>
  <c r="AM9" i="22"/>
  <c r="AL23" i="22"/>
  <c r="AL25" i="22" s="1"/>
  <c r="AL14" i="22"/>
  <c r="AL18" i="22" s="1"/>
  <c r="AP23" i="15"/>
  <c r="AP25" i="15" s="1"/>
  <c r="AP14" i="15"/>
  <c r="AP18" i="15" s="1"/>
  <c r="AQ9" i="4"/>
  <c r="AP14" i="4"/>
  <c r="AP18" i="4" s="1"/>
  <c r="AJ14" i="13"/>
  <c r="AJ18" i="13" s="1"/>
  <c r="AI9" i="12"/>
  <c r="AJ19" i="1"/>
  <c r="AJ47" i="1"/>
  <c r="AM9" i="16"/>
  <c r="AH23" i="8"/>
  <c r="AH25" i="8" s="1"/>
  <c r="AI47" i="24"/>
  <c r="AI19" i="24"/>
  <c r="AK23" i="20"/>
  <c r="AK25" i="20" s="1"/>
  <c r="AK19" i="3"/>
  <c r="AK47" i="3"/>
  <c r="AN9" i="5"/>
  <c r="AK23" i="22"/>
  <c r="AK25" i="22" s="1"/>
  <c r="AI47" i="9"/>
  <c r="AI19" i="9"/>
  <c r="AL9" i="10"/>
  <c r="AK14" i="10"/>
  <c r="AK18" i="10" s="1"/>
  <c r="AI14" i="19"/>
  <c r="AI18" i="19" s="1"/>
  <c r="AJ19" i="14"/>
  <c r="AJ47" i="14"/>
  <c r="AK9" i="6"/>
  <c r="AJ14" i="6"/>
  <c r="AJ18" i="6" s="1"/>
  <c r="AI47" i="2"/>
  <c r="AI19" i="2"/>
  <c r="AI23" i="13"/>
  <c r="AI25" i="13" s="1"/>
  <c r="AH47" i="12"/>
  <c r="AH19" i="12"/>
  <c r="AL19" i="16"/>
  <c r="AL47" i="16"/>
  <c r="AI23" i="8"/>
  <c r="AI25" i="8" s="1"/>
  <c r="AJ9" i="8"/>
  <c r="AI14" i="8"/>
  <c r="AI18" i="8" s="1"/>
  <c r="AH23" i="12"/>
  <c r="AH25" i="12" s="1"/>
  <c r="AL23" i="16"/>
  <c r="AL25" i="16" s="1"/>
  <c r="AK19" i="7"/>
  <c r="AK47" i="7"/>
  <c r="AL19" i="17"/>
  <c r="AL47" i="17"/>
  <c r="AJ14" i="18"/>
  <c r="AJ18" i="18" s="1"/>
  <c r="AL9" i="11"/>
  <c r="AK23" i="11"/>
  <c r="AK25" i="11" s="1"/>
  <c r="AK14" i="11"/>
  <c r="AK18" i="11" s="1"/>
  <c r="AJ23" i="24"/>
  <c r="AJ25" i="24" s="1"/>
  <c r="AK9" i="24"/>
  <c r="AJ14" i="24"/>
  <c r="AJ18" i="24" s="1"/>
  <c r="AL9" i="20"/>
  <c r="AM23" i="5"/>
  <c r="AM25" i="5" s="1"/>
  <c r="AL47" i="23"/>
  <c r="AL19" i="23"/>
  <c r="AJ23" i="9"/>
  <c r="AJ25" i="9" s="1"/>
  <c r="AJ14" i="9"/>
  <c r="AJ18" i="9" s="1"/>
  <c r="AO19" i="15"/>
  <c r="AO47" i="15"/>
  <c r="AK23" i="14"/>
  <c r="AK25" i="14" s="1"/>
  <c r="AL9" i="14"/>
  <c r="AK14" i="14"/>
  <c r="AK18" i="14" s="1"/>
  <c r="AO19" i="4"/>
  <c r="AO47" i="4"/>
  <c r="AJ23" i="2"/>
  <c r="AJ25" i="2" s="1"/>
  <c r="AK9" i="2"/>
  <c r="AJ14" i="2"/>
  <c r="AJ18" i="2" s="1"/>
  <c r="AK9" i="21"/>
  <c r="AJ23" i="21"/>
  <c r="AJ25" i="21" s="1"/>
  <c r="AJ14" i="21"/>
  <c r="AJ18" i="21" s="1"/>
  <c r="AL9" i="1"/>
  <c r="AK14" i="1"/>
  <c r="AK18" i="1" s="1"/>
  <c r="AH19" i="8"/>
  <c r="AH47" i="8"/>
  <c r="AL23" i="7"/>
  <c r="AL25" i="7" s="1"/>
  <c r="AM9" i="7"/>
  <c r="AL14" i="7"/>
  <c r="AL18" i="7" s="1"/>
  <c r="AN9" i="17"/>
  <c r="AM14" i="17"/>
  <c r="AM18" i="17" s="1"/>
  <c r="AL14" i="3"/>
  <c r="AL18" i="3" s="1"/>
  <c r="AK47" i="22"/>
  <c r="AK19" i="22"/>
  <c r="AN9" i="23"/>
  <c r="AM14" i="23"/>
  <c r="AM18" i="23" s="1"/>
  <c r="AO23" i="15"/>
  <c r="AO25" i="15" s="1"/>
  <c r="AO23" i="4"/>
  <c r="AO25" i="4" s="1"/>
  <c r="AI47" i="13"/>
  <c r="AI19" i="13"/>
  <c r="AO9" i="23" l="1"/>
  <c r="AN14" i="23"/>
  <c r="AN18" i="23" s="1"/>
  <c r="AL47" i="3"/>
  <c r="AL19" i="3"/>
  <c r="AN14" i="17"/>
  <c r="AN18" i="17" s="1"/>
  <c r="AM9" i="1"/>
  <c r="AL14" i="1"/>
  <c r="AL18" i="1" s="1"/>
  <c r="AK23" i="21"/>
  <c r="AK25" i="21" s="1"/>
  <c r="AK14" i="21"/>
  <c r="AK18" i="21" s="1"/>
  <c r="AK23" i="6"/>
  <c r="AK25" i="6" s="1"/>
  <c r="AL9" i="6"/>
  <c r="AK14" i="6"/>
  <c r="AK18" i="6" s="1"/>
  <c r="AI47" i="19"/>
  <c r="AI19" i="19"/>
  <c r="AL23" i="10"/>
  <c r="AL25" i="10" s="1"/>
  <c r="AL14" i="10"/>
  <c r="AL18" i="10" s="1"/>
  <c r="AJ47" i="13"/>
  <c r="AJ19" i="13"/>
  <c r="AQ14" i="4"/>
  <c r="AQ18" i="4" s="1"/>
  <c r="AQ19" i="4" s="1"/>
  <c r="AM23" i="23"/>
  <c r="AM25" i="23" s="1"/>
  <c r="AM9" i="3"/>
  <c r="AM23" i="17"/>
  <c r="AM25" i="17" s="1"/>
  <c r="AK23" i="1"/>
  <c r="AK25" i="1" s="1"/>
  <c r="AJ47" i="2"/>
  <c r="AJ19" i="2"/>
  <c r="AK9" i="9"/>
  <c r="AL23" i="20"/>
  <c r="AL25" i="20" s="1"/>
  <c r="AM9" i="20"/>
  <c r="AL14" i="20"/>
  <c r="AL18" i="20" s="1"/>
  <c r="AK19" i="11"/>
  <c r="AK47" i="11"/>
  <c r="AK9" i="18"/>
  <c r="AI47" i="8"/>
  <c r="AI19" i="8"/>
  <c r="AJ23" i="6"/>
  <c r="AJ25" i="6" s="1"/>
  <c r="AJ9" i="19"/>
  <c r="AK23" i="10"/>
  <c r="AK25" i="10" s="1"/>
  <c r="AN14" i="5"/>
  <c r="AN18" i="5" s="1"/>
  <c r="AK9" i="13"/>
  <c r="AP23" i="4"/>
  <c r="AP25" i="4" s="1"/>
  <c r="AL47" i="22"/>
  <c r="AL19" i="22"/>
  <c r="AM14" i="16"/>
  <c r="AM18" i="16" s="1"/>
  <c r="AL23" i="3"/>
  <c r="AL25" i="3" s="1"/>
  <c r="AL47" i="7"/>
  <c r="AL19" i="7"/>
  <c r="AJ47" i="21"/>
  <c r="AJ19" i="21"/>
  <c r="AK14" i="2"/>
  <c r="AK18" i="2" s="1"/>
  <c r="AK47" i="14"/>
  <c r="AK19" i="14"/>
  <c r="AJ19" i="24"/>
  <c r="AJ47" i="24"/>
  <c r="AJ23" i="18"/>
  <c r="AJ25" i="18" s="1"/>
  <c r="AJ14" i="8"/>
  <c r="AJ18" i="8" s="1"/>
  <c r="AI23" i="19"/>
  <c r="AI25" i="19" s="1"/>
  <c r="AJ23" i="13"/>
  <c r="AJ25" i="13" s="1"/>
  <c r="AP19" i="15"/>
  <c r="AP47" i="15"/>
  <c r="AM47" i="23"/>
  <c r="AM19" i="23"/>
  <c r="AM47" i="17"/>
  <c r="AM19" i="17"/>
  <c r="AN9" i="7"/>
  <c r="AM14" i="7"/>
  <c r="AM18" i="7" s="1"/>
  <c r="AK19" i="1"/>
  <c r="AK47" i="1"/>
  <c r="AL14" i="14"/>
  <c r="AL18" i="14" s="1"/>
  <c r="AJ47" i="9"/>
  <c r="AJ19" i="9"/>
  <c r="AK14" i="24"/>
  <c r="AK18" i="24" s="1"/>
  <c r="AL14" i="11"/>
  <c r="AL18" i="11" s="1"/>
  <c r="AJ47" i="6"/>
  <c r="AJ19" i="6"/>
  <c r="AK47" i="10"/>
  <c r="AK19" i="10"/>
  <c r="AJ9" i="12"/>
  <c r="AI14" i="12"/>
  <c r="AI18" i="12" s="1"/>
  <c r="AP19" i="4"/>
  <c r="AP47" i="4"/>
  <c r="AQ9" i="15"/>
  <c r="AM14" i="22"/>
  <c r="AM18" i="22" s="1"/>
  <c r="AM19" i="22" l="1"/>
  <c r="AM47" i="22"/>
  <c r="AK47" i="24"/>
  <c r="AK19" i="24"/>
  <c r="AL19" i="11"/>
  <c r="AL47" i="11"/>
  <c r="AL9" i="24"/>
  <c r="AL47" i="14"/>
  <c r="AL19" i="14"/>
  <c r="AJ47" i="8"/>
  <c r="AJ19" i="8"/>
  <c r="AK47" i="2"/>
  <c r="AK19" i="2"/>
  <c r="AM47" i="16"/>
  <c r="AM19" i="16"/>
  <c r="AO9" i="5"/>
  <c r="AL47" i="1"/>
  <c r="AL19" i="1"/>
  <c r="AN23" i="17"/>
  <c r="AN25" i="17" s="1"/>
  <c r="AN47" i="23"/>
  <c r="AN19" i="23"/>
  <c r="AN47" i="5"/>
  <c r="AN19" i="5"/>
  <c r="AK23" i="18"/>
  <c r="AK25" i="18" s="1"/>
  <c r="AK14" i="18"/>
  <c r="AK18" i="18" s="1"/>
  <c r="AN23" i="5"/>
  <c r="AN25" i="5" s="1"/>
  <c r="AL9" i="9"/>
  <c r="AK14" i="9"/>
  <c r="AK18" i="9" s="1"/>
  <c r="AR9" i="4"/>
  <c r="AL47" i="10"/>
  <c r="AL19" i="10"/>
  <c r="AK19" i="21"/>
  <c r="AK47" i="21"/>
  <c r="AN9" i="1"/>
  <c r="AM14" i="1"/>
  <c r="AM18" i="1" s="1"/>
  <c r="AO9" i="17"/>
  <c r="AP9" i="23"/>
  <c r="AO14" i="23"/>
  <c r="AO18" i="23" s="1"/>
  <c r="AJ23" i="12"/>
  <c r="AJ25" i="12" s="1"/>
  <c r="AK9" i="12"/>
  <c r="AJ14" i="12"/>
  <c r="AJ18" i="12" s="1"/>
  <c r="AN14" i="7"/>
  <c r="AN18" i="7" s="1"/>
  <c r="AJ14" i="19"/>
  <c r="AJ18" i="19" s="1"/>
  <c r="AM23" i="20"/>
  <c r="AM25" i="20" s="1"/>
  <c r="AM14" i="20"/>
  <c r="AM18" i="20" s="1"/>
  <c r="AM9" i="6"/>
  <c r="AL23" i="6"/>
  <c r="AL25" i="6" s="1"/>
  <c r="AL14" i="6"/>
  <c r="AL18" i="6" s="1"/>
  <c r="AN19" i="17"/>
  <c r="AN47" i="17"/>
  <c r="AN9" i="22"/>
  <c r="AM23" i="22"/>
  <c r="AM25" i="22" s="1"/>
  <c r="AI19" i="12"/>
  <c r="AI47" i="12"/>
  <c r="AM9" i="11"/>
  <c r="AK23" i="24"/>
  <c r="AK25" i="24" s="1"/>
  <c r="AL23" i="14"/>
  <c r="AL25" i="14" s="1"/>
  <c r="AM47" i="7"/>
  <c r="AM19" i="7"/>
  <c r="AK9" i="8"/>
  <c r="AL9" i="2"/>
  <c r="AN9" i="16"/>
  <c r="AQ23" i="15"/>
  <c r="AQ25" i="15" s="1"/>
  <c r="AR9" i="15"/>
  <c r="AQ14" i="15"/>
  <c r="AQ18" i="15" s="1"/>
  <c r="AQ19" i="15" s="1"/>
  <c r="AI23" i="12"/>
  <c r="AI25" i="12" s="1"/>
  <c r="AL23" i="11"/>
  <c r="AL25" i="11" s="1"/>
  <c r="AM9" i="14"/>
  <c r="AM23" i="7"/>
  <c r="AM25" i="7" s="1"/>
  <c r="AJ23" i="8"/>
  <c r="AJ25" i="8" s="1"/>
  <c r="AK23" i="2"/>
  <c r="AK25" i="2" s="1"/>
  <c r="AM23" i="16"/>
  <c r="AM25" i="16" s="1"/>
  <c r="AK14" i="13"/>
  <c r="AK18" i="13" s="1"/>
  <c r="AL19" i="20"/>
  <c r="AL47" i="20"/>
  <c r="AM23" i="3"/>
  <c r="AM25" i="3" s="1"/>
  <c r="AM14" i="3"/>
  <c r="AM18" i="3" s="1"/>
  <c r="AQ23" i="4"/>
  <c r="AQ25" i="4" s="1"/>
  <c r="AM9" i="10"/>
  <c r="AK47" i="6"/>
  <c r="AK19" i="6"/>
  <c r="AL9" i="21"/>
  <c r="AL23" i="1"/>
  <c r="AL25" i="1" s="1"/>
  <c r="AN23" i="23"/>
  <c r="AN25" i="23" s="1"/>
  <c r="AN9" i="11" l="1"/>
  <c r="AM14" i="11"/>
  <c r="AM18" i="11" s="1"/>
  <c r="AP9" i="5"/>
  <c r="AO14" i="5"/>
  <c r="AO18" i="5" s="1"/>
  <c r="AN23" i="16"/>
  <c r="AN25" i="16" s="1"/>
  <c r="AO9" i="16"/>
  <c r="AN14" i="16"/>
  <c r="AN18" i="16" s="1"/>
  <c r="AM14" i="6"/>
  <c r="AM18" i="6" s="1"/>
  <c r="AJ19" i="19"/>
  <c r="AJ47" i="19"/>
  <c r="AN23" i="7"/>
  <c r="AN25" i="7" s="1"/>
  <c r="AP9" i="17"/>
  <c r="AO14" i="17"/>
  <c r="AO18" i="17" s="1"/>
  <c r="AR14" i="4"/>
  <c r="AR18" i="4" s="1"/>
  <c r="AR19" i="4" s="1"/>
  <c r="AL14" i="24"/>
  <c r="AL18" i="24" s="1"/>
  <c r="AK47" i="13"/>
  <c r="AK19" i="13"/>
  <c r="AN14" i="22"/>
  <c r="AN18" i="22" s="1"/>
  <c r="AN19" i="7"/>
  <c r="AN47" i="7"/>
  <c r="AK23" i="12"/>
  <c r="AK25" i="12" s="1"/>
  <c r="AL9" i="12"/>
  <c r="AK14" i="12"/>
  <c r="AK18" i="12" s="1"/>
  <c r="AP14" i="23"/>
  <c r="AP18" i="23" s="1"/>
  <c r="AN14" i="1"/>
  <c r="AN18" i="1" s="1"/>
  <c r="AL23" i="9"/>
  <c r="AL25" i="9" s="1"/>
  <c r="AL14" i="9"/>
  <c r="AL18" i="9" s="1"/>
  <c r="AM23" i="10"/>
  <c r="AM25" i="10" s="1"/>
  <c r="AN9" i="10"/>
  <c r="AM14" i="10"/>
  <c r="AM18" i="10" s="1"/>
  <c r="AN9" i="3"/>
  <c r="AK23" i="13"/>
  <c r="AK25" i="13" s="1"/>
  <c r="AL23" i="21"/>
  <c r="AL25" i="21" s="1"/>
  <c r="AL14" i="21"/>
  <c r="AL18" i="21" s="1"/>
  <c r="AL9" i="13"/>
  <c r="AL25" i="2"/>
  <c r="AL14" i="2"/>
  <c r="AL18" i="2" s="1"/>
  <c r="AM47" i="20"/>
  <c r="AM19" i="20"/>
  <c r="AK9" i="19"/>
  <c r="AO9" i="7"/>
  <c r="AO47" i="23"/>
  <c r="AO19" i="23"/>
  <c r="AM47" i="1"/>
  <c r="AM19" i="1"/>
  <c r="AK19" i="9"/>
  <c r="AK47" i="9"/>
  <c r="AM47" i="3"/>
  <c r="AM19" i="3"/>
  <c r="AN9" i="14"/>
  <c r="AM23" i="14"/>
  <c r="AM25" i="14" s="1"/>
  <c r="AM14" i="14"/>
  <c r="AM18" i="14" s="1"/>
  <c r="AR14" i="15"/>
  <c r="AR18" i="15" s="1"/>
  <c r="AR19" i="15" s="1"/>
  <c r="AK23" i="8"/>
  <c r="AK25" i="8" s="1"/>
  <c r="AK14" i="8"/>
  <c r="AK18" i="8" s="1"/>
  <c r="AL47" i="6"/>
  <c r="AL19" i="6"/>
  <c r="AN9" i="20"/>
  <c r="AJ23" i="19"/>
  <c r="AJ25" i="19" s="1"/>
  <c r="AJ19" i="12"/>
  <c r="AJ47" i="12"/>
  <c r="AO23" i="23"/>
  <c r="AO25" i="23" s="1"/>
  <c r="AM23" i="1"/>
  <c r="AM25" i="1" s="1"/>
  <c r="AK23" i="9"/>
  <c r="AK25" i="9" s="1"/>
  <c r="AL9" i="18"/>
  <c r="AN19" i="22" l="1"/>
  <c r="AN47" i="22"/>
  <c r="AQ9" i="17"/>
  <c r="AP14" i="17"/>
  <c r="AP18" i="17" s="1"/>
  <c r="AM19" i="6"/>
  <c r="AM47" i="6"/>
  <c r="AO23" i="16"/>
  <c r="AO25" i="16" s="1"/>
  <c r="AP9" i="16"/>
  <c r="AO14" i="16"/>
  <c r="AO18" i="16" s="1"/>
  <c r="AO9" i="14"/>
  <c r="AN14" i="14"/>
  <c r="AN18" i="14" s="1"/>
  <c r="AL14" i="13"/>
  <c r="AL18" i="13" s="1"/>
  <c r="AN19" i="1"/>
  <c r="AN47" i="1"/>
  <c r="AQ9" i="23"/>
  <c r="AO9" i="22"/>
  <c r="AL19" i="24"/>
  <c r="AL47" i="24"/>
  <c r="AR23" i="4"/>
  <c r="AR25" i="4" s="1"/>
  <c r="AM23" i="6"/>
  <c r="AM25" i="6" s="1"/>
  <c r="AM47" i="11"/>
  <c r="AM19" i="11"/>
  <c r="AL23" i="18"/>
  <c r="AL25" i="18" s="1"/>
  <c r="AM9" i="18"/>
  <c r="AL14" i="18"/>
  <c r="AL18" i="18" s="1"/>
  <c r="AN14" i="10"/>
  <c r="AN18" i="10" s="1"/>
  <c r="AP19" i="23"/>
  <c r="AP47" i="23"/>
  <c r="AQ9" i="5"/>
  <c r="AP23" i="5"/>
  <c r="AP25" i="5" s="1"/>
  <c r="AP14" i="5"/>
  <c r="AP18" i="5" s="1"/>
  <c r="AK47" i="8"/>
  <c r="AK19" i="8"/>
  <c r="AR23" i="15"/>
  <c r="AR25" i="15" s="1"/>
  <c r="AO14" i="7"/>
  <c r="AO18" i="7" s="1"/>
  <c r="AL47" i="2"/>
  <c r="AL19" i="2"/>
  <c r="AL47" i="21"/>
  <c r="AL19" i="21"/>
  <c r="AO9" i="3"/>
  <c r="AN23" i="3"/>
  <c r="AN25" i="3" s="1"/>
  <c r="AN14" i="3"/>
  <c r="AN18" i="3" s="1"/>
  <c r="AL19" i="9"/>
  <c r="AL47" i="9"/>
  <c r="AN23" i="1"/>
  <c r="AN25" i="1" s="1"/>
  <c r="AP23" i="23"/>
  <c r="AP25" i="23" s="1"/>
  <c r="AN23" i="22"/>
  <c r="AN25" i="22" s="1"/>
  <c r="AM9" i="24"/>
  <c r="AO19" i="17"/>
  <c r="AO47" i="17"/>
  <c r="AN9" i="6"/>
  <c r="AO47" i="5"/>
  <c r="AO19" i="5"/>
  <c r="AN14" i="11"/>
  <c r="AN18" i="11" s="1"/>
  <c r="AL14" i="12"/>
  <c r="AL18" i="12" s="1"/>
  <c r="AO9" i="20"/>
  <c r="AN23" i="20"/>
  <c r="AN25" i="20" s="1"/>
  <c r="AN14" i="20"/>
  <c r="AN18" i="20" s="1"/>
  <c r="AL9" i="8"/>
  <c r="AM47" i="14"/>
  <c r="AM19" i="14"/>
  <c r="AK14" i="19"/>
  <c r="AK18" i="19" s="1"/>
  <c r="AM9" i="2"/>
  <c r="AM9" i="21"/>
  <c r="AM47" i="10"/>
  <c r="AM19" i="10"/>
  <c r="AM9" i="9"/>
  <c r="AO9" i="1"/>
  <c r="AK47" i="12"/>
  <c r="AK19" i="12"/>
  <c r="AL23" i="24"/>
  <c r="AL25" i="24" s="1"/>
  <c r="AO23" i="17"/>
  <c r="AO25" i="17" s="1"/>
  <c r="AN47" i="16"/>
  <c r="AN19" i="16"/>
  <c r="AO23" i="5"/>
  <c r="AO25" i="5" s="1"/>
  <c r="AM23" i="11"/>
  <c r="AM25" i="11" s="1"/>
  <c r="AO19" i="7" l="1"/>
  <c r="AO47" i="7"/>
  <c r="AQ23" i="5"/>
  <c r="AQ25" i="5" s="1"/>
  <c r="AR9" i="5"/>
  <c r="AQ14" i="5"/>
  <c r="AQ18" i="5" s="1"/>
  <c r="AQ19" i="5" s="1"/>
  <c r="AO9" i="10"/>
  <c r="AQ23" i="23"/>
  <c r="AQ25" i="23" s="1"/>
  <c r="AR9" i="23"/>
  <c r="AQ14" i="23"/>
  <c r="AQ18" i="23" s="1"/>
  <c r="AQ19" i="23" s="1"/>
  <c r="AL23" i="13"/>
  <c r="AL25" i="13" s="1"/>
  <c r="AN23" i="14"/>
  <c r="AN25" i="14" s="1"/>
  <c r="AP23" i="17"/>
  <c r="AP25" i="17" s="1"/>
  <c r="AK19" i="19"/>
  <c r="AK47" i="19"/>
  <c r="AP9" i="20"/>
  <c r="AO23" i="20"/>
  <c r="AO25" i="20" s="1"/>
  <c r="AO14" i="20"/>
  <c r="AO18" i="20" s="1"/>
  <c r="AN47" i="11"/>
  <c r="AN19" i="11"/>
  <c r="AM23" i="24"/>
  <c r="AM25" i="24" s="1"/>
  <c r="AM14" i="24"/>
  <c r="AM18" i="24" s="1"/>
  <c r="AP9" i="3"/>
  <c r="AO23" i="3"/>
  <c r="AO25" i="3" s="1"/>
  <c r="AO14" i="3"/>
  <c r="AO18" i="3" s="1"/>
  <c r="AQ14" i="17"/>
  <c r="AQ18" i="17" s="1"/>
  <c r="AQ19" i="17" s="1"/>
  <c r="AL9" i="19"/>
  <c r="AL14" i="8"/>
  <c r="AL18" i="8" s="1"/>
  <c r="AL47" i="12"/>
  <c r="AL19" i="12"/>
  <c r="AN23" i="11"/>
  <c r="AN25" i="11" s="1"/>
  <c r="AN23" i="6"/>
  <c r="AN25" i="6" s="1"/>
  <c r="AN14" i="6"/>
  <c r="AN18" i="6" s="1"/>
  <c r="AO23" i="1"/>
  <c r="AO25" i="1" s="1"/>
  <c r="AP9" i="1"/>
  <c r="AO14" i="1"/>
  <c r="AO18" i="1" s="1"/>
  <c r="AM14" i="21"/>
  <c r="AM18" i="21" s="1"/>
  <c r="AK23" i="19"/>
  <c r="AK25" i="19" s="1"/>
  <c r="AN47" i="20"/>
  <c r="AN19" i="20"/>
  <c r="AL23" i="12"/>
  <c r="AL25" i="12" s="1"/>
  <c r="AO9" i="11"/>
  <c r="AN19" i="3"/>
  <c r="AN47" i="3"/>
  <c r="AP9" i="7"/>
  <c r="AN23" i="10"/>
  <c r="AN25" i="10" s="1"/>
  <c r="AM9" i="13"/>
  <c r="AO19" i="16"/>
  <c r="AO47" i="16"/>
  <c r="AN19" i="10"/>
  <c r="AN47" i="10"/>
  <c r="AM23" i="18"/>
  <c r="AM25" i="18" s="1"/>
  <c r="AN9" i="18"/>
  <c r="AM14" i="18"/>
  <c r="AM18" i="18" s="1"/>
  <c r="AO14" i="22"/>
  <c r="AO18" i="22" s="1"/>
  <c r="AL19" i="13"/>
  <c r="AL47" i="13"/>
  <c r="AO23" i="14"/>
  <c r="AO25" i="14" s="1"/>
  <c r="AP9" i="14"/>
  <c r="AO14" i="14"/>
  <c r="AO18" i="14" s="1"/>
  <c r="AM14" i="9"/>
  <c r="AM18" i="9" s="1"/>
  <c r="AM14" i="2"/>
  <c r="AM18" i="2" s="1"/>
  <c r="AM9" i="12"/>
  <c r="AO23" i="7"/>
  <c r="AO25" i="7" s="1"/>
  <c r="AP19" i="5"/>
  <c r="AP47" i="5"/>
  <c r="AL19" i="18"/>
  <c r="AL47" i="18"/>
  <c r="AN19" i="14"/>
  <c r="AN47" i="14"/>
  <c r="AP23" i="16"/>
  <c r="AP25" i="16" s="1"/>
  <c r="AQ9" i="16"/>
  <c r="AP14" i="16"/>
  <c r="AP18" i="16" s="1"/>
  <c r="AP19" i="17"/>
  <c r="AP47" i="17"/>
  <c r="AP14" i="14" l="1"/>
  <c r="AP18" i="14" s="1"/>
  <c r="AO47" i="22"/>
  <c r="AO19" i="22"/>
  <c r="AM14" i="12"/>
  <c r="AM18" i="12" s="1"/>
  <c r="AM47" i="9"/>
  <c r="AM19" i="9"/>
  <c r="AN23" i="18"/>
  <c r="AN25" i="18" s="1"/>
  <c r="AO9" i="18"/>
  <c r="AN14" i="18"/>
  <c r="AN18" i="18" s="1"/>
  <c r="AP14" i="7"/>
  <c r="AP18" i="7" s="1"/>
  <c r="AL47" i="8"/>
  <c r="AL19" i="8"/>
  <c r="AP9" i="22"/>
  <c r="AN9" i="21"/>
  <c r="AP19" i="16"/>
  <c r="AP47" i="16"/>
  <c r="AN9" i="2"/>
  <c r="AM23" i="9"/>
  <c r="AM25" i="9" s="1"/>
  <c r="AO23" i="22"/>
  <c r="AO25" i="22" s="1"/>
  <c r="AM14" i="13"/>
  <c r="AM18" i="13" s="1"/>
  <c r="AM23" i="21"/>
  <c r="AM25" i="21" s="1"/>
  <c r="AN19" i="6"/>
  <c r="AN47" i="6"/>
  <c r="AL23" i="8"/>
  <c r="AL25" i="8" s="1"/>
  <c r="AQ23" i="17"/>
  <c r="AQ25" i="17" s="1"/>
  <c r="AM47" i="24"/>
  <c r="AM19" i="24"/>
  <c r="AO23" i="10"/>
  <c r="AO25" i="10" s="1"/>
  <c r="AP9" i="10"/>
  <c r="AO14" i="10"/>
  <c r="AO18" i="10" s="1"/>
  <c r="AM47" i="21"/>
  <c r="AM19" i="21"/>
  <c r="AP23" i="1"/>
  <c r="AP25" i="1" s="1"/>
  <c r="AP14" i="1"/>
  <c r="AP18" i="1" s="1"/>
  <c r="AR23" i="23"/>
  <c r="AR25" i="23" s="1"/>
  <c r="AR14" i="23"/>
  <c r="AR18" i="23" s="1"/>
  <c r="AR19" i="23" s="1"/>
  <c r="AR14" i="5"/>
  <c r="AR18" i="5" s="1"/>
  <c r="AR19" i="5" s="1"/>
  <c r="AM47" i="2"/>
  <c r="AM19" i="2"/>
  <c r="AN9" i="9"/>
  <c r="AM9" i="8"/>
  <c r="AR9" i="17"/>
  <c r="AP23" i="3"/>
  <c r="AP25" i="3" s="1"/>
  <c r="AP14" i="3"/>
  <c r="AP18" i="3" s="1"/>
  <c r="AP23" i="20"/>
  <c r="AP25" i="20" s="1"/>
  <c r="AQ9" i="20"/>
  <c r="AP14" i="20"/>
  <c r="AP18" i="20" s="1"/>
  <c r="AR9" i="16"/>
  <c r="AQ14" i="16"/>
  <c r="AQ18" i="16" s="1"/>
  <c r="AQ19" i="16" s="1"/>
  <c r="AM23" i="2"/>
  <c r="AM25" i="2" s="1"/>
  <c r="AO47" i="14"/>
  <c r="AO19" i="14"/>
  <c r="AM19" i="18"/>
  <c r="AM47" i="18"/>
  <c r="AO23" i="11"/>
  <c r="AO25" i="11" s="1"/>
  <c r="AO14" i="11"/>
  <c r="AO18" i="11" s="1"/>
  <c r="AO19" i="1"/>
  <c r="AO47" i="1"/>
  <c r="AO9" i="6"/>
  <c r="AL23" i="19"/>
  <c r="AL25" i="19" s="1"/>
  <c r="AL14" i="19"/>
  <c r="AL18" i="19" s="1"/>
  <c r="AO19" i="3"/>
  <c r="AO47" i="3"/>
  <c r="AN9" i="24"/>
  <c r="AO19" i="20"/>
  <c r="AO47" i="20"/>
  <c r="AO14" i="6" l="1"/>
  <c r="AO18" i="6" s="1"/>
  <c r="AR23" i="16"/>
  <c r="AR25" i="16" s="1"/>
  <c r="AR14" i="16"/>
  <c r="AR18" i="16" s="1"/>
  <c r="AR19" i="16" s="1"/>
  <c r="AR14" i="17"/>
  <c r="AR18" i="17" s="1"/>
  <c r="AR19" i="17" s="1"/>
  <c r="AM47" i="13"/>
  <c r="AM19" i="13"/>
  <c r="AN14" i="21"/>
  <c r="AN18" i="21" s="1"/>
  <c r="AP47" i="7"/>
  <c r="AP19" i="7"/>
  <c r="AO23" i="18"/>
  <c r="AO25" i="18" s="1"/>
  <c r="AP9" i="18"/>
  <c r="AO14" i="18"/>
  <c r="AO18" i="18" s="1"/>
  <c r="AM19" i="12"/>
  <c r="AM47" i="12"/>
  <c r="AL19" i="19"/>
  <c r="AL47" i="19"/>
  <c r="AP9" i="11"/>
  <c r="AQ23" i="16"/>
  <c r="AQ25" i="16" s="1"/>
  <c r="AP47" i="3"/>
  <c r="AP19" i="3"/>
  <c r="AM14" i="8"/>
  <c r="AM18" i="8" s="1"/>
  <c r="AP47" i="1"/>
  <c r="AP19" i="1"/>
  <c r="AN9" i="13"/>
  <c r="AN23" i="2"/>
  <c r="AN25" i="2" s="1"/>
  <c r="AN14" i="2"/>
  <c r="AN18" i="2" s="1"/>
  <c r="AQ9" i="22"/>
  <c r="AP23" i="22"/>
  <c r="AP25" i="22" s="1"/>
  <c r="AP14" i="22"/>
  <c r="AP18" i="22" s="1"/>
  <c r="AQ9" i="7"/>
  <c r="AN9" i="12"/>
  <c r="AP47" i="14"/>
  <c r="AP19" i="14"/>
  <c r="AN14" i="24"/>
  <c r="AN18" i="24" s="1"/>
  <c r="AM9" i="19"/>
  <c r="AP19" i="20"/>
  <c r="AP47" i="20"/>
  <c r="AQ9" i="3"/>
  <c r="AN14" i="9"/>
  <c r="AN18" i="9" s="1"/>
  <c r="AR23" i="5"/>
  <c r="AR25" i="5" s="1"/>
  <c r="AQ9" i="1"/>
  <c r="AO47" i="10"/>
  <c r="AO19" i="10"/>
  <c r="AM23" i="13"/>
  <c r="AM25" i="13" s="1"/>
  <c r="AP23" i="7"/>
  <c r="AP25" i="7" s="1"/>
  <c r="AM23" i="12"/>
  <c r="AM25" i="12" s="1"/>
  <c r="AP23" i="14"/>
  <c r="AP25" i="14" s="1"/>
  <c r="AO19" i="11"/>
  <c r="AO47" i="11"/>
  <c r="AQ14" i="20"/>
  <c r="AQ18" i="20" s="1"/>
  <c r="AQ19" i="20" s="1"/>
  <c r="AP14" i="10"/>
  <c r="AP18" i="10" s="1"/>
  <c r="AN19" i="18"/>
  <c r="AN47" i="18"/>
  <c r="AQ9" i="14"/>
  <c r="AR9" i="3" l="1"/>
  <c r="AQ14" i="3"/>
  <c r="AQ18" i="3" s="1"/>
  <c r="AQ19" i="3" s="1"/>
  <c r="AN19" i="24"/>
  <c r="AN47" i="24"/>
  <c r="AP47" i="10"/>
  <c r="AP19" i="10"/>
  <c r="AR9" i="20"/>
  <c r="AO9" i="12"/>
  <c r="AN14" i="12"/>
  <c r="AN18" i="12" s="1"/>
  <c r="AQ9" i="18"/>
  <c r="AP14" i="18"/>
  <c r="AP18" i="18" s="1"/>
  <c r="AN47" i="21"/>
  <c r="AN19" i="21"/>
  <c r="AN23" i="9"/>
  <c r="AN25" i="9" s="1"/>
  <c r="AO9" i="24"/>
  <c r="AR9" i="7"/>
  <c r="AQ14" i="7"/>
  <c r="AQ18" i="7" s="1"/>
  <c r="AQ19" i="7" s="1"/>
  <c r="AN47" i="2"/>
  <c r="AN19" i="2"/>
  <c r="AM23" i="8"/>
  <c r="AM25" i="8" s="1"/>
  <c r="AP23" i="11"/>
  <c r="AP25" i="11" s="1"/>
  <c r="AQ9" i="11"/>
  <c r="AP14" i="11"/>
  <c r="AP18" i="11" s="1"/>
  <c r="AO9" i="21"/>
  <c r="AR23" i="17"/>
  <c r="AR25" i="17" s="1"/>
  <c r="AP9" i="6"/>
  <c r="AM47" i="8"/>
  <c r="AM19" i="8"/>
  <c r="AN47" i="9"/>
  <c r="AN19" i="9"/>
  <c r="AN23" i="24"/>
  <c r="AN25" i="24" s="1"/>
  <c r="AQ23" i="22"/>
  <c r="AQ25" i="22" s="1"/>
  <c r="AR9" i="22"/>
  <c r="AQ14" i="22"/>
  <c r="AQ18" i="22" s="1"/>
  <c r="AQ19" i="22" s="1"/>
  <c r="AN23" i="13"/>
  <c r="AN25" i="13" s="1"/>
  <c r="AN14" i="13"/>
  <c r="AN18" i="13" s="1"/>
  <c r="AN9" i="8"/>
  <c r="AN23" i="21"/>
  <c r="AN25" i="21" s="1"/>
  <c r="AO47" i="6"/>
  <c r="AO19" i="6"/>
  <c r="AQ14" i="14"/>
  <c r="AQ18" i="14" s="1"/>
  <c r="AQ19" i="14" s="1"/>
  <c r="AQ9" i="10"/>
  <c r="AQ23" i="20"/>
  <c r="AQ25" i="20" s="1"/>
  <c r="AP23" i="10"/>
  <c r="AP25" i="10" s="1"/>
  <c r="AQ23" i="1"/>
  <c r="AQ25" i="1" s="1"/>
  <c r="AR9" i="1"/>
  <c r="AQ14" i="1"/>
  <c r="AQ18" i="1" s="1"/>
  <c r="AQ19" i="1" s="1"/>
  <c r="AO9" i="9"/>
  <c r="AM23" i="19"/>
  <c r="AM25" i="19" s="1"/>
  <c r="AN9" i="19"/>
  <c r="AM14" i="19"/>
  <c r="AM18" i="19" s="1"/>
  <c r="AP47" i="22"/>
  <c r="AP19" i="22"/>
  <c r="AO9" i="2"/>
  <c r="AO47" i="18"/>
  <c r="AO19" i="18"/>
  <c r="AO23" i="6"/>
  <c r="AO25" i="6" s="1"/>
  <c r="AO9" i="13" l="1"/>
  <c r="AP19" i="11"/>
  <c r="AP47" i="11"/>
  <c r="AQ23" i="7"/>
  <c r="AQ25" i="7" s="1"/>
  <c r="AN19" i="12"/>
  <c r="AN47" i="12"/>
  <c r="AP9" i="21"/>
  <c r="AO14" i="21"/>
  <c r="AO18" i="21" s="1"/>
  <c r="AR14" i="7"/>
  <c r="AR18" i="7" s="1"/>
  <c r="AR19" i="7" s="1"/>
  <c r="AR23" i="20"/>
  <c r="AR25" i="20" s="1"/>
  <c r="AR14" i="20"/>
  <c r="AR18" i="20" s="1"/>
  <c r="AR19" i="20" s="1"/>
  <c r="AO14" i="9"/>
  <c r="AO18" i="9" s="1"/>
  <c r="AR9" i="14"/>
  <c r="AM47" i="19"/>
  <c r="AM19" i="19"/>
  <c r="AQ23" i="14"/>
  <c r="AQ25" i="14" s="1"/>
  <c r="AN23" i="8"/>
  <c r="AN25" i="8" s="1"/>
  <c r="AN14" i="8"/>
  <c r="AN18" i="8" s="1"/>
  <c r="AQ9" i="6"/>
  <c r="AP23" i="6"/>
  <c r="AP25" i="6" s="1"/>
  <c r="AP14" i="6"/>
  <c r="AP18" i="6" s="1"/>
  <c r="AR9" i="11"/>
  <c r="AQ14" i="11"/>
  <c r="AQ18" i="11" s="1"/>
  <c r="AQ19" i="11" s="1"/>
  <c r="AO14" i="24"/>
  <c r="AO18" i="24" s="1"/>
  <c r="AP19" i="18"/>
  <c r="AP47" i="18"/>
  <c r="AP9" i="12"/>
  <c r="AO14" i="12"/>
  <c r="AO18" i="12" s="1"/>
  <c r="AR14" i="3"/>
  <c r="AR18" i="3" s="1"/>
  <c r="AR19" i="3" s="1"/>
  <c r="AQ23" i="18"/>
  <c r="AQ25" i="18" s="1"/>
  <c r="AR9" i="18"/>
  <c r="AQ14" i="18"/>
  <c r="AQ18" i="18" s="1"/>
  <c r="AQ19" i="18" s="1"/>
  <c r="AP9" i="2"/>
  <c r="AO14" i="2"/>
  <c r="AO18" i="2" s="1"/>
  <c r="AN14" i="19"/>
  <c r="AN18" i="19" s="1"/>
  <c r="AR23" i="1"/>
  <c r="AR25" i="1" s="1"/>
  <c r="AR14" i="1"/>
  <c r="AR18" i="1" s="1"/>
  <c r="AR19" i="1" s="1"/>
  <c r="AR9" i="10"/>
  <c r="AQ14" i="10"/>
  <c r="AQ18" i="10" s="1"/>
  <c r="AQ19" i="10" s="1"/>
  <c r="AN47" i="13"/>
  <c r="AN19" i="13"/>
  <c r="AR23" i="22"/>
  <c r="AR25" i="22" s="1"/>
  <c r="AR14" i="22"/>
  <c r="AR18" i="22" s="1"/>
  <c r="AR19" i="22" s="1"/>
  <c r="AP23" i="18"/>
  <c r="AP25" i="18" s="1"/>
  <c r="AN23" i="12"/>
  <c r="AN25" i="12" s="1"/>
  <c r="AQ23" i="3"/>
  <c r="AQ25" i="3" s="1"/>
  <c r="AN19" i="19" l="1"/>
  <c r="AN47" i="19"/>
  <c r="AQ9" i="21"/>
  <c r="AP14" i="21"/>
  <c r="AP18" i="21" s="1"/>
  <c r="AQ23" i="10"/>
  <c r="AQ25" i="10" s="1"/>
  <c r="AO9" i="19"/>
  <c r="AO23" i="2"/>
  <c r="AO25" i="2" s="1"/>
  <c r="AO23" i="12"/>
  <c r="AO25" i="12" s="1"/>
  <c r="AP9" i="24"/>
  <c r="AQ23" i="11"/>
  <c r="AQ25" i="11" s="1"/>
  <c r="AN47" i="8"/>
  <c r="AN19" i="8"/>
  <c r="AO23" i="9"/>
  <c r="AO25" i="9" s="1"/>
  <c r="AO23" i="21"/>
  <c r="AO25" i="21" s="1"/>
  <c r="AR23" i="10"/>
  <c r="AR25" i="10" s="1"/>
  <c r="AR14" i="10"/>
  <c r="AR18" i="10" s="1"/>
  <c r="AR19" i="10" s="1"/>
  <c r="AP14" i="2"/>
  <c r="AP18" i="2" s="1"/>
  <c r="AO19" i="9"/>
  <c r="AO47" i="9"/>
  <c r="AN23" i="19"/>
  <c r="AN25" i="19" s="1"/>
  <c r="AR23" i="3"/>
  <c r="AR25" i="3" s="1"/>
  <c r="AO23" i="24"/>
  <c r="AO25" i="24" s="1"/>
  <c r="AP47" i="6"/>
  <c r="AP19" i="6"/>
  <c r="AO9" i="8"/>
  <c r="AP9" i="9"/>
  <c r="AR23" i="7"/>
  <c r="AR25" i="7" s="1"/>
  <c r="AQ9" i="12"/>
  <c r="AP14" i="12"/>
  <c r="AP18" i="12" s="1"/>
  <c r="AO47" i="24"/>
  <c r="AO19" i="24"/>
  <c r="AR23" i="11"/>
  <c r="AR25" i="11" s="1"/>
  <c r="AR14" i="11"/>
  <c r="AR18" i="11" s="1"/>
  <c r="AR19" i="11" s="1"/>
  <c r="AQ14" i="6"/>
  <c r="AQ18" i="6" s="1"/>
  <c r="AQ19" i="6" s="1"/>
  <c r="AO47" i="2"/>
  <c r="AO19" i="2"/>
  <c r="AR14" i="18"/>
  <c r="AR18" i="18" s="1"/>
  <c r="AR19" i="18" s="1"/>
  <c r="AO47" i="12"/>
  <c r="AO19" i="12"/>
  <c r="AR14" i="14"/>
  <c r="AR18" i="14" s="1"/>
  <c r="AR19" i="14" s="1"/>
  <c r="AO19" i="21"/>
  <c r="AO47" i="21"/>
  <c r="AO23" i="13"/>
  <c r="AO25" i="13" s="1"/>
  <c r="AO14" i="13"/>
  <c r="AO18" i="13" s="1"/>
  <c r="AR9" i="21" l="1"/>
  <c r="AQ14" i="21"/>
  <c r="AQ18" i="21" s="1"/>
  <c r="AQ19" i="21" s="1"/>
  <c r="AP9" i="13"/>
  <c r="AR23" i="14"/>
  <c r="AR25" i="14" s="1"/>
  <c r="AR23" i="18"/>
  <c r="AR25" i="18" s="1"/>
  <c r="AR9" i="6"/>
  <c r="AP23" i="12"/>
  <c r="AP25" i="12" s="1"/>
  <c r="AQ9" i="2"/>
  <c r="AO23" i="19"/>
  <c r="AO25" i="19" s="1"/>
  <c r="AO14" i="19"/>
  <c r="AO18" i="19" s="1"/>
  <c r="AP23" i="21"/>
  <c r="AP25" i="21" s="1"/>
  <c r="AQ23" i="12"/>
  <c r="AQ25" i="12" s="1"/>
  <c r="AQ14" i="12"/>
  <c r="AQ18" i="12" s="1"/>
  <c r="AQ19" i="12" s="1"/>
  <c r="AP9" i="8"/>
  <c r="AO23" i="8"/>
  <c r="AO25" i="8" s="1"/>
  <c r="AO14" i="8"/>
  <c r="AO18" i="8" s="1"/>
  <c r="AQ23" i="6"/>
  <c r="AQ25" i="6" s="1"/>
  <c r="AP23" i="2"/>
  <c r="AP25" i="2" s="1"/>
  <c r="AQ9" i="24"/>
  <c r="AP14" i="24"/>
  <c r="AP18" i="24" s="1"/>
  <c r="AP47" i="2"/>
  <c r="AP19" i="2"/>
  <c r="AO47" i="13"/>
  <c r="AO19" i="13"/>
  <c r="AP47" i="12"/>
  <c r="AP19" i="12"/>
  <c r="AP14" i="9"/>
  <c r="AP18" i="9" s="1"/>
  <c r="AP47" i="21"/>
  <c r="AP19" i="21"/>
  <c r="AQ9" i="8" l="1"/>
  <c r="AP14" i="8"/>
  <c r="AP18" i="8" s="1"/>
  <c r="AQ9" i="9"/>
  <c r="AP19" i="24"/>
  <c r="AP47" i="24"/>
  <c r="AQ9" i="13"/>
  <c r="AP23" i="13"/>
  <c r="AP25" i="13" s="1"/>
  <c r="AP14" i="13"/>
  <c r="AP18" i="13" s="1"/>
  <c r="AQ14" i="24"/>
  <c r="AQ18" i="24" s="1"/>
  <c r="AQ19" i="24" s="1"/>
  <c r="AR14" i="21"/>
  <c r="AR18" i="21" s="1"/>
  <c r="AR19" i="21" s="1"/>
  <c r="AP19" i="9"/>
  <c r="AP47" i="9"/>
  <c r="AO19" i="19"/>
  <c r="AO47" i="19"/>
  <c r="AP23" i="9"/>
  <c r="AP25" i="9" s="1"/>
  <c r="AP23" i="24"/>
  <c r="AP25" i="24" s="1"/>
  <c r="AO47" i="8"/>
  <c r="AO19" i="8"/>
  <c r="AR9" i="12"/>
  <c r="AP9" i="19"/>
  <c r="AR14" i="6"/>
  <c r="AR18" i="6" s="1"/>
  <c r="AR19" i="6" s="1"/>
  <c r="AQ23" i="2"/>
  <c r="AQ25" i="2" s="1"/>
  <c r="AR9" i="2"/>
  <c r="AQ14" i="2"/>
  <c r="AQ18" i="2" s="1"/>
  <c r="AQ19" i="2" s="1"/>
  <c r="AQ23" i="21"/>
  <c r="AQ25" i="21" s="1"/>
  <c r="AQ14" i="9" l="1"/>
  <c r="AQ18" i="9" s="1"/>
  <c r="AQ19" i="9" s="1"/>
  <c r="AR23" i="12"/>
  <c r="AR25" i="12" s="1"/>
  <c r="AR14" i="12"/>
  <c r="AR18" i="12" s="1"/>
  <c r="AR19" i="12" s="1"/>
  <c r="AR9" i="24"/>
  <c r="AR9" i="13"/>
  <c r="AQ14" i="13"/>
  <c r="AQ18" i="13" s="1"/>
  <c r="AQ19" i="13" s="1"/>
  <c r="AP19" i="8"/>
  <c r="AP47" i="8"/>
  <c r="AR23" i="2"/>
  <c r="AR25" i="2" s="1"/>
  <c r="AR14" i="2"/>
  <c r="AR18" i="2" s="1"/>
  <c r="AR19" i="2" s="1"/>
  <c r="AP14" i="19"/>
  <c r="AP18" i="19" s="1"/>
  <c r="AQ23" i="24"/>
  <c r="AQ25" i="24" s="1"/>
  <c r="AQ14" i="8"/>
  <c r="AQ18" i="8" s="1"/>
  <c r="AQ19" i="8" s="1"/>
  <c r="AR23" i="6"/>
  <c r="AR25" i="6" s="1"/>
  <c r="AR23" i="21"/>
  <c r="AR25" i="21" s="1"/>
  <c r="AP19" i="13"/>
  <c r="AP47" i="13"/>
  <c r="AP23" i="8"/>
  <c r="AP25" i="8" s="1"/>
  <c r="AR9" i="8" l="1"/>
  <c r="AQ9" i="19"/>
  <c r="AQ23" i="13"/>
  <c r="AQ25" i="13" s="1"/>
  <c r="AP19" i="19"/>
  <c r="AP47" i="19"/>
  <c r="AR14" i="13"/>
  <c r="AR18" i="13" s="1"/>
  <c r="AR19" i="13" s="1"/>
  <c r="AQ23" i="8"/>
  <c r="AQ25" i="8" s="1"/>
  <c r="AP23" i="19"/>
  <c r="AP25" i="19" s="1"/>
  <c r="AR14" i="24"/>
  <c r="AR18" i="24" s="1"/>
  <c r="AR19" i="24" s="1"/>
  <c r="AR9" i="9"/>
  <c r="AQ23" i="9"/>
  <c r="AQ25" i="9" s="1"/>
  <c r="AR14" i="9" l="1"/>
  <c r="AR18" i="9" s="1"/>
  <c r="AR19" i="9" s="1"/>
  <c r="AR23" i="24"/>
  <c r="AR25" i="24" s="1"/>
  <c r="AR23" i="13"/>
  <c r="AR25" i="13" s="1"/>
  <c r="AQ14" i="19"/>
  <c r="AQ18" i="19" s="1"/>
  <c r="AQ19" i="19" s="1"/>
  <c r="AR23" i="8"/>
  <c r="AR25" i="8" s="1"/>
  <c r="AR14" i="8"/>
  <c r="AR18" i="8" s="1"/>
  <c r="AR19" i="8" s="1"/>
  <c r="AR9" i="19" l="1"/>
  <c r="AQ23" i="19"/>
  <c r="AQ25" i="19" s="1"/>
  <c r="AR23" i="9"/>
  <c r="AR25" i="9" s="1"/>
  <c r="AR14" i="19" l="1"/>
  <c r="AR18" i="19" s="1"/>
  <c r="AR19" i="19" s="1"/>
  <c r="AR23" i="19" l="1"/>
  <c r="AR25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<sst xmlns="http://schemas.openxmlformats.org/spreadsheetml/2006/main" count="1627" uniqueCount="117">
  <si>
    <t>Ambev S/A ON</t>
  </si>
  <si>
    <t>Depreciação 2010</t>
  </si>
  <si>
    <t>ABEV3</t>
  </si>
  <si>
    <t>Data</t>
  </si>
  <si>
    <t xml:space="preserve"> Patrim Liq
 Em moeda orig
 em milhares
 consolid:sim*</t>
  </si>
  <si>
    <t xml:space="preserve"> Lucro Liquido
 Em moeda orig
 em milhares
 no exercício
 consolid:sim*</t>
  </si>
  <si>
    <t xml:space="preserve"> IntLiq
 Em moeda orig
 em milhares
 consolid:sim*</t>
  </si>
  <si>
    <t xml:space="preserve"> Imobil
 Em moeda orig
 em milhares
 consolid:sim*</t>
  </si>
  <si>
    <t xml:space="preserve"> Investm
 Em moeda orig
 em milhares
 consolid:sim*</t>
  </si>
  <si>
    <t xml:space="preserve"> DivPag
 Em moeda orig
 em milhares
 no exercício
 consolid:sim*</t>
  </si>
  <si>
    <t>Div Yld (fim)
1 anos
Em moeda orig</t>
  </si>
  <si>
    <t>Qtd Ações
Outstanding
da empresa
em milhares</t>
  </si>
  <si>
    <t>PU
ajust p/ prov
Em moeda orig</t>
  </si>
  <si>
    <t>Valor Mercado
da empresa
Em moeda orig
em milhares</t>
  </si>
  <si>
    <t>Ano</t>
  </si>
  <si>
    <t>1995</t>
  </si>
  <si>
    <t>Inflação (IPCA)</t>
  </si>
  <si>
    <t>1996</t>
  </si>
  <si>
    <t>CMB (Efeito Imediato: Ano)</t>
  </si>
  <si>
    <t>1997</t>
  </si>
  <si>
    <t>CM Ativos não Monetários (inicial)</t>
  </si>
  <si>
    <t>1998</t>
  </si>
  <si>
    <t>CM Ativos não Monetários (variação)</t>
  </si>
  <si>
    <t>1999</t>
  </si>
  <si>
    <t>CM PL (inicial)</t>
  </si>
  <si>
    <t>2000</t>
  </si>
  <si>
    <t>CM PL (variação)</t>
  </si>
  <si>
    <t>2001</t>
  </si>
  <si>
    <t>CMB (Efeito Mediato: Futuro)</t>
  </si>
  <si>
    <t>2002</t>
  </si>
  <si>
    <t>Depreciação (Correção)</t>
  </si>
  <si>
    <t>2003</t>
  </si>
  <si>
    <t>Correção da Depreciação</t>
  </si>
  <si>
    <t>2004</t>
  </si>
  <si>
    <t>Saldo Credor/(Devedor)</t>
  </si>
  <si>
    <t>2005</t>
  </si>
  <si>
    <t>2006</t>
  </si>
  <si>
    <t>2007</t>
  </si>
  <si>
    <t xml:space="preserve">Lucro Líquido Contábil </t>
  </si>
  <si>
    <t>2008</t>
  </si>
  <si>
    <t>Lucro com efeitos inflacionário</t>
  </si>
  <si>
    <t>2009</t>
  </si>
  <si>
    <t>Lucro Verdadeiro/Lucro Contábil</t>
  </si>
  <si>
    <t>2010</t>
  </si>
  <si>
    <t>2011</t>
  </si>
  <si>
    <t>2012</t>
  </si>
  <si>
    <t xml:space="preserve">PL </t>
  </si>
  <si>
    <t>2013</t>
  </si>
  <si>
    <t>PL com inflação (corrigido)</t>
  </si>
  <si>
    <t>2014</t>
  </si>
  <si>
    <t>Valor de Mercado</t>
  </si>
  <si>
    <t>2015</t>
  </si>
  <si>
    <t>Valor de Mercado / PL corrigido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</si>
  <si>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</si>
  <si>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</si>
  <si>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</si>
  <si>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</si>
  <si>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</si>
  <si>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</si>
  <si>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</si>
  <si>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</si>
  <si>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</si>
  <si>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 xml:space="preserve">Dividend Payout pago </t>
  </si>
  <si>
    <t xml:space="preserve">Dividend Payout Lucro com inflação </t>
  </si>
  <si>
    <t>Dividend Yield (%)</t>
  </si>
  <si>
    <t>Vale ON</t>
  </si>
  <si>
    <t>VALE3</t>
  </si>
  <si>
    <t>Petrobras PN</t>
  </si>
  <si>
    <t>PETR4</t>
  </si>
  <si>
    <t>ItauUnibanco PN</t>
  </si>
  <si>
    <t>ITUB4</t>
  </si>
  <si>
    <t>Petrobras ON</t>
  </si>
  <si>
    <t>PETR3</t>
  </si>
  <si>
    <t>Eletrobras ON</t>
  </si>
  <si>
    <t>ELET3</t>
  </si>
  <si>
    <t>Bradesco PN</t>
  </si>
  <si>
    <t>BBDC4</t>
  </si>
  <si>
    <t>B3 ON</t>
  </si>
  <si>
    <t>B3SA3</t>
  </si>
  <si>
    <t>Brasil ON</t>
  </si>
  <si>
    <t>BBAS3</t>
  </si>
  <si>
    <t>Localiza ON</t>
  </si>
  <si>
    <t>RENT3</t>
  </si>
  <si>
    <t>Itausa PN</t>
  </si>
  <si>
    <t>ITSA4</t>
  </si>
  <si>
    <t>Weg ON</t>
  </si>
  <si>
    <t>WEGE3</t>
  </si>
  <si>
    <t>Btgp Banco UNT</t>
  </si>
  <si>
    <t>BPAC11</t>
  </si>
  <si>
    <t>Equatorial ON</t>
  </si>
  <si>
    <t>EQTL3</t>
  </si>
  <si>
    <t>Suzano S.A. ON</t>
  </si>
  <si>
    <t>SUZB3</t>
  </si>
  <si>
    <t>Petrorio ON</t>
  </si>
  <si>
    <t>PRIO3</t>
  </si>
  <si>
    <t>RaiaDrogasil ON</t>
  </si>
  <si>
    <t>RADL3</t>
  </si>
  <si>
    <t>Rede D Or ON</t>
  </si>
  <si>
    <t>RDOR3</t>
  </si>
  <si>
    <t>Rumo S.A. ON</t>
  </si>
  <si>
    <t>RAIL3</t>
  </si>
  <si>
    <t>Gerdau PN</t>
  </si>
  <si>
    <t>GGBR4</t>
  </si>
  <si>
    <t>Ultrapar ON</t>
  </si>
  <si>
    <t>UGPA3</t>
  </si>
  <si>
    <t>JBS ON</t>
  </si>
  <si>
    <t>JBSS3</t>
  </si>
  <si>
    <t>Vibra ON</t>
  </si>
  <si>
    <t>VBBR3</t>
  </si>
  <si>
    <t>BBSeguridade ON</t>
  </si>
  <si>
    <t>BBSE3</t>
  </si>
  <si>
    <t>Ação</t>
  </si>
  <si>
    <t>Média</t>
  </si>
  <si>
    <t>Perda Inflacionária</t>
  </si>
  <si>
    <t>Ajustando a uma mesma "moeda"</t>
  </si>
  <si>
    <t>PL com efeito inflacionário</t>
  </si>
  <si>
    <t>Potencial Ganho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</si>
</sst>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\-??_-;_-@_-"/>
    <numFmt numFmtId="165" formatCode="_-* #,##0.00_-;\-* #,##0.00_-;_-* \-??_-;_-@_-"/>
    <numFmt numFmtId="166" formatCode="_-* #,##0_-;\-* #,##0_-;_-* &quot;-&quot;??_-;_-@_-"/>
  </numFmts>
  <fonts count="20" x14ac:knownFonts="1">
    <font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b/>
      <sz val="10"/>
      <color theme="1"/>
      <name val="Times New Roman"/>
      <family val="1"/>
      <charset val="1"/>
    </font>
    <font>
      <b/>
      <sz val="11"/>
      <color theme="1"/>
      <name val="Calibri"/>
      <family val="2"/>
      <charset val="1"/>
    </font>
    <font>
      <sz val="9"/>
      <color rgb="FF000000"/>
      <name val="Arial"/>
      <family val="2"/>
      <charset val="1"/>
    </font>
    <font>
      <sz val="8"/>
      <color rgb="FF333333"/>
      <name val="Arial"/>
      <family val="2"/>
      <charset val="1"/>
    </font>
    <font>
      <b/>
      <sz val="10"/>
      <color rgb="FF000000"/>
      <name val="Times New Roman"/>
      <family val="1"/>
      <charset val="1"/>
    </font>
    <font>
      <sz val="9"/>
      <color rgb="FF333333"/>
      <name val="Arial"/>
      <family val="2"/>
      <charset val="1"/>
    </font>
    <font>
      <b/>
      <sz val="11"/>
      <color theme="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1"/>
      <color theme="1"/>
      <name val="Calibri"/>
      <family val="2"/>
      <charset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0"/>
      <name val="Calibri"/>
      <family val="2"/>
      <charset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1"/>
      <color theme="1"/>
      <name val="Calibri"/>
      <family val="2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BBB59"/>
      </patternFill>
    </fill>
  </fills>
  <borders count="6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D0D7E5"/>
      </left>
      <right/>
      <top style="thin">
        <color auto="1"/>
      </top>
      <bottom/>
      <diagonal/>
    </border>
    <border>
      <left style="thin">
        <color rgb="FFD0D7E5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12" fillId="0" borderId="0"/>
    <xf numFmtId="9" fontId="12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10" fontId="0" fillId="0" borderId="0" xfId="0" applyNumberFormat="1"/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right" vertical="top" wrapText="1"/>
    </xf>
    <xf numFmtId="0" fontId="2" fillId="0" borderId="2" xfId="0" applyFont="1" applyBorder="1"/>
    <xf numFmtId="0" fontId="3" fillId="0" borderId="2" xfId="0" applyFont="1" applyBorder="1"/>
    <xf numFmtId="0" fontId="6" fillId="0" borderId="2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right" vertical="center"/>
    </xf>
    <xf numFmtId="0" fontId="2" fillId="0" borderId="3" xfId="0" applyFont="1" applyBorder="1"/>
    <xf numFmtId="10" fontId="2" fillId="0" borderId="3" xfId="0" applyNumberFormat="1" applyFont="1" applyBorder="1" applyAlignment="1">
      <alignment horizontal="center"/>
    </xf>
    <xf numFmtId="4" fontId="7" fillId="3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164" fontId="1" fillId="5" borderId="0" xfId="0" applyNumberFormat="1" applyFont="1" applyFill="1"/>
    <xf numFmtId="164" fontId="2" fillId="0" borderId="3" xfId="0" applyNumberFormat="1" applyFont="1" applyBorder="1"/>
    <xf numFmtId="0" fontId="2" fillId="0" borderId="2" xfId="0" applyFont="1" applyBorder="1" applyAlignment="1">
      <alignment horizontal="center"/>
    </xf>
    <xf numFmtId="0" fontId="8" fillId="0" borderId="4" xfId="0" applyFont="1" applyBorder="1"/>
    <xf numFmtId="3" fontId="2" fillId="0" borderId="0" xfId="0" applyNumberFormat="1" applyFont="1"/>
    <xf numFmtId="0" fontId="2" fillId="0" borderId="5" xfId="0" applyFont="1" applyBorder="1"/>
    <xf numFmtId="164" fontId="1" fillId="0" borderId="3" xfId="0" applyNumberFormat="1" applyFont="1" applyBorder="1"/>
    <xf numFmtId="10" fontId="2" fillId="0" borderId="3" xfId="0" applyNumberFormat="1" applyFont="1" applyBorder="1"/>
    <xf numFmtId="0" fontId="1" fillId="0" borderId="3" xfId="0" applyFont="1" applyBorder="1"/>
    <xf numFmtId="164" fontId="1" fillId="5" borderId="3" xfId="0" applyNumberFormat="1" applyFont="1" applyFill="1" applyBorder="1"/>
    <xf numFmtId="164" fontId="0" fillId="0" borderId="0" xfId="0" applyNumberFormat="1"/>
    <xf numFmtId="10" fontId="1" fillId="0" borderId="0" xfId="0" applyNumberFormat="1" applyFont="1"/>
    <xf numFmtId="10" fontId="1" fillId="0" borderId="3" xfId="0" applyNumberFormat="1" applyFont="1" applyBorder="1"/>
    <xf numFmtId="4" fontId="9" fillId="3" borderId="3" xfId="0" applyNumberFormat="1" applyFont="1" applyFill="1" applyBorder="1" applyAlignment="1">
      <alignment horizontal="right" vertical="center"/>
    </xf>
    <xf numFmtId="0" fontId="6" fillId="0" borderId="2" xfId="0" applyFont="1" applyBorder="1"/>
    <xf numFmtId="0" fontId="6" fillId="0" borderId="3" xfId="0" applyFont="1" applyBorder="1"/>
    <xf numFmtId="164" fontId="6" fillId="0" borderId="3" xfId="0" applyNumberFormat="1" applyFont="1" applyBorder="1"/>
    <xf numFmtId="0" fontId="10" fillId="0" borderId="4" xfId="0" applyFont="1" applyBorder="1"/>
    <xf numFmtId="164" fontId="11" fillId="0" borderId="0" xfId="0" applyNumberFormat="1" applyFont="1"/>
    <xf numFmtId="0" fontId="10" fillId="0" borderId="5" xfId="0" applyFont="1" applyBorder="1"/>
    <xf numFmtId="164" fontId="11" fillId="0" borderId="3" xfId="0" applyNumberFormat="1" applyFont="1" applyBorder="1"/>
    <xf numFmtId="10" fontId="6" fillId="0" borderId="3" xfId="0" applyNumberFormat="1" applyFont="1" applyBorder="1"/>
    <xf numFmtId="0" fontId="6" fillId="0" borderId="0" xfId="0" applyFont="1"/>
    <xf numFmtId="0" fontId="6" fillId="0" borderId="5" xfId="0" applyFont="1" applyBorder="1"/>
    <xf numFmtId="9" fontId="1" fillId="0" borderId="0" xfId="0" applyNumberFormat="1" applyFont="1"/>
    <xf numFmtId="9" fontId="1" fillId="0" borderId="3" xfId="0" applyNumberFormat="1" applyFont="1" applyBorder="1"/>
    <xf numFmtId="0" fontId="9" fillId="4" borderId="3" xfId="0" applyFont="1" applyFill="1" applyBorder="1" applyAlignment="1">
      <alignment horizontal="right" vertical="center"/>
    </xf>
    <xf numFmtId="3" fontId="7" fillId="4" borderId="1" xfId="0" applyNumberFormat="1" applyFont="1" applyFill="1" applyBorder="1" applyAlignment="1">
      <alignment horizontal="right" vertical="center"/>
    </xf>
    <xf numFmtId="0" fontId="13" fillId="0" borderId="0" xfId="0" applyFont="1"/>
    <xf numFmtId="0" fontId="13" fillId="0" borderId="0" xfId="0" applyFont="1" applyAlignment="1">
      <alignment horizontal="right"/>
    </xf>
    <xf numFmtId="0" fontId="14" fillId="0" borderId="0" xfId="0" applyFont="1"/>
    <xf numFmtId="0" fontId="13" fillId="0" borderId="0" xfId="0" applyFont="1" applyAlignment="1">
      <alignment horizontal="center"/>
    </xf>
    <xf numFmtId="164" fontId="12" fillId="0" borderId="0" xfId="1" applyNumberFormat="1"/>
    <xf numFmtId="166" fontId="13" fillId="0" borderId="0" xfId="1" applyNumberFormat="1" applyFont="1"/>
    <xf numFmtId="10" fontId="0" fillId="0" borderId="0" xfId="2" applyNumberFormat="1" applyFont="1"/>
    <xf numFmtId="0" fontId="15" fillId="0" borderId="0" xfId="0" applyFont="1"/>
    <xf numFmtId="0" fontId="16" fillId="0" borderId="0" xfId="0" applyFont="1"/>
    <xf numFmtId="166" fontId="0" fillId="0" borderId="0" xfId="0" applyNumberFormat="1"/>
    <xf numFmtId="0" fontId="17" fillId="0" borderId="0" xfId="0" applyFont="1" applyAlignment="1">
      <alignment horizontal="center"/>
    </xf>
    <xf numFmtId="10" fontId="15" fillId="0" borderId="0" xfId="2" applyNumberFormat="1" applyFont="1"/>
    <xf numFmtId="166" fontId="18" fillId="0" borderId="0" xfId="0" applyNumberFormat="1" applyFont="1"/>
    <xf numFmtId="164" fontId="18" fillId="0" borderId="0" xfId="1" applyNumberFormat="1" applyFont="1"/>
    <xf numFmtId="0" fontId="7" fillId="0" borderId="1" xfId="0" applyFont="1" applyFill="1" applyBorder="1" applyAlignment="1">
      <alignment horizontal="right" vertical="center"/>
    </xf>
    <xf numFmtId="164" fontId="1" fillId="0" borderId="0" xfId="0" applyNumberFormat="1" applyFont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4F81BD"/>
      <rgbColor rgb="FF9999FF"/>
      <rgbColor rgb="FFC0504D"/>
      <rgbColor rgb="FFEEEEEE"/>
      <rgbColor rgb="FFCCFFFF"/>
      <rgbColor rgb="FF660066"/>
      <rgbColor rgb="FFFF8080"/>
      <rgbColor rgb="FF0070C0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595959"/>
      <rgbColor rgb="FF9BBB59"/>
      <rgbColor rgb="FF002060"/>
      <rgbColor rgb="FF00B050"/>
      <rgbColor rgb="FF003300"/>
      <rgbColor rgb="FF3A3A3A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Lucros com efeitos da CMB (R$</a:t>
            </a:r>
            <a:r>
              <a:rPr lang="pt-BR" baseline="0"/>
              <a:t> bi)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'Composição do Lucro'!$C$59</c:f>
              <c:strCache>
                <c:ptCount val="1"/>
                <c:pt idx="0">
                  <c:v>Lucro com efeitos inflacionário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'Composição do Lucro'!$D$57:$AH$57</c:f>
              <c:numCache>
                <c:formatCode>General</c:formatCode>
                <c:ptCount val="31"/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'Composição do Lucro'!$D$59:$AH$59</c:f>
              <c:numCache>
                <c:formatCode>General</c:formatCode>
                <c:ptCount val="31"/>
                <c:pt idx="2" formatCode="_-* #,##0_-;\-* #,##0_-;_-* &quot;-&quot;??_-;_-@_-">
                  <c:v>-164611.93684625832</c:v>
                </c:pt>
                <c:pt idx="3" formatCode="_-* #,##0_-;\-* #,##0_-;_-* &quot;-&quot;??_-;_-@_-">
                  <c:v>345973.58898185339</c:v>
                </c:pt>
                <c:pt idx="4" formatCode="_-* #,##0_-;\-* #,##0_-;_-* &quot;-&quot;??_-;_-@_-">
                  <c:v>316561.46541975497</c:v>
                </c:pt>
                <c:pt idx="5" formatCode="_-* #,##0_-;\-* #,##0_-;_-* &quot;-&quot;??_-;_-@_-">
                  <c:v>322477.89328311564</c:v>
                </c:pt>
                <c:pt idx="6" formatCode="_-* #,##0_-;\-* #,##0_-;_-* &quot;-&quot;??_-;_-@_-">
                  <c:v>1154584.2873356608</c:v>
                </c:pt>
                <c:pt idx="7" formatCode="_-* #,##0_-;\-* #,##0_-;_-* &quot;-&quot;??_-;_-@_-">
                  <c:v>1215802.0980287662</c:v>
                </c:pt>
                <c:pt idx="8" formatCode="_-* #,##0_-;\-* #,##0_-;_-* &quot;-&quot;??_-;_-@_-">
                  <c:v>1008690.9575707318</c:v>
                </c:pt>
                <c:pt idx="9" formatCode="_-* #,##0_-;\-* #,##0_-;_-* &quot;-&quot;??_-;_-@_-">
                  <c:v>1837516.3938101225</c:v>
                </c:pt>
                <c:pt idx="10" formatCode="_-* #,##0_-;\-* #,##0_-;_-* &quot;-&quot;??_-;_-@_-">
                  <c:v>1961104.3867966868</c:v>
                </c:pt>
                <c:pt idx="11" formatCode="_-* #,##0_-;\-* #,##0_-;_-* &quot;-&quot;??_-;_-@_-">
                  <c:v>2657922.9402040564</c:v>
                </c:pt>
                <c:pt idx="12" formatCode="_-* #,##0_-;\-* #,##0_-;_-* &quot;-&quot;??_-;_-@_-">
                  <c:v>2889673.3245390896</c:v>
                </c:pt>
                <c:pt idx="13" formatCode="_-* #,##0_-;\-* #,##0_-;_-* &quot;-&quot;??_-;_-@_-">
                  <c:v>3127656.721254597</c:v>
                </c:pt>
                <c:pt idx="14" formatCode="_-* #,##0_-;\-* #,##0_-;_-* &quot;-&quot;??_-;_-@_-">
                  <c:v>4391776.7713484922</c:v>
                </c:pt>
                <c:pt idx="15" formatCode="_-* #,##0_-;\-* #,##0_-;_-* &quot;-&quot;??_-;_-@_-">
                  <c:v>3428211.6340982723</c:v>
                </c:pt>
                <c:pt idx="16" formatCode="_-* #,##0_-;\-* #,##0_-;_-* &quot;-&quot;??_-;_-@_-">
                  <c:v>5255933.7827583682</c:v>
                </c:pt>
                <c:pt idx="17" formatCode="_-* #,##0_-;\-* #,##0_-;_-* &quot;-&quot;??_-;_-@_-">
                  <c:v>5538584.4798793234</c:v>
                </c:pt>
                <c:pt idx="18" formatCode="_-* #,##0_-;\-* #,##0_-;_-* &quot;-&quot;??_-;_-@_-">
                  <c:v>1967357.9970815212</c:v>
                </c:pt>
                <c:pt idx="19" formatCode="_-* #,##0_-;\-* #,##0_-;_-* &quot;-&quot;??_-;_-@_-">
                  <c:v>3105948.6975439643</c:v>
                </c:pt>
                <c:pt idx="20" formatCode="_-* #,##0_-;\-* #,##0_-;_-* &quot;-&quot;??_-;_-@_-">
                  <c:v>-979606.95504562696</c:v>
                </c:pt>
                <c:pt idx="21" formatCode="_-* #,##0_-;\-* #,##0_-;_-* &quot;-&quot;??_-;_-@_-">
                  <c:v>-8679829.6586152054</c:v>
                </c:pt>
                <c:pt idx="22" formatCode="_-* #,##0_-;\-* #,##0_-;_-* &quot;-&quot;??_-;_-@_-">
                  <c:v>-3879330.2730392204</c:v>
                </c:pt>
                <c:pt idx="23" formatCode="_-* #,##0_-;\-* #,##0_-;_-* &quot;-&quot;??_-;_-@_-">
                  <c:v>-1460803.8628571897</c:v>
                </c:pt>
                <c:pt idx="24" formatCode="_-* #,##0_-;\-* #,##0_-;_-* &quot;-&quot;??_-;_-@_-">
                  <c:v>4561253.3517136052</c:v>
                </c:pt>
                <c:pt idx="25" formatCode="_-* #,##0_-;\-* #,##0_-;_-* &quot;-&quot;??_-;_-@_-">
                  <c:v>5108846.451327295</c:v>
                </c:pt>
                <c:pt idx="26" formatCode="_-* #,##0_-;\-* #,##0_-;_-* &quot;-&quot;??_-;_-@_-">
                  <c:v>-1287230.5125213352</c:v>
                </c:pt>
                <c:pt idx="27" formatCode="_-* #,##0_-;\-* #,##0_-;_-* &quot;-&quot;??_-;_-@_-">
                  <c:v>11796597.136359384</c:v>
                </c:pt>
                <c:pt idx="28" formatCode="_-* #,##0_-;\-* #,##0_-;_-* &quot;-&quot;??_-;_-@_-">
                  <c:v>2528226.312501505</c:v>
                </c:pt>
                <c:pt idx="29" formatCode="_-* #,##0_-;\-* #,##0_-;_-* &quot;-&quot;??_-;_-@_-">
                  <c:v>1479357.3645088605</c:v>
                </c:pt>
                <c:pt idx="30" formatCode="_-* #,##0_-;\-* #,##0_-;_-* &quot;-&quot;??_-;_-@_-">
                  <c:v>23678529.040643092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5F-4949-B2A5-09FDED283E7C}"/>
            </c:ext>
          </c:extLst>
        </c:ser>
        <c:ser>
          <c:idx val="2"/>
          <c:order val="2"/>
          <c:tx>
            <c:strRef>
              <c:f>'Composição do Lucro'!$C$60</c:f>
              <c:strCache>
                <c:ptCount val="1"/>
                <c:pt idx="0">
                  <c:v>Perda Inflacionária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'Composição do Lucro'!$D$57:$AH$57</c:f>
              <c:numCache>
                <c:formatCode>General</c:formatCode>
                <c:ptCount val="31"/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'Composição do Lucro'!$D$60:$AH$60</c:f>
              <c:numCache>
                <c:formatCode>General</c:formatCode>
                <c:ptCount val="31"/>
                <c:pt idx="2" formatCode="_-* #,##0_-;\-* #,##0_-;_-* &quot;-&quot;??_-;_-@_-">
                  <c:v>117567.85351292498</c:v>
                </c:pt>
                <c:pt idx="3" formatCode="_-* #,##0_-;\-* #,##0_-;_-* &quot;-&quot;??_-;_-@_-">
                  <c:v>88768.036018146609</c:v>
                </c:pt>
                <c:pt idx="4" formatCode="_-* #,##0_-;\-* #,##0_-;_-* &quot;-&quot;??_-;_-@_-">
                  <c:v>95573.951246911718</c:v>
                </c:pt>
                <c:pt idx="5" formatCode="_-* #,##0_-;\-* #,##0_-;_-* &quot;-&quot;??_-;_-@_-">
                  <c:v>108994.35671688436</c:v>
                </c:pt>
                <c:pt idx="6" formatCode="_-* #,##0_-;\-* #,##0_-;_-* &quot;-&quot;??_-;_-@_-">
                  <c:v>172493.17099767248</c:v>
                </c:pt>
                <c:pt idx="7" formatCode="_-* #,##0_-;\-* #,##0_-;_-* &quot;-&quot;??_-;_-@_-">
                  <c:v>248951.48530456703</c:v>
                </c:pt>
                <c:pt idx="8" formatCode="_-* #,##0_-;\-* #,##0_-;_-* &quot;-&quot;??_-;_-@_-">
                  <c:v>274267.08409593499</c:v>
                </c:pt>
                <c:pt idx="9" formatCode="_-* #,##0_-;\-* #,##0_-;_-* &quot;-&quot;??_-;_-@_-">
                  <c:v>392540.397856544</c:v>
                </c:pt>
                <c:pt idx="10" formatCode="_-* #,##0_-;\-* #,##0_-;_-* &quot;-&quot;??_-;_-@_-">
                  <c:v>584203.15486997971</c:v>
                </c:pt>
                <c:pt idx="11" formatCode="_-* #,##0_-;\-* #,##0_-;_-* &quot;-&quot;??_-;_-@_-">
                  <c:v>765616.18479594355</c:v>
                </c:pt>
                <c:pt idx="12" formatCode="_-* #,##0_-;\-* #,##0_-;_-* &quot;-&quot;??_-;_-@_-">
                  <c:v>1015204.1754609104</c:v>
                </c:pt>
                <c:pt idx="13" formatCode="_-* #,##0_-;\-* #,##0_-;_-* &quot;-&quot;??_-;_-@_-">
                  <c:v>961323.32041206956</c:v>
                </c:pt>
                <c:pt idx="14" formatCode="_-* #,##0_-;\-* #,##0_-;_-* &quot;-&quot;??_-;_-@_-">
                  <c:v>1041198.6036515078</c:v>
                </c:pt>
                <c:pt idx="15" formatCode="_-* #,##0_-;\-* #,##0_-;_-* &quot;-&quot;??_-;_-@_-">
                  <c:v>1252665.9492350607</c:v>
                </c:pt>
                <c:pt idx="16" formatCode="_-* #,##0_-;\-* #,##0_-;_-* &quot;-&quot;??_-;_-@_-">
                  <c:v>1273921.0922416318</c:v>
                </c:pt>
                <c:pt idx="17" formatCode="_-* #,##0_-;\-* #,##0_-;_-* &quot;-&quot;??_-;_-@_-">
                  <c:v>1419978.6451206766</c:v>
                </c:pt>
                <c:pt idx="18" formatCode="_-* #,##0_-;\-* #,##0_-;_-* &quot;-&quot;??_-;_-@_-">
                  <c:v>2529126.3362518121</c:v>
                </c:pt>
                <c:pt idx="19" formatCode="_-* #,##0_-;\-* #,##0_-;_-* &quot;-&quot;??_-;_-@_-">
                  <c:v>1515718.3857893688</c:v>
                </c:pt>
                <c:pt idx="20" formatCode="_-* #,##0_-;\-* #,##0_-;_-* &quot;-&quot;??_-;_-@_-">
                  <c:v>2380011.830045627</c:v>
                </c:pt>
                <c:pt idx="21" formatCode="_-* #,##0_-;\-* #,##0_-;_-* &quot;-&quot;??_-;_-@_-">
                  <c:v>7088981.8252818724</c:v>
                </c:pt>
                <c:pt idx="22" formatCode="_-* #,##0_-;\-* #,##0_-;_-* &quot;-&quot;??_-;_-@_-">
                  <c:v>6536034.3980392199</c:v>
                </c:pt>
                <c:pt idx="23" formatCode="_-* #,##0_-;\-* #,##0_-;_-* &quot;-&quot;??_-;_-@_-">
                  <c:v>5448405.779523856</c:v>
                </c:pt>
                <c:pt idx="24" formatCode="_-* #,##0_-;\-* #,##0_-;_-* &quot;-&quot;??_-;_-@_-">
                  <c:v>3267817.3149530618</c:v>
                </c:pt>
                <c:pt idx="25" formatCode="_-* #,##0_-;\-* #,##0_-;_-* &quot;-&quot;??_-;_-@_-">
                  <c:v>3323794.340339371</c:v>
                </c:pt>
                <c:pt idx="26" formatCode="_-* #,##0_-;\-* #,##0_-;_-* &quot;-&quot;??_-;_-@_-">
                  <c:v>6908050.8041880019</c:v>
                </c:pt>
                <c:pt idx="27" formatCode="_-* #,##0_-;\-* #,##0_-;_-* &quot;-&quot;??_-;_-@_-">
                  <c:v>9362034.6969739478</c:v>
                </c:pt>
                <c:pt idx="28" formatCode="_-* #,##0_-;\-* #,##0_-;_-* &quot;-&quot;??_-;_-@_-">
                  <c:v>9587203.437498495</c:v>
                </c:pt>
                <c:pt idx="29" formatCode="_-* #,##0_-;\-* #,##0_-;_-* &quot;-&quot;??_-;_-@_-">
                  <c:v>8607760.7604911402</c:v>
                </c:pt>
                <c:pt idx="30" formatCode="_-* #,##0_-;\-* #,##0_-;_-* &quot;-&quot;??_-;_-@_-">
                  <c:v>4476326.3760235757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5F-4949-B2A5-09FDED283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2401119"/>
        <c:axId val="1652415999"/>
      </c:barChart>
      <c:lineChart>
        <c:grouping val="standard"/>
        <c:varyColors val="0"/>
        <c:ser>
          <c:idx val="0"/>
          <c:order val="0"/>
          <c:tx>
            <c:strRef>
              <c:f>'Composição do Lucro'!$C$58</c:f>
              <c:strCache>
                <c:ptCount val="1"/>
                <c:pt idx="0">
                  <c:v>Lucro Líquido Contábil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'Composição do Lucro'!$D$57:$AH$57</c:f>
              <c:numCache>
                <c:formatCode>General</c:formatCode>
                <c:ptCount val="31"/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'Composição do Lucro'!$D$58:$AH$58</c:f>
              <c:numCache>
                <c:formatCode>General</c:formatCode>
                <c:ptCount val="31"/>
                <c:pt idx="2" formatCode="_-* #,##0_-;\-* #,##0_-;_-* &quot;-&quot;??_-;_-@_-">
                  <c:v>-47044.083333333336</c:v>
                </c:pt>
                <c:pt idx="3" formatCode="_-* #,##0_-;\-* #,##0_-;_-* &quot;-&quot;??_-;_-@_-">
                  <c:v>434741.625</c:v>
                </c:pt>
                <c:pt idx="4" formatCode="_-* #,##0_-;\-* #,##0_-;_-* &quot;-&quot;??_-;_-@_-">
                  <c:v>412135.41666666669</c:v>
                </c:pt>
                <c:pt idx="5" formatCode="_-* #,##0_-;\-* #,##0_-;_-* &quot;-&quot;??_-;_-@_-">
                  <c:v>431472.25</c:v>
                </c:pt>
                <c:pt idx="6" formatCode="_-* #,##0_-;\-* #,##0_-;_-* &quot;-&quot;??_-;_-@_-">
                  <c:v>1327077.4583333333</c:v>
                </c:pt>
                <c:pt idx="7" formatCode="_-* #,##0_-;\-* #,##0_-;_-* &quot;-&quot;??_-;_-@_-">
                  <c:v>1464753.5833333333</c:v>
                </c:pt>
                <c:pt idx="8" formatCode="_-* #,##0_-;\-* #,##0_-;_-* &quot;-&quot;??_-;_-@_-">
                  <c:v>1282958.0416666667</c:v>
                </c:pt>
                <c:pt idx="9" formatCode="_-* #,##0_-;\-* #,##0_-;_-* &quot;-&quot;??_-;_-@_-">
                  <c:v>2230056.7916666665</c:v>
                </c:pt>
                <c:pt idx="10" formatCode="_-* #,##0_-;\-* #,##0_-;_-* &quot;-&quot;??_-;_-@_-">
                  <c:v>2545307.5416666665</c:v>
                </c:pt>
                <c:pt idx="11" formatCode="_-* #,##0_-;\-* #,##0_-;_-* &quot;-&quot;??_-;_-@_-">
                  <c:v>3423539.125</c:v>
                </c:pt>
                <c:pt idx="12" formatCode="_-* #,##0_-;\-* #,##0_-;_-* &quot;-&quot;??_-;_-@_-">
                  <c:v>3904877.5</c:v>
                </c:pt>
                <c:pt idx="13" formatCode="_-* #,##0_-;\-* #,##0_-;_-* &quot;-&quot;??_-;_-@_-">
                  <c:v>4088980.0416666665</c:v>
                </c:pt>
                <c:pt idx="14" formatCode="_-* #,##0_-;\-* #,##0_-;_-* &quot;-&quot;??_-;_-@_-">
                  <c:v>5432975.375</c:v>
                </c:pt>
                <c:pt idx="15" formatCode="_-* #,##0_-;\-* #,##0_-;_-* &quot;-&quot;??_-;_-@_-">
                  <c:v>4680877.583333333</c:v>
                </c:pt>
                <c:pt idx="16" formatCode="_-* #,##0_-;\-* #,##0_-;_-* &quot;-&quot;??_-;_-@_-">
                  <c:v>6529854.875</c:v>
                </c:pt>
                <c:pt idx="17" formatCode="_-* #,##0_-;\-* #,##0_-;_-* &quot;-&quot;??_-;_-@_-">
                  <c:v>6958563.125</c:v>
                </c:pt>
                <c:pt idx="18" formatCode="_-* #,##0_-;\-* #,##0_-;_-* &quot;-&quot;??_-;_-@_-">
                  <c:v>4496484.333333333</c:v>
                </c:pt>
                <c:pt idx="19" formatCode="_-* #,##0_-;\-* #,##0_-;_-* &quot;-&quot;??_-;_-@_-">
                  <c:v>4621667.083333333</c:v>
                </c:pt>
                <c:pt idx="20" formatCode="_-* #,##0_-;\-* #,##0_-;_-* &quot;-&quot;??_-;_-@_-">
                  <c:v>1400404.875</c:v>
                </c:pt>
                <c:pt idx="21" formatCode="_-* #,##0_-;\-* #,##0_-;_-* &quot;-&quot;??_-;_-@_-">
                  <c:v>-1590847.8333333333</c:v>
                </c:pt>
                <c:pt idx="22" formatCode="_-* #,##0_-;\-* #,##0_-;_-* &quot;-&quot;??_-;_-@_-">
                  <c:v>2656704.125</c:v>
                </c:pt>
                <c:pt idx="23" formatCode="_-* #,##0_-;\-* #,##0_-;_-* &quot;-&quot;??_-;_-@_-">
                  <c:v>3987601.9166666665</c:v>
                </c:pt>
                <c:pt idx="24" formatCode="_-* #,##0_-;\-* #,##0_-;_-* &quot;-&quot;??_-;_-@_-">
                  <c:v>7829070.666666667</c:v>
                </c:pt>
                <c:pt idx="25" formatCode="_-* #,##0_-;\-* #,##0_-;_-* &quot;-&quot;??_-;_-@_-">
                  <c:v>8432640.791666666</c:v>
                </c:pt>
                <c:pt idx="26" formatCode="_-* #,##0_-;\-* #,##0_-;_-* &quot;-&quot;??_-;_-@_-">
                  <c:v>5620820.291666667</c:v>
                </c:pt>
                <c:pt idx="27" formatCode="_-* #,##0_-;\-* #,##0_-;_-* &quot;-&quot;??_-;_-@_-">
                  <c:v>21158631.833333332</c:v>
                </c:pt>
                <c:pt idx="28" formatCode="_-* #,##0_-;\-* #,##0_-;_-* &quot;-&quot;??_-;_-@_-">
                  <c:v>12115429.75</c:v>
                </c:pt>
                <c:pt idx="29" formatCode="_-* #,##0_-;\-* #,##0_-;_-* &quot;-&quot;??_-;_-@_-">
                  <c:v>10087118.125</c:v>
                </c:pt>
                <c:pt idx="30" formatCode="_-* #,##0_-;\-* #,##0_-;_-* &quot;-&quot;??_-;_-@_-">
                  <c:v>28154855.416666668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5F-4949-B2A5-09FDED283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401119"/>
        <c:axId val="1652415999"/>
      </c:lineChart>
      <c:catAx>
        <c:axId val="165240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2415999"/>
        <c:crosses val="autoZero"/>
        <c:auto val="1"/>
        <c:lblAlgn val="ctr"/>
        <c:lblOffset val="100"/>
        <c:noMultiLvlLbl val="0"/>
      </c:catAx>
      <c:valAx>
        <c:axId val="16524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2401119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Composição do Lucro com efeito de CMB (R$ em bilhão)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'Composição do Lucro'!$C$66</c:f>
              <c:strCache>
                <c:ptCount val="1"/>
                <c:pt idx="0">
                  <c:v>Lucro com efeitos inflacionário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'Composição do Lucro'!$D$64:$AH$64</c:f>
              <c:numCache>
                <c:formatCode>General</c:formatCode>
                <c:ptCount val="31"/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'Composição do Lucro'!$D$66:$AH$66</c:f>
              <c:numCache>
                <c:formatCode>General</c:formatCode>
                <c:ptCount val="31"/>
                <c:pt idx="2" formatCode="_-* #,##0_-;\-* #,##0_-;_-* \-??_-;_-@_-">
                  <c:v>-857434.22631532233</c:v>
                </c:pt>
                <c:pt idx="3" formatCode="_-* #,##0_-;\-* #,##0_-;_-* \-??_-;_-@_-">
                  <c:v>1712711.2078060184</c:v>
                </c:pt>
                <c:pt idx="4" formatCode="_-* #,##0_-;\-* #,##0_-;_-* \-??_-;_-@_-">
                  <c:v>1541519.89895925</c:v>
                </c:pt>
                <c:pt idx="5" formatCode="_-* #,##0_-;\-* #,##0_-;_-* \-??_-;_-@_-">
                  <c:v>1441463.548796956</c:v>
                </c:pt>
                <c:pt idx="6" formatCode="_-* #,##0_-;\-* #,##0_-;_-* \-??_-;_-@_-">
                  <c:v>4870195.8380552344</c:v>
                </c:pt>
                <c:pt idx="7" formatCode="_-* #,##0_-;\-* #,##0_-;_-* \-??_-;_-@_-">
                  <c:v>4763091.8646165542</c:v>
                </c:pt>
                <c:pt idx="8" formatCode="_-* #,##0_-;\-* #,##0_-;_-* \-??_-;_-@_-">
                  <c:v>3511687.6315081455</c:v>
                </c:pt>
                <c:pt idx="9" formatCode="_-* #,##0_-;\-* #,##0_-;_-* \-??_-;_-@_-">
                  <c:v>5852869.0955364183</c:v>
                </c:pt>
                <c:pt idx="10" formatCode="_-* #,##0_-;\-* #,##0_-;_-* \-??_-;_-@_-">
                  <c:v>5805318.1874423129</c:v>
                </c:pt>
                <c:pt idx="11" formatCode="_-* #,##0_-;\-* #,##0_-;_-* \-??_-;_-@_-">
                  <c:v>7444470.352849667</c:v>
                </c:pt>
                <c:pt idx="12" formatCode="_-* #,##0_-;\-* #,##0_-;_-* \-??_-;_-@_-">
                  <c:v>7847169.6345230388</c:v>
                </c:pt>
                <c:pt idx="13" formatCode="_-* #,##0_-;\-* #,##0_-;_-* \-??_-;_-@_-">
                  <c:v>8130801.3620444713</c:v>
                </c:pt>
                <c:pt idx="14" formatCode="_-* #,##0_-;\-* #,##0_-;_-* \-??_-;_-@_-">
                  <c:v>10780988.129549541</c:v>
                </c:pt>
                <c:pt idx="15" formatCode="_-* #,##0_-;\-* #,##0_-;_-* \-??_-;_-@_-">
                  <c:v>8067890.3947323645</c:v>
                </c:pt>
                <c:pt idx="16" formatCode="_-* #,##0_-;\-* #,##0_-;_-* \-??_-;_-@_-">
                  <c:v>11678989.88147313</c:v>
                </c:pt>
                <c:pt idx="17" formatCode="_-* #,##0_-;\-* #,##0_-;_-* \-??_-;_-@_-">
                  <c:v>11555921.252082046</c:v>
                </c:pt>
                <c:pt idx="18" formatCode="_-* #,##0_-;\-* #,##0_-;_-* \-??_-;_-@_-">
                  <c:v>3878281.7191241118</c:v>
                </c:pt>
                <c:pt idx="19" formatCode="_-* #,##0_-;\-* #,##0_-;_-* \-??_-;_-@_-">
                  <c:v>5781137.0902253063</c:v>
                </c:pt>
                <c:pt idx="20" formatCode="_-* #,##0_-;\-* #,##0_-;_-* \-??_-;_-@_-">
                  <c:v>-1713516.9577791572</c:v>
                </c:pt>
                <c:pt idx="21" formatCode="_-* #,##0_-;\-* #,##0_-;_-* \-??_-;_-@_-">
                  <c:v>-13718854.156376917</c:v>
                </c:pt>
                <c:pt idx="22" formatCode="_-* #,##0_-;\-* #,##0_-;_-* \-??_-;_-@_-">
                  <c:v>-5768607.4356621774</c:v>
                </c:pt>
                <c:pt idx="23" formatCode="_-* #,##0_-;\-* #,##0_-;_-* \-??_-;_-@_-">
                  <c:v>-2109987.0389057524</c:v>
                </c:pt>
                <c:pt idx="24" formatCode="_-* #,##0_-;\-* #,##0_-;_-* \-??_-;_-@_-">
                  <c:v>6350149.7800807776</c:v>
                </c:pt>
                <c:pt idx="25" formatCode="_-* #,##0_-;\-* #,##0_-;_-* \-??_-;_-@_-">
                  <c:v>6818622.9849277101</c:v>
                </c:pt>
                <c:pt idx="26" formatCode="_-* #,##0_-;\-* #,##0_-;_-* \-??_-;_-@_-">
                  <c:v>-1643731.0265089185</c:v>
                </c:pt>
                <c:pt idx="27" formatCode="_-* #,##0_-;\-* #,##0_-;_-* \-??_-;_-@_-">
                  <c:v>13686791.984093903</c:v>
                </c:pt>
                <c:pt idx="28" formatCode="_-* #,##0_-;\-* #,##0_-;_-* \-??_-;_-@_-">
                  <c:v>2772785.3349201917</c:v>
                </c:pt>
                <c:pt idx="29" formatCode="_-* #,##0_-;\-* #,##0_-;_-* \-??_-;_-@_-">
                  <c:v>1550810.3252146384</c:v>
                </c:pt>
                <c:pt idx="30" formatCode="_-* #,##0_-;\-* #,##0_-;_-* \-??_-;_-@_-">
                  <c:v>23678529.040643092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B5-487E-9196-1D4790D79AB0}"/>
            </c:ext>
          </c:extLst>
        </c:ser>
        <c:ser>
          <c:idx val="2"/>
          <c:order val="2"/>
          <c:tx>
            <c:strRef>
              <c:f>'Composição do Lucro'!$C$67</c:f>
              <c:strCache>
                <c:ptCount val="1"/>
                <c:pt idx="0">
                  <c:v>Perda Inflacionária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'Composição do Lucro'!$D$64:$AH$64</c:f>
              <c:numCache>
                <c:formatCode>General</c:formatCode>
                <c:ptCount val="31"/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'Composição do Lucro'!$D$67:$AH$67</c:f>
              <c:numCache>
                <c:formatCode>General</c:formatCode>
                <c:ptCount val="31"/>
                <c:pt idx="2" formatCode="_-* #,##0_-;\-* #,##0_-;_-* &quot;-&quot;??_-;_-@_-">
                  <c:v>612389.9848803666</c:v>
                </c:pt>
                <c:pt idx="3" formatCode="_-* #,##0_-;\-* #,##0_-;_-* &quot;-&quot;??_-;_-@_-">
                  <c:v>439438.19709076802</c:v>
                </c:pt>
                <c:pt idx="4" formatCode="_-* #,##0_-;\-* #,##0_-;_-* &quot;-&quot;??_-;_-@_-">
                  <c:v>465404.5541327016</c:v>
                </c:pt>
                <c:pt idx="5" formatCode="_-* #,##0_-;\-* #,##0_-;_-* &quot;-&quot;??_-;_-@_-">
                  <c:v>487200.50429635914</c:v>
                </c:pt>
                <c:pt idx="6" formatCode="_-* #,##0_-;\-* #,##0_-;_-* &quot;-&quot;??_-;_-@_-">
                  <c:v>727599.99655320682</c:v>
                </c:pt>
                <c:pt idx="7" formatCode="_-* #,##0_-;\-* #,##0_-;_-* &quot;-&quot;??_-;_-@_-">
                  <c:v>975305.76420368627</c:v>
                </c:pt>
                <c:pt idx="8" formatCode="_-* #,##0_-;\-* #,##0_-;_-* &quot;-&quot;??_-;_-@_-">
                  <c:v>954841.83705687802</c:v>
                </c:pt>
                <c:pt idx="9" formatCode="_-* #,##0_-;\-* #,##0_-;_-* &quot;-&quot;??_-;_-@_-">
                  <c:v>1250322.2126907157</c:v>
                </c:pt>
                <c:pt idx="10" formatCode="_-* #,##0_-;\-* #,##0_-;_-* &quot;-&quot;??_-;_-@_-">
                  <c:v>1729375.1535927169</c:v>
                </c:pt>
                <c:pt idx="11" formatCode="_-* #,##0_-;\-* #,##0_-;_-* &quot;-&quot;??_-;_-@_-">
                  <c:v>2144383.8356493888</c:v>
                </c:pt>
                <c:pt idx="12" formatCode="_-* #,##0_-;\-* #,##0_-;_-* &quot;-&quot;??_-;_-@_-">
                  <c:v>2756878.8869200395</c:v>
                </c:pt>
                <c:pt idx="13" formatCode="_-* #,##0_-;\-* #,##0_-;_-* &quot;-&quot;??_-;_-@_-">
                  <c:v>2499100.6557254801</c:v>
                </c:pt>
                <c:pt idx="14" formatCode="_-* #,##0_-;\-* #,##0_-;_-* &quot;-&quot;??_-;_-@_-">
                  <c:v>2555947.2557216957</c:v>
                </c:pt>
                <c:pt idx="15" formatCode="_-* #,##0_-;\-* #,##0_-;_-* &quot;-&quot;??_-;_-@_-">
                  <c:v>2948001.0741227595</c:v>
                </c:pt>
                <c:pt idx="16" formatCode="_-* #,##0_-;\-* #,##0_-;_-* &quot;-&quot;??_-;_-@_-">
                  <c:v>2830726.5960791912</c:v>
                </c:pt>
                <c:pt idx="17" formatCode="_-* #,##0_-;\-* #,##0_-;_-* &quot;-&quot;??_-;_-@_-">
                  <c:v>2962699.4879764337</c:v>
                </c:pt>
                <c:pt idx="18" formatCode="_-* #,##0_-;\-* #,##0_-;_-* &quot;-&quot;??_-;_-@_-">
                  <c:v>4985703.8982185312</c:v>
                </c:pt>
                <c:pt idx="19" formatCode="_-* #,##0_-;\-* #,##0_-;_-* &quot;-&quot;??_-;_-@_-">
                  <c:v>2821223.6040319586</c:v>
                </c:pt>
                <c:pt idx="20" formatCode="_-* #,##0_-;\-* #,##0_-;_-* &quot;-&quot;??_-;_-@_-">
                  <c:v>4163088.6852046065</c:v>
                </c:pt>
                <c:pt idx="21" formatCode="_-* #,##0_-;\-* #,##0_-;_-* &quot;-&quot;??_-;_-@_-">
                  <c:v>11204448.889353491</c:v>
                </c:pt>
                <c:pt idx="22" formatCode="_-* #,##0_-;\-* #,##0_-;_-* &quot;-&quot;??_-;_-@_-">
                  <c:v>9719156.1363848895</c:v>
                </c:pt>
                <c:pt idx="23" formatCode="_-* #,##0_-;\-* #,##0_-;_-* &quot;-&quot;??_-;_-@_-">
                  <c:v>7869684.5413657017</c:v>
                </c:pt>
                <c:pt idx="24" formatCode="_-* #,##0_-;\-* #,##0_-;_-* &quot;-&quot;??_-;_-@_-">
                  <c:v>4549435.824716338</c:v>
                </c:pt>
                <c:pt idx="25" formatCode="_-* #,##0_-;\-* #,##0_-;_-* &quot;-&quot;??_-;_-@_-">
                  <c:v>4436167.8711879402</c:v>
                </c:pt>
                <c:pt idx="26" formatCode="_-* #,##0_-;\-* #,##0_-;_-* &quot;-&quot;??_-;_-@_-">
                  <c:v>8821246.3339626603</c:v>
                </c:pt>
                <c:pt idx="27" formatCode="_-* #,##0_-;\-* #,##0_-;_-* &quot;-&quot;??_-;_-@_-">
                  <c:v>10862134.220928127</c:v>
                </c:pt>
                <c:pt idx="28" formatCode="_-* #,##0_-;\-* #,##0_-;_-* &quot;-&quot;??_-;_-@_-">
                  <c:v>10514587.623324743</c:v>
                </c:pt>
                <c:pt idx="29" formatCode="_-* #,##0_-;\-* #,##0_-;_-* &quot;-&quot;??_-;_-@_-">
                  <c:v>9023515.6052228622</c:v>
                </c:pt>
                <c:pt idx="30" formatCode="_-* #,##0_-;\-* #,##0_-;_-* &quot;-&quot;??_-;_-@_-">
                  <c:v>4476326.3760235757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B5-487E-9196-1D4790D79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2458239"/>
        <c:axId val="1652442879"/>
      </c:barChart>
      <c:lineChart>
        <c:grouping val="standard"/>
        <c:varyColors val="0"/>
        <c:ser>
          <c:idx val="0"/>
          <c:order val="0"/>
          <c:tx>
            <c:strRef>
              <c:f>'Composição do Lucro'!$C$65</c:f>
              <c:strCache>
                <c:ptCount val="1"/>
                <c:pt idx="0">
                  <c:v>Lucro Líquido Contábil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'Composição do Lucro'!$D$64:$AH$64</c:f>
              <c:numCache>
                <c:formatCode>General</c:formatCode>
                <c:ptCount val="31"/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'Composição do Lucro'!$D$65:$AH$65</c:f>
              <c:numCache>
                <c:formatCode>General</c:formatCode>
                <c:ptCount val="31"/>
                <c:pt idx="2" formatCode="_-* #,##0_-;\-* #,##0_-;_-* \-??_-;_-@_-">
                  <c:v>-245044.24143495577</c:v>
                </c:pt>
                <c:pt idx="3" formatCode="_-* #,##0_-;\-* #,##0_-;_-* \-??_-;_-@_-">
                  <c:v>2152149.4048967864</c:v>
                </c:pt>
                <c:pt idx="4" formatCode="_-* #,##0_-;\-* #,##0_-;_-* \-??_-;_-@_-">
                  <c:v>2006924.4530919516</c:v>
                </c:pt>
                <c:pt idx="5" formatCode="_-* #,##0_-;\-* #,##0_-;_-* \-??_-;_-@_-">
                  <c:v>1928664.0530933151</c:v>
                </c:pt>
                <c:pt idx="6" formatCode="_-* #,##0_-;\-* #,##0_-;_-* \-??_-;_-@_-">
                  <c:v>5597795.8346084412</c:v>
                </c:pt>
                <c:pt idx="7" formatCode="_-* #,##0_-;\-* #,##0_-;_-* \-??_-;_-@_-">
                  <c:v>5738397.6288202405</c:v>
                </c:pt>
                <c:pt idx="8" formatCode="_-* #,##0_-;\-* #,##0_-;_-* \-??_-;_-@_-">
                  <c:v>4466529.4685650235</c:v>
                </c:pt>
                <c:pt idx="9" formatCode="_-* #,##0_-;\-* #,##0_-;_-* \-??_-;_-@_-">
                  <c:v>7103191.3082271339</c:v>
                </c:pt>
                <c:pt idx="10" formatCode="_-* #,##0_-;\-* #,##0_-;_-* \-??_-;_-@_-">
                  <c:v>7534693.3410350299</c:v>
                </c:pt>
                <c:pt idx="11" formatCode="_-* #,##0_-;\-* #,##0_-;_-* \-??_-;_-@_-">
                  <c:v>9588854.1884990558</c:v>
                </c:pt>
                <c:pt idx="12" formatCode="_-* #,##0_-;\-* #,##0_-;_-* \-??_-;_-@_-">
                  <c:v>10604048.521443078</c:v>
                </c:pt>
                <c:pt idx="13" formatCode="_-* #,##0_-;\-* #,##0_-;_-* \-??_-;_-@_-">
                  <c:v>10629902.017769951</c:v>
                </c:pt>
                <c:pt idx="14" formatCode="_-* #,##0_-;\-* #,##0_-;_-* \-??_-;_-@_-">
                  <c:v>13336935.385271236</c:v>
                </c:pt>
                <c:pt idx="15" formatCode="_-* #,##0_-;\-* #,##0_-;_-* \-??_-;_-@_-">
                  <c:v>11015891.468855124</c:v>
                </c:pt>
                <c:pt idx="16" formatCode="_-* #,##0_-;\-* #,##0_-;_-* \-??_-;_-@_-">
                  <c:v>14509716.477552321</c:v>
                </c:pt>
                <c:pt idx="17" formatCode="_-* #,##0_-;\-* #,##0_-;_-* \-??_-;_-@_-">
                  <c:v>14518620.74005848</c:v>
                </c:pt>
                <c:pt idx="18" formatCode="_-* #,##0_-;\-* #,##0_-;_-* \-??_-;_-@_-">
                  <c:v>8863985.6173426434</c:v>
                </c:pt>
                <c:pt idx="19" formatCode="_-* #,##0_-;\-* #,##0_-;_-* \-??_-;_-@_-">
                  <c:v>8602360.694257265</c:v>
                </c:pt>
                <c:pt idx="20" formatCode="_-* #,##0_-;\-* #,##0_-;_-* \-??_-;_-@_-">
                  <c:v>2449571.7274254495</c:v>
                </c:pt>
                <c:pt idx="21" formatCode="_-* #,##0_-;\-* #,##0_-;_-* \-??_-;_-@_-">
                  <c:v>-2514405.2670234251</c:v>
                </c:pt>
                <c:pt idx="22" formatCode="_-* #,##0_-;\-* #,##0_-;_-* \-??_-;_-@_-">
                  <c:v>3950548.7007227126</c:v>
                </c:pt>
                <c:pt idx="23" formatCode="_-* #,##0_-;\-* #,##0_-;_-* \-??_-;_-@_-">
                  <c:v>5759697.5024599489</c:v>
                </c:pt>
                <c:pt idx="24" formatCode="_-* #,##0_-;\-* #,##0_-;_-* \-??_-;_-@_-">
                  <c:v>10899585.604797116</c:v>
                </c:pt>
                <c:pt idx="25" formatCode="_-* #,##0_-;\-* #,##0_-;_-* \-??_-;_-@_-">
                  <c:v>11254790.85611565</c:v>
                </c:pt>
                <c:pt idx="26" formatCode="_-* #,##0_-;\-* #,##0_-;_-* \-??_-;_-@_-">
                  <c:v>7177515.3074537423</c:v>
                </c:pt>
                <c:pt idx="27" formatCode="_-* #,##0_-;\-* #,##0_-;_-* \-??_-;_-@_-">
                  <c:v>24548926.20502203</c:v>
                </c:pt>
                <c:pt idx="28" formatCode="_-* #,##0_-;\-* #,##0_-;_-* \-??_-;_-@_-">
                  <c:v>13287372.958244935</c:v>
                </c:pt>
                <c:pt idx="29" formatCode="_-* #,##0_-;\-* #,##0_-;_-* \-??_-;_-@_-">
                  <c:v>10574325.9304375</c:v>
                </c:pt>
                <c:pt idx="30" formatCode="_-* #,##0_-;\-* #,##0_-;_-* \-??_-;_-@_-">
                  <c:v>28154855.416666668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B5-487E-9196-1D4790D79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458239"/>
        <c:axId val="1652442879"/>
      </c:lineChart>
      <c:catAx>
        <c:axId val="16524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2442879"/>
        <c:crosses val="autoZero"/>
        <c:auto val="1"/>
        <c:lblAlgn val="ctr"/>
        <c:lblOffset val="100"/>
        <c:noMultiLvlLbl val="0"/>
      </c:catAx>
      <c:valAx>
        <c:axId val="165244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2458239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053368328958881E-2"/>
          <c:y val="0.82291557305336838"/>
          <c:w val="0.96178215223097108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 contábil, PL</a:t>
            </a:r>
            <a:r>
              <a:rPr lang="en-US" baseline="0"/>
              <a:t> corrigido (CMB) e Valor de Mercado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'Valor de Mercado e PL Corrigido'!$C$87</c:f>
              <c:strCache>
                <c:ptCount val="1"/>
                <c:pt idx="0">
                  <c:v>PL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'Valor de Mercado e PL Corrigido'!$D$86:$AH$86</c:f>
              <c:numCache>
                <c:formatCode>General</c:formatCode>
                <c:ptCount val="31"/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'Valor de Mercado e PL Corrigido'!$D$87:$AH$87</c:f>
              <c:numCache>
                <c:formatCode>General</c:formatCode>
                <c:ptCount val="31"/>
                <c:pt idx="2" formatCode="_-* #,##0_-;\-* #,##0_-;_-* &quot;-&quot;??_-;_-@_-">
                  <c:v>5526738.166666667</c:v>
                </c:pt>
                <c:pt idx="3" formatCode="_-* #,##0_-;\-* #,##0_-;_-* &quot;-&quot;??_-;_-@_-">
                  <c:v>5793103</c:v>
                </c:pt>
                <c:pt idx="4" formatCode="_-* #,##0_-;\-* #,##0_-;_-* &quot;-&quot;??_-;_-@_-">
                  <c:v>5880635.833333333</c:v>
                </c:pt>
                <c:pt idx="5" formatCode="_-* #,##0_-;\-* #,##0_-;_-* &quot;-&quot;??_-;_-@_-">
                  <c:v>10502002</c:v>
                </c:pt>
                <c:pt idx="6" formatCode="_-* #,##0_-;\-* #,##0_-;_-* &quot;-&quot;??_-;_-@_-">
                  <c:v>10565590</c:v>
                </c:pt>
                <c:pt idx="7" formatCode="_-* #,##0_-;\-* #,##0_-;_-* &quot;-&quot;??_-;_-@_-">
                  <c:v>7376538.958333333</c:v>
                </c:pt>
                <c:pt idx="8" formatCode="_-* #,##0_-;\-* #,##0_-;_-* &quot;-&quot;??_-;_-@_-">
                  <c:v>8263626.333333333</c:v>
                </c:pt>
                <c:pt idx="9" formatCode="_-* #,##0_-;\-* #,##0_-;_-* &quot;-&quot;??_-;_-@_-">
                  <c:v>10191028.666666666</c:v>
                </c:pt>
                <c:pt idx="10" formatCode="_-* #,##0_-;\-* #,##0_-;_-* &quot;-&quot;??_-;_-@_-">
                  <c:v>12583569.416666666</c:v>
                </c:pt>
                <c:pt idx="11" formatCode="_-* #,##0_-;\-* #,##0_-;_-* &quot;-&quot;??_-;_-@_-">
                  <c:v>15178619.958333334</c:v>
                </c:pt>
                <c:pt idx="12" formatCode="_-* #,##0_-;\-* #,##0_-;_-* &quot;-&quot;??_-;_-@_-">
                  <c:v>18608572.833333332</c:v>
                </c:pt>
                <c:pt idx="13" formatCode="_-* #,##0_-;\-* #,##0_-;_-* &quot;-&quot;??_-;_-@_-">
                  <c:v>22085872.791666668</c:v>
                </c:pt>
                <c:pt idx="14" formatCode="_-* #,##0_-;\-* #,##0_-;_-* &quot;-&quot;??_-;_-@_-">
                  <c:v>28545893.333333332</c:v>
                </c:pt>
                <c:pt idx="15" formatCode="_-* #,##0_-;\-* #,##0_-;_-* &quot;-&quot;??_-;_-@_-">
                  <c:v>31496027.875</c:v>
                </c:pt>
                <c:pt idx="16" formatCode="_-* #,##0_-;\-* #,##0_-;_-* &quot;-&quot;??_-;_-@_-">
                  <c:v>46586719.625</c:v>
                </c:pt>
                <c:pt idx="17" formatCode="_-* #,##0_-;\-* #,##0_-;_-* &quot;-&quot;??_-;_-@_-">
                  <c:v>52231011.625</c:v>
                </c:pt>
                <c:pt idx="18" formatCode="_-* #,##0_-;\-* #,##0_-;_-* &quot;-&quot;??_-;_-@_-">
                  <c:v>55019000.125</c:v>
                </c:pt>
                <c:pt idx="19" formatCode="_-* #,##0_-;\-* #,##0_-;_-* &quot;-&quot;??_-;_-@_-">
                  <c:v>56580295.791666664</c:v>
                </c:pt>
                <c:pt idx="20" formatCode="_-* #,##0_-;\-* #,##0_-;_-* &quot;-&quot;??_-;_-@_-">
                  <c:v>55046320.208333336</c:v>
                </c:pt>
                <c:pt idx="21" formatCode="_-* #,##0_-;\-* #,##0_-;_-* &quot;-&quot;??_-;_-@_-">
                  <c:v>51032526.041666664</c:v>
                </c:pt>
                <c:pt idx="22" formatCode="_-* #,##0_-;\-* #,##0_-;_-* &quot;-&quot;??_-;_-@_-">
                  <c:v>51211055.333333336</c:v>
                </c:pt>
                <c:pt idx="23" formatCode="_-* #,##0_-;\-* #,##0_-;_-* &quot;-&quot;??_-;_-@_-">
                  <c:v>55172472.708333336</c:v>
                </c:pt>
                <c:pt idx="24" formatCode="_-* #,##0_-;\-* #,##0_-;_-* &quot;-&quot;??_-;_-@_-">
                  <c:v>59565044.333333336</c:v>
                </c:pt>
                <c:pt idx="25" formatCode="_-* #,##0_-;\-* #,##0_-;_-* &quot;-&quot;??_-;_-@_-">
                  <c:v>63223876.916666664</c:v>
                </c:pt>
                <c:pt idx="26" formatCode="_-* #,##0_-;\-* #,##0_-;_-* &quot;-&quot;??_-;_-@_-">
                  <c:v>68853305.458333328</c:v>
                </c:pt>
                <c:pt idx="27" formatCode="_-* #,##0_-;\-* #,##0_-;_-* &quot;-&quot;??_-;_-@_-">
                  <c:v>80023988.291666672</c:v>
                </c:pt>
                <c:pt idx="28" formatCode="_-* #,##0_-;\-* #,##0_-;_-* &quot;-&quot;??_-;_-@_-">
                  <c:v>83785578.041666672</c:v>
                </c:pt>
                <c:pt idx="29" formatCode="_-* #,##0_-;\-* #,##0_-;_-* &quot;-&quot;??_-;_-@_-">
                  <c:v>83785578.041666672</c:v>
                </c:pt>
                <c:pt idx="30" formatCode="_-* #,##0_-;\-* #,##0_-;_-* &quot;-&quot;??_-;_-@_-">
                  <c:v>83785578.041666672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C-474A-A035-77A976E74AF2}"/>
            </c:ext>
          </c:extLst>
        </c:ser>
        <c:ser>
          <c:idx val="3"/>
          <c:order val="3"/>
          <c:tx>
            <c:strRef>
              <c:f>'Valor de Mercado e PL Corrigido'!$C$90</c:f>
              <c:strCache>
                <c:ptCount val="1"/>
                <c:pt idx="0">
                  <c:v>Potencial Ganho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'Valor de Mercado e PL Corrigido'!$D$86:$AH$86</c:f>
              <c:numCache>
                <c:formatCode>General</c:formatCode>
                <c:ptCount val="31"/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'Valor de Mercado e PL Corrigido'!$D$90:$AH$90</c:f>
              <c:numCache>
                <c:formatCode>General</c:formatCode>
                <c:ptCount val="31"/>
                <c:pt idx="2" formatCode="_-* #,##0_-;\-* #,##0_-;_-* &quot;-&quot;??_-;_-@_-">
                  <c:v>-1890297.2076454177</c:v>
                </c:pt>
                <c:pt idx="3" formatCode="_-* #,##0_-;\-* #,##0_-;_-* &quot;-&quot;??_-;_-@_-">
                  <c:v>-907554.21335874964</c:v>
                </c:pt>
                <c:pt idx="4" formatCode="_-* #,##0_-;\-* #,##0_-;_-* &quot;-&quot;??_-;_-@_-">
                  <c:v>-3225668.2966816672</c:v>
                </c:pt>
                <c:pt idx="5" formatCode="_-* #,##0_-;\-* #,##0_-;_-* &quot;-&quot;??_-;_-@_-">
                  <c:v>6926085.6560000032</c:v>
                </c:pt>
                <c:pt idx="6" formatCode="_-* #,##0_-;\-* #,##0_-;_-* &quot;-&quot;??_-;_-@_-">
                  <c:v>6182459.4079999942</c:v>
                </c:pt>
                <c:pt idx="7" formatCode="_-* #,##0_-;\-* #,##0_-;_-* &quot;-&quot;??_-;_-@_-">
                  <c:v>2095905.1263720831</c:v>
                </c:pt>
                <c:pt idx="8" formatCode="_-* #,##0_-;\-* #,##0_-;_-* &quot;-&quot;??_-;_-@_-">
                  <c:v>1683602.0522333318</c:v>
                </c:pt>
                <c:pt idx="9" formatCode="_-* #,##0_-;\-* #,##0_-;_-* &quot;-&quot;??_-;_-@_-">
                  <c:v>6407626.8928708341</c:v>
                </c:pt>
                <c:pt idx="10" formatCode="_-* #,##0_-;\-* #,##0_-;_-* &quot;-&quot;??_-;_-@_-">
                  <c:v>9802079.3607750032</c:v>
                </c:pt>
                <c:pt idx="11" formatCode="_-* #,##0_-;\-* #,##0_-;_-* &quot;-&quot;??_-;_-@_-">
                  <c:v>16086884.95989584</c:v>
                </c:pt>
                <c:pt idx="12" formatCode="_-* #,##0_-;\-* #,##0_-;_-* &quot;-&quot;??_-;_-@_-">
                  <c:v>24568513.618274998</c:v>
                </c:pt>
                <c:pt idx="13" formatCode="_-* #,##0_-;\-* #,##0_-;_-* &quot;-&quot;??_-;_-@_-">
                  <c:v>48472949.096808299</c:v>
                </c:pt>
                <c:pt idx="14" formatCode="_-* #,##0_-;\-* #,##0_-;_-* &quot;-&quot;??_-;_-@_-">
                  <c:v>12813758.589112509</c:v>
                </c:pt>
                <c:pt idx="15" formatCode="_-* #,##0_-;\-* #,##0_-;_-* &quot;-&quot;??_-;_-@_-">
                  <c:v>36647699.150024995</c:v>
                </c:pt>
                <c:pt idx="16" formatCode="_-* #,##0_-;\-* #,##0_-;_-* &quot;-&quot;??_-;_-@_-">
                  <c:v>28049828.427620828</c:v>
                </c:pt>
                <c:pt idx="17" formatCode="_-* #,##0_-;\-* #,##0_-;_-* &quot;-&quot;??_-;_-@_-">
                  <c:v>10188232.276075013</c:v>
                </c:pt>
                <c:pt idx="18" formatCode="_-* #,##0_-;\-* #,##0_-;_-* &quot;-&quot;??_-;_-@_-">
                  <c:v>10906295.624704152</c:v>
                </c:pt>
                <c:pt idx="19" formatCode="_-* #,##0_-;\-* #,##0_-;_-* &quot;-&quot;??_-;_-@_-">
                  <c:v>6995153.6871649846</c:v>
                </c:pt>
                <c:pt idx="20" formatCode="_-* #,##0_-;\-* #,##0_-;_-* &quot;-&quot;??_-;_-@_-">
                  <c:v>-277679.58611752838</c:v>
                </c:pt>
                <c:pt idx="21" formatCode="_-* #,##0_-;\-* #,##0_-;_-* &quot;-&quot;??_-;_-@_-">
                  <c:v>-4790951.4199812487</c:v>
                </c:pt>
                <c:pt idx="22" formatCode="_-* #,##0_-;\-* #,##0_-;_-* &quot;-&quot;??_-;_-@_-">
                  <c:v>15847792.382935002</c:v>
                </c:pt>
                <c:pt idx="23" formatCode="_-* #,##0_-;\-* #,##0_-;_-* &quot;-&quot;??_-;_-@_-">
                  <c:v>28156599.864866681</c:v>
                </c:pt>
                <c:pt idx="24" formatCode="_-* #,##0_-;\-* #,##0_-;_-* &quot;-&quot;??_-;_-@_-">
                  <c:v>38849288.15555831</c:v>
                </c:pt>
                <c:pt idx="25" formatCode="_-* #,##0_-;\-* #,##0_-;_-* &quot;-&quot;??_-;_-@_-">
                  <c:v>61812746.928975023</c:v>
                </c:pt>
                <c:pt idx="26" formatCode="_-* #,##0_-;\-* #,##0_-;_-* &quot;-&quot;??_-;_-@_-">
                  <c:v>65112681.122454166</c:v>
                </c:pt>
                <c:pt idx="27" formatCode="_-* #,##0_-;\-* #,##0_-;_-* &quot;-&quot;??_-;_-@_-">
                  <c:v>38903723.69266668</c:v>
                </c:pt>
                <c:pt idx="28" formatCode="_-* #,##0_-;\-* #,##0_-;_-* &quot;-&quot;??_-;_-@_-">
                  <c:v>36117231.183041692</c:v>
                </c:pt>
                <c:pt idx="29" formatCode="_-* #,##0_-;\-* #,##0_-;_-* &quot;-&quot;??_-;_-@_-">
                  <c:v>29418247.333358049</c:v>
                </c:pt>
                <c:pt idx="30" formatCode="_-* #,##0_-;\-* #,##0_-;_-* &quot;-&quot;??_-;_-@_-">
                  <c:v>30504591.331363022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1C-474A-A035-77A976E74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2479839"/>
        <c:axId val="1652463999"/>
      </c:barChart>
      <c:lineChart>
        <c:grouping val="standard"/>
        <c:varyColors val="0"/>
        <c:ser>
          <c:idx val="1"/>
          <c:order val="1"/>
          <c:tx>
            <c:strRef>
              <c:f>'Valor de Mercado e PL Corrigido'!$C$88</c:f>
              <c:strCache>
                <c:ptCount val="1"/>
                <c:pt idx="0">
                  <c:v>PL com efeito inflacionário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'Valor de Mercado e PL Corrigido'!$D$86:$AH$86</c:f>
              <c:numCache>
                <c:formatCode>General</c:formatCode>
                <c:ptCount val="31"/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'Valor de Mercado e PL Corrigido'!$D$88:$AH$88</c:f>
              <c:numCache>
                <c:formatCode>General</c:formatCode>
                <c:ptCount val="31"/>
                <c:pt idx="2" formatCode="_-* #,##0_-;\-* #,##0_-;_-* &quot;-&quot;??_-;_-@_-">
                  <c:v>5940284.0027488843</c:v>
                </c:pt>
                <c:pt idx="3" formatCode="_-* #,##0_-;\-* #,##0_-;_-* &quot;-&quot;??_-;_-@_-">
                  <c:v>6453370.1242260532</c:v>
                </c:pt>
                <c:pt idx="4" formatCode="_-* #,##0_-;\-* #,##0_-;_-* &quot;-&quot;??_-;_-@_-">
                  <c:v>6563084.5305738999</c:v>
                </c:pt>
                <c:pt idx="5" formatCode="_-* #,##0_-;\-* #,##0_-;_-* &quot;-&quot;??_-;_-@_-">
                  <c:v>11710396.299722428</c:v>
                </c:pt>
                <c:pt idx="6" formatCode="_-* #,##0_-;\-* #,##0_-;_-* &quot;-&quot;??_-;_-@_-">
                  <c:v>12108699.866886159</c:v>
                </c:pt>
                <c:pt idx="7" formatCode="_-* #,##0_-;\-* #,##0_-;_-* &quot;-&quot;??_-;_-@_-">
                  <c:v>9431434.2422220279</c:v>
                </c:pt>
                <c:pt idx="8" formatCode="_-* #,##0_-;\-* #,##0_-;_-* &quot;-&quot;??_-;_-@_-">
                  <c:v>11497308.863237871</c:v>
                </c:pt>
                <c:pt idx="9" formatCode="_-* #,##0_-;\-* #,##0_-;_-* &quot;-&quot;??_-;_-@_-">
                  <c:v>14428626.975163391</c:v>
                </c:pt>
                <c:pt idx="10" formatCode="_-* #,##0_-;\-* #,##0_-;_-* &quot;-&quot;??_-;_-@_-">
                  <c:v>17664386.02294236</c:v>
                </c:pt>
                <c:pt idx="11" formatCode="_-* #,##0_-;\-* #,##0_-;_-* &quot;-&quot;??_-;_-@_-">
                  <c:v>20778535.021291897</c:v>
                </c:pt>
                <c:pt idx="12" formatCode="_-* #,##0_-;\-* #,##0_-;_-* &quot;-&quot;??_-;_-@_-">
                  <c:v>24016706.281974792</c:v>
                </c:pt>
                <c:pt idx="13" formatCode="_-* #,##0_-;\-* #,##0_-;_-* &quot;-&quot;??_-;_-@_-">
                  <c:v>27825463.908051047</c:v>
                </c:pt>
                <c:pt idx="14" formatCode="_-* #,##0_-;\-* #,##0_-;_-* &quot;-&quot;??_-;_-@_-">
                  <c:v>35273493.090462722</c:v>
                </c:pt>
                <c:pt idx="15" formatCode="_-* #,##0_-;\-* #,##0_-;_-* &quot;-&quot;??_-;_-@_-">
                  <c:v>38728536.076907001</c:v>
                </c:pt>
                <c:pt idx="16" formatCode="_-* #,##0_-;\-* #,##0_-;_-* &quot;-&quot;??_-;_-@_-">
                  <c:v>55526112.852854602</c:v>
                </c:pt>
                <c:pt idx="17" formatCode="_-* #,##0_-;\-* #,##0_-;_-* &quot;-&quot;??_-;_-@_-">
                  <c:v>63899879.153402716</c:v>
                </c:pt>
                <c:pt idx="18" formatCode="_-* #,##0_-;\-* #,##0_-;_-* &quot;-&quot;??_-;_-@_-">
                  <c:v>68408905.466267988</c:v>
                </c:pt>
                <c:pt idx="19" formatCode="_-* #,##0_-;\-* #,##0_-;_-* &quot;-&quot;??_-;_-@_-">
                  <c:v>73042500.864188507</c:v>
                </c:pt>
                <c:pt idx="20" formatCode="_-* #,##0_-;\-* #,##0_-;_-* &quot;-&quot;??_-;_-@_-">
                  <c:v>74445348.434930861</c:v>
                </c:pt>
                <c:pt idx="21" formatCode="_-* #,##0_-;\-* #,##0_-;_-* &quot;-&quot;??_-;_-@_-">
                  <c:v>72404625.548879132</c:v>
                </c:pt>
                <c:pt idx="22" formatCode="_-* #,##0_-;\-* #,##0_-;_-* &quot;-&quot;??_-;_-@_-">
                  <c:v>71390422.241581187</c:v>
                </c:pt>
                <c:pt idx="23" formatCode="_-* #,##0_-;\-* #,##0_-;_-* &quot;-&quot;??_-;_-@_-">
                  <c:v>72365075.463984594</c:v>
                </c:pt>
                <c:pt idx="24" formatCode="_-* #,##0_-;\-* #,##0_-;_-* &quot;-&quot;??_-;_-@_-">
                  <c:v>76529801.120903</c:v>
                </c:pt>
                <c:pt idx="25" formatCode="_-* #,##0_-;\-* #,##0_-;_-* &quot;-&quot;??_-;_-@_-">
                  <c:v>80481833.231146649</c:v>
                </c:pt>
                <c:pt idx="26" formatCode="_-* #,##0_-;\-* #,##0_-;_-* &quot;-&quot;??_-;_-@_-">
                  <c:v>83197352.937717006</c:v>
                </c:pt>
                <c:pt idx="27" formatCode="_-* #,##0_-;\-* #,##0_-;_-* &quot;-&quot;??_-;_-@_-">
                  <c:v>94050537.704700246</c:v>
                </c:pt>
                <c:pt idx="28" formatCode="_-* #,##0_-;\-* #,##0_-;_-* &quot;-&quot;??_-;_-@_-">
                  <c:v>92849980.39445807</c:v>
                </c:pt>
                <c:pt idx="29" formatCode="_-* #,##0_-;\-* #,##0_-;_-* &quot;-&quot;??_-;_-@_-">
                  <c:v>86613731.086759657</c:v>
                </c:pt>
                <c:pt idx="30" formatCode="_-* #,##0_-;\-* #,##0_-;_-* &quot;-&quot;??_-;_-@_-">
                  <c:v>84311118.898801744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C-474A-A035-77A976E74AF2}"/>
            </c:ext>
          </c:extLst>
        </c:ser>
        <c:ser>
          <c:idx val="2"/>
          <c:order val="2"/>
          <c:tx>
            <c:strRef>
              <c:f>'Valor de Mercado e PL Corrigido'!$C$89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'Valor de Mercado e PL Corrigido'!$D$86:$AH$86</c:f>
              <c:numCache>
                <c:formatCode>General</c:formatCode>
                <c:ptCount val="31"/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'Valor de Mercado e PL Corrigido'!$D$89:$AH$89</c:f>
              <c:numCache>
                <c:formatCode>General</c:formatCode>
                <c:ptCount val="31"/>
                <c:pt idx="2" formatCode="_-* #,##0_-;\-* #,##0_-;_-* &quot;-&quot;??_-;_-@_-">
                  <c:v>3636440.9590212493</c:v>
                </c:pt>
                <c:pt idx="3" formatCode="_-* #,##0_-;\-* #,##0_-;_-* &quot;-&quot;??_-;_-@_-">
                  <c:v>4885548.7866412504</c:v>
                </c:pt>
                <c:pt idx="4" formatCode="_-* #,##0_-;\-* #,##0_-;_-* &quot;-&quot;??_-;_-@_-">
                  <c:v>2654967.5366516658</c:v>
                </c:pt>
                <c:pt idx="5" formatCode="_-* #,##0_-;\-* #,##0_-;_-* &quot;-&quot;??_-;_-@_-">
                  <c:v>17428087.656000003</c:v>
                </c:pt>
                <c:pt idx="6" formatCode="_-* #,##0_-;\-* #,##0_-;_-* &quot;-&quot;??_-;_-@_-">
                  <c:v>16748049.407999994</c:v>
                </c:pt>
                <c:pt idx="7" formatCode="_-* #,##0_-;\-* #,##0_-;_-* &quot;-&quot;??_-;_-@_-">
                  <c:v>9472444.0847054161</c:v>
                </c:pt>
                <c:pt idx="8" formatCode="_-* #,##0_-;\-* #,##0_-;_-* &quot;-&quot;??_-;_-@_-">
                  <c:v>9947228.3855666649</c:v>
                </c:pt>
                <c:pt idx="9" formatCode="_-* #,##0_-;\-* #,##0_-;_-* &quot;-&quot;??_-;_-@_-">
                  <c:v>16598655.5595375</c:v>
                </c:pt>
                <c:pt idx="10" formatCode="_-* #,##0_-;\-* #,##0_-;_-* &quot;-&quot;??_-;_-@_-">
                  <c:v>22385648.777441669</c:v>
                </c:pt>
                <c:pt idx="11" formatCode="_-* #,##0_-;\-* #,##0_-;_-* &quot;-&quot;??_-;_-@_-">
                  <c:v>31265504.918229174</c:v>
                </c:pt>
                <c:pt idx="12" formatCode="_-* #,##0_-;\-* #,##0_-;_-* &quot;-&quot;??_-;_-@_-">
                  <c:v>43177086.45160833</c:v>
                </c:pt>
                <c:pt idx="13" formatCode="_-* #,##0_-;\-* #,##0_-;_-* &quot;-&quot;??_-;_-@_-">
                  <c:v>70558821.888474971</c:v>
                </c:pt>
                <c:pt idx="14" formatCode="_-* #,##0_-;\-* #,##0_-;_-* &quot;-&quot;??_-;_-@_-">
                  <c:v>41359651.922445841</c:v>
                </c:pt>
                <c:pt idx="15" formatCode="_-* #,##0_-;\-* #,##0_-;_-* &quot;-&quot;??_-;_-@_-">
                  <c:v>68143727.025024995</c:v>
                </c:pt>
                <c:pt idx="16" formatCode="_-* #,##0_-;\-* #,##0_-;_-* &quot;-&quot;??_-;_-@_-">
                  <c:v>74636548.052620828</c:v>
                </c:pt>
                <c:pt idx="17" formatCode="_-* #,##0_-;\-* #,##0_-;_-* &quot;-&quot;??_-;_-@_-">
                  <c:v>62419243.901075013</c:v>
                </c:pt>
                <c:pt idx="18" formatCode="_-* #,##0_-;\-* #,##0_-;_-* &quot;-&quot;??_-;_-@_-">
                  <c:v>65925295.749704152</c:v>
                </c:pt>
                <c:pt idx="19" formatCode="_-* #,##0_-;\-* #,##0_-;_-* &quot;-&quot;??_-;_-@_-">
                  <c:v>63575449.478831649</c:v>
                </c:pt>
                <c:pt idx="20" formatCode="_-* #,##0_-;\-* #,##0_-;_-* &quot;-&quot;??_-;_-@_-">
                  <c:v>54768640.622215807</c:v>
                </c:pt>
                <c:pt idx="21" formatCode="_-* #,##0_-;\-* #,##0_-;_-* &quot;-&quot;??_-;_-@_-">
                  <c:v>46241574.621685416</c:v>
                </c:pt>
                <c:pt idx="22" formatCode="_-* #,##0_-;\-* #,##0_-;_-* &quot;-&quot;??_-;_-@_-">
                  <c:v>67058847.716268338</c:v>
                </c:pt>
                <c:pt idx="23" formatCode="_-* #,##0_-;\-* #,##0_-;_-* &quot;-&quot;??_-;_-@_-">
                  <c:v>83329072.573200017</c:v>
                </c:pt>
                <c:pt idx="24" formatCode="_-* #,##0_-;\-* #,##0_-;_-* &quot;-&quot;??_-;_-@_-">
                  <c:v>98414332.488891646</c:v>
                </c:pt>
                <c:pt idx="25" formatCode="_-* #,##0_-;\-* #,##0_-;_-* &quot;-&quot;??_-;_-@_-">
                  <c:v>125036623.84564169</c:v>
                </c:pt>
                <c:pt idx="26" formatCode="_-* #,##0_-;\-* #,##0_-;_-* &quot;-&quot;??_-;_-@_-">
                  <c:v>133965986.58078749</c:v>
                </c:pt>
                <c:pt idx="27" formatCode="_-* #,##0_-;\-* #,##0_-;_-* &quot;-&quot;??_-;_-@_-">
                  <c:v>118927711.98433335</c:v>
                </c:pt>
                <c:pt idx="28" formatCode="_-* #,##0_-;\-* #,##0_-;_-* &quot;-&quot;??_-;_-@_-">
                  <c:v>119902809.22470836</c:v>
                </c:pt>
                <c:pt idx="29" formatCode="_-* #,##0_-;\-* #,##0_-;_-* &quot;-&quot;??_-;_-@_-">
                  <c:v>113203825.37502472</c:v>
                </c:pt>
                <c:pt idx="30" formatCode="_-* #,##0_-;\-* #,##0_-;_-* &quot;-&quot;??_-;_-@_-">
                  <c:v>114290169.37302969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1C-474A-A035-77A976E74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479839"/>
        <c:axId val="1652463999"/>
      </c:lineChart>
      <c:catAx>
        <c:axId val="165247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2463999"/>
        <c:crosses val="autoZero"/>
        <c:auto val="1"/>
        <c:lblAlgn val="ctr"/>
        <c:lblOffset val="100"/>
        <c:noMultiLvlLbl val="0"/>
      </c:catAx>
      <c:valAx>
        <c:axId val="165246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2479839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PL contábil, PL corrigido (CMB) e Valor de Mercado (R$ em bilhão)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'Valor de Mercado e PL Corrigido'!$C$95</c:f>
              <c:strCache>
                <c:ptCount val="1"/>
                <c:pt idx="0">
                  <c:v>PL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'Valor de Mercado e PL Corrigido'!$D$94:$AH$94</c:f>
              <c:numCache>
                <c:formatCode>General</c:formatCode>
                <c:ptCount val="31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'Valor de Mercado e PL Corrigido'!$D$95:$AH$95</c:f>
              <c:numCache>
                <c:formatCode>General</c:formatCode>
                <c:ptCount val="31"/>
                <c:pt idx="2" formatCode="_-* #,##0_-;\-* #,##0_-;_-* \-??_-;_-@_-">
                  <c:v>28787793.61188782</c:v>
                </c:pt>
                <c:pt idx="3" formatCode="_-* #,##0_-;\-* #,##0_-;_-* \-??_-;_-@_-">
                  <c:v>28678236.582374159</c:v>
                </c:pt>
                <c:pt idx="4" formatCode="_-* #,##0_-;\-* #,##0_-;_-* \-??_-;_-@_-">
                  <c:v>28636199.114115037</c:v>
                </c:pt>
                <c:pt idx="5" formatCode="_-* #,##0_-;\-* #,##0_-;_-* \-??_-;_-@_-">
                  <c:v>46943537.488017134</c:v>
                </c:pt>
                <c:pt idx="6" formatCode="_-* #,##0_-;\-* #,##0_-;_-* \-??_-;_-@_-">
                  <c:v>44567116.501593761</c:v>
                </c:pt>
                <c:pt idx="7" formatCode="_-* #,##0_-;\-* #,##0_-;_-* \-??_-;_-@_-">
                  <c:v>28898726.822754063</c:v>
                </c:pt>
                <c:pt idx="8" formatCode="_-* #,##0_-;\-* #,##0_-;_-* \-??_-;_-@_-">
                  <c:v>28769242.123533931</c:v>
                </c:pt>
                <c:pt idx="9" formatCode="_-* #,##0_-;\-* #,##0_-;_-* \-??_-;_-@_-">
                  <c:v>32460530.385353703</c:v>
                </c:pt>
                <c:pt idx="10" formatCode="_-* #,##0_-;\-* #,##0_-;_-* \-??_-;_-@_-">
                  <c:v>37250247.814111546</c:v>
                </c:pt>
                <c:pt idx="11" formatCode="_-* #,##0_-;\-* #,##0_-;_-* \-??_-;_-@_-">
                  <c:v>42513191.24711331</c:v>
                </c:pt>
                <c:pt idx="12" formatCode="_-* #,##0_-;\-* #,##0_-;_-* \-??_-;_-@_-">
                  <c:v>50533264.933272339</c:v>
                </c:pt>
                <c:pt idx="13" formatCode="_-* #,##0_-;\-* #,##0_-;_-* \-??_-;_-@_-">
                  <c:v>57415458.466423713</c:v>
                </c:pt>
                <c:pt idx="14" formatCode="_-* #,##0_-;\-* #,##0_-;_-* \-??_-;_-@_-">
                  <c:v>70074813.269609481</c:v>
                </c:pt>
                <c:pt idx="15" formatCode="_-* #,##0_-;\-* #,##0_-;_-* \-??_-;_-@_-">
                  <c:v>74122174.441477656</c:v>
                </c:pt>
                <c:pt idx="16" formatCode="_-* #,##0_-;\-* #,##0_-;_-* \-??_-;_-@_-">
                  <c:v>103518394.56125318</c:v>
                </c:pt>
                <c:pt idx="17" formatCode="_-* #,##0_-;\-* #,##0_-;_-* \-??_-;_-@_-">
                  <c:v>108976844.07410769</c:v>
                </c:pt>
                <c:pt idx="18" formatCode="_-* #,##0_-;\-* #,##0_-;_-* \-??_-;_-@_-">
                  <c:v>108459763.1472321</c:v>
                </c:pt>
                <c:pt idx="19" formatCode="_-* #,##0_-;\-* #,##0_-;_-* \-??_-;_-@_-">
                  <c:v>105313538.12629835</c:v>
                </c:pt>
                <c:pt idx="20" formatCode="_-* #,##0_-;\-* #,##0_-;_-* \-??_-;_-@_-">
                  <c:v>96286375.524893478</c:v>
                </c:pt>
                <c:pt idx="21" formatCode="_-* #,##0_-;\-* #,##0_-;_-* \-??_-;_-@_-">
                  <c:v>80659161.473547667</c:v>
                </c:pt>
                <c:pt idx="22" formatCode="_-* #,##0_-;\-* #,##0_-;_-* \-??_-;_-@_-">
                  <c:v>76151411.143587157</c:v>
                </c:pt>
                <c:pt idx="23" formatCode="_-* #,##0_-;\-* #,##0_-;_-* \-??_-;_-@_-">
                  <c:v>79691192.828085646</c:v>
                </c:pt>
                <c:pt idx="24" formatCode="_-* #,##0_-;\-* #,##0_-;_-* \-??_-;_-@_-">
                  <c:v>82926100.351719305</c:v>
                </c:pt>
                <c:pt idx="25" formatCode="_-* #,##0_-;\-* #,##0_-;_-* \-??_-;_-@_-">
                  <c:v>84382998.089171901</c:v>
                </c:pt>
                <c:pt idx="26" formatCode="_-* #,##0_-;\-* #,##0_-;_-* \-??_-;_-@_-">
                  <c:v>87922336.643400937</c:v>
                </c:pt>
                <c:pt idx="27" formatCode="_-* #,##0_-;\-* #,##0_-;_-* \-??_-;_-@_-">
                  <c:v>92846408.91141136</c:v>
                </c:pt>
                <c:pt idx="28" formatCode="_-* #,##0_-;\-* #,##0_-;_-* \-??_-;_-@_-">
                  <c:v>91890279.332581028</c:v>
                </c:pt>
                <c:pt idx="29" formatCode="_-* #,##0_-;\-* #,##0_-;_-* \-??_-;_-@_-">
                  <c:v>87832421.461079165</c:v>
                </c:pt>
                <c:pt idx="30" formatCode="_-* #,##0_-;\-* #,##0_-;_-* \-??_-;_-@_-">
                  <c:v>83785578.041666672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B-4428-8C11-5A26E593D53E}"/>
            </c:ext>
          </c:extLst>
        </c:ser>
        <c:ser>
          <c:idx val="3"/>
          <c:order val="3"/>
          <c:tx>
            <c:strRef>
              <c:f>'Valor de Mercado e PL Corrigido'!$C$98</c:f>
              <c:strCache>
                <c:ptCount val="1"/>
                <c:pt idx="0">
                  <c:v>Potencial Ganho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'Valor de Mercado e PL Corrigido'!$D$94:$AH$94</c:f>
              <c:numCache>
                <c:formatCode>General</c:formatCode>
                <c:ptCount val="31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'Valor de Mercado e PL Corrigido'!$D$98:$AH$98</c:f>
              <c:numCache>
                <c:formatCode>General</c:formatCode>
                <c:ptCount val="31"/>
                <c:pt idx="2" formatCode="_-* #,##0_-;\-* #,##0_-;_-* &quot;-&quot;??_-;_-@_-">
                  <c:v>-9846221.086975228</c:v>
                </c:pt>
                <c:pt idx="3" formatCode="_-* #,##0_-;\-* #,##0_-;_-* &quot;-&quot;??_-;_-@_-">
                  <c:v>-4492765.6977672763</c:v>
                </c:pt>
                <c:pt idx="4" formatCode="_-* #,##0_-;\-* #,##0_-;_-* &quot;-&quot;??_-;_-@_-">
                  <c:v>-15707634.724850109</c:v>
                </c:pt>
                <c:pt idx="5" formatCode="_-* #,##0_-;\-* #,##0_-;_-* &quot;-&quot;??_-;_-@_-">
                  <c:v>30959331.529136442</c:v>
                </c:pt>
                <c:pt idx="6" formatCode="_-* #,##0_-;\-* #,##0_-;_-* &quot;-&quot;??_-;_-@_-">
                  <c:v>26078466.862968393</c:v>
                </c:pt>
                <c:pt idx="7" formatCode="_-* #,##0_-;\-* #,##0_-;_-* &quot;-&quot;??_-;_-@_-">
                  <c:v>8211030.9503634349</c:v>
                </c:pt>
                <c:pt idx="8" formatCode="_-* #,##0_-;\-* #,##0_-;_-* &quot;-&quot;??_-;_-@_-">
                  <c:v>5861343.8128247894</c:v>
                </c:pt>
                <c:pt idx="9" formatCode="_-* #,##0_-;\-* #,##0_-;_-* &quot;-&quot;??_-;_-@_-">
                  <c:v>20409614.599001545</c:v>
                </c:pt>
                <c:pt idx="10" formatCode="_-* #,##0_-;\-* #,##0_-;_-* &quot;-&quot;??_-;_-@_-">
                  <c:v>29016400.131972916</c:v>
                </c:pt>
                <c:pt idx="11" formatCode="_-* #,##0_-;\-* #,##0_-;_-* &quot;-&quot;??_-;_-@_-">
                  <c:v>45057114.46414379</c:v>
                </c:pt>
                <c:pt idx="12" formatCode="_-* #,##0_-;\-* #,##0_-;_-* &quot;-&quot;??_-;_-@_-">
                  <c:v>66718023.934918083</c:v>
                </c:pt>
                <c:pt idx="13" formatCode="_-* #,##0_-;\-* #,##0_-;_-* &quot;-&quot;??_-;_-@_-">
                  <c:v>126012524.92330626</c:v>
                </c:pt>
                <c:pt idx="14" formatCode="_-* #,##0_-;\-* #,##0_-;_-* &quot;-&quot;??_-;_-@_-">
                  <c:v>31455373.630412951</c:v>
                </c:pt>
                <c:pt idx="15" formatCode="_-* #,##0_-;\-* #,##0_-;_-* &quot;-&quot;??_-;_-@_-">
                  <c:v>86246023.151163638</c:v>
                </c:pt>
                <c:pt idx="16" formatCode="_-* #,##0_-;\-* #,##0_-;_-* &quot;-&quot;??_-;_-@_-">
                  <c:v>62328346.574282095</c:v>
                </c:pt>
                <c:pt idx="17" formatCode="_-* #,##0_-;\-* #,##0_-;_-* &quot;-&quot;??_-;_-@_-">
                  <c:v>21257129.923349798</c:v>
                </c:pt>
                <c:pt idx="18" formatCode="_-* #,##0_-;\-* #,##0_-;_-* &quot;-&quot;??_-;_-@_-">
                  <c:v>21499740.772853717</c:v>
                </c:pt>
                <c:pt idx="19" formatCode="_-* #,##0_-;\-* #,##0_-;_-* &quot;-&quot;??_-;_-@_-">
                  <c:v>13020157.887563869</c:v>
                </c:pt>
                <c:pt idx="20" formatCode="_-* #,##0_-;\-* #,##0_-;_-* &quot;-&quot;??_-;_-@_-">
                  <c:v>-485713.86431133747</c:v>
                </c:pt>
                <c:pt idx="21" formatCode="_-* #,##0_-;\-* #,##0_-;_-* &quot;-&quot;??_-;_-@_-">
                  <c:v>-7572310.3316633254</c:v>
                </c:pt>
                <c:pt idx="22" formatCode="_-* #,##0_-;\-* #,##0_-;_-* &quot;-&quot;??_-;_-@_-">
                  <c:v>23565844.242338121</c:v>
                </c:pt>
                <c:pt idx="23" formatCode="_-* #,##0_-;\-* #,##0_-;_-* &quot;-&quot;??_-;_-@_-">
                  <c:v>40669430.226124868</c:v>
                </c:pt>
                <c:pt idx="24" formatCode="_-* #,##0_-;\-* #,##0_-;_-* &quot;-&quot;??_-;_-@_-">
                  <c:v>54085747.84486194</c:v>
                </c:pt>
                <c:pt idx="25" formatCode="_-* #,##0_-;\-* #,##0_-;_-* &quot;-&quot;??_-;_-@_-">
                  <c:v>82499605.534616813</c:v>
                </c:pt>
                <c:pt idx="26" formatCode="_-* #,##0_-;\-* #,##0_-;_-* &quot;-&quot;??_-;_-@_-">
                  <c:v>83145740.517385036</c:v>
                </c:pt>
                <c:pt idx="27" formatCode="_-* #,##0_-;\-* #,##0_-;_-* &quot;-&quot;??_-;_-@_-">
                  <c:v>45137353.376850352</c:v>
                </c:pt>
                <c:pt idx="28" formatCode="_-* #,##0_-;\-* #,##0_-;_-* &quot;-&quot;??_-;_-@_-">
                  <c:v>39610903.686534837</c:v>
                </c:pt>
                <c:pt idx="29" formatCode="_-* #,##0_-;\-* #,##0_-;_-* &quot;-&quot;??_-;_-@_-">
                  <c:v>30839148.679559246</c:v>
                </c:pt>
                <c:pt idx="30" formatCode="_-* #,##0_-;\-* #,##0_-;_-* &quot;-&quot;??_-;_-@_-">
                  <c:v>30504591.331363022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AB-4428-8C11-5A26E593D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2248479"/>
        <c:axId val="1652259519"/>
      </c:barChart>
      <c:lineChart>
        <c:grouping val="standard"/>
        <c:varyColors val="0"/>
        <c:ser>
          <c:idx val="1"/>
          <c:order val="1"/>
          <c:tx>
            <c:strRef>
              <c:f>'Valor de Mercado e PL Corrigido'!$C$96</c:f>
              <c:strCache>
                <c:ptCount val="1"/>
                <c:pt idx="0">
                  <c:v>PL com efeito inflacionário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'Valor de Mercado e PL Corrigido'!$D$94:$AH$94</c:f>
              <c:numCache>
                <c:formatCode>General</c:formatCode>
                <c:ptCount val="31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'Valor de Mercado e PL Corrigido'!$D$96:$AH$96</c:f>
              <c:numCache>
                <c:formatCode>General</c:formatCode>
                <c:ptCount val="31"/>
                <c:pt idx="2" formatCode="_-* #,##0_-;\-* #,##0_-;_-* \-??_-;_-@_-">
                  <c:v>30941880.130766775</c:v>
                </c:pt>
                <c:pt idx="3" formatCode="_-* #,##0_-;\-* #,##0_-;_-* \-??_-;_-@_-">
                  <c:v>31946829.734631006</c:v>
                </c:pt>
                <c:pt idx="4" formatCode="_-* #,##0_-;\-* #,##0_-;_-* \-??_-;_-@_-">
                  <c:v>31959434.446691621</c:v>
                </c:pt>
                <c:pt idx="5" formatCode="_-* #,##0_-;\-* #,##0_-;_-* \-??_-;_-@_-">
                  <c:v>52345012.664781146</c:v>
                </c:pt>
                <c:pt idx="6" formatCode="_-* #,##0_-;\-* #,##0_-;_-* \-??_-;_-@_-">
                  <c:v>51076166.844478004</c:v>
                </c:pt>
                <c:pt idx="7" formatCode="_-* #,##0_-;\-* #,##0_-;_-* \-??_-;_-@_-">
                  <c:v>36949095.402639166</c:v>
                </c:pt>
                <c:pt idx="8" formatCode="_-* #,##0_-;\-* #,##0_-;_-* \-??_-;_-@_-">
                  <c:v>40027083.645022385</c:v>
                </c:pt>
                <c:pt idx="9" formatCode="_-* #,##0_-;\-* #,##0_-;_-* \-??_-;_-@_-">
                  <c:v>45958155.910027407</c:v>
                </c:pt>
                <c:pt idx="10" formatCode="_-* #,##0_-;\-* #,##0_-;_-* \-??_-;_-@_-">
                  <c:v>52290628.759692051</c:v>
                </c:pt>
                <c:pt idx="11" formatCode="_-* #,##0_-;\-* #,##0_-;_-* \-??_-;_-@_-">
                  <c:v>58197769.996213824</c:v>
                </c:pt>
                <c:pt idx="12" formatCode="_-* #,##0_-;\-* #,##0_-;_-* \-??_-;_-@_-">
                  <c:v>65219541.135235995</c:v>
                </c:pt>
                <c:pt idx="13" formatCode="_-* #,##0_-;\-* #,##0_-;_-* \-??_-;_-@_-">
                  <c:v>72336365.530660838</c:v>
                </c:pt>
                <c:pt idx="14" formatCode="_-* #,##0_-;\-* #,##0_-;_-* \-??_-;_-@_-">
                  <c:v>86589808.657160118</c:v>
                </c:pt>
                <c:pt idx="15" formatCode="_-* #,##0_-;\-* #,##0_-;_-* \-??_-;_-@_-">
                  <c:v>91143026.617465541</c:v>
                </c:pt>
                <c:pt idx="16" formatCode="_-* #,##0_-;\-* #,##0_-;_-* \-??_-;_-@_-">
                  <c:v>123382245.09093612</c:v>
                </c:pt>
                <c:pt idx="17" formatCode="_-* #,##0_-;\-* #,##0_-;_-* \-??_-;_-@_-">
                  <c:v>133323229.82466631</c:v>
                </c:pt>
                <c:pt idx="18" formatCode="_-* #,##0_-;\-* #,##0_-;_-* \-??_-;_-@_-">
                  <c:v>134855480.23729771</c:v>
                </c:pt>
                <c:pt idx="19" formatCode="_-* #,##0_-;\-* #,##0_-;_-* \-??_-;_-@_-">
                  <c:v>135954824.76664346</c:v>
                </c:pt>
                <c:pt idx="20" formatCode="_-* #,##0_-;\-* #,##0_-;_-* \-??_-;_-@_-">
                  <c:v>130218927.41164805</c:v>
                </c:pt>
                <c:pt idx="21" formatCode="_-* #,##0_-;\-* #,##0_-;_-* \-??_-;_-@_-">
                  <c:v>114438708.73275051</c:v>
                </c:pt>
                <c:pt idx="22" formatCode="_-* #,##0_-;\-* #,##0_-;_-* \-??_-;_-@_-">
                  <c:v>106158355.07483333</c:v>
                </c:pt>
                <c:pt idx="23" formatCode="_-* #,##0_-;\-* #,##0_-;_-* \-??_-;_-@_-">
                  <c:v>104524211.07361987</c:v>
                </c:pt>
                <c:pt idx="24" formatCode="_-* #,##0_-;\-* #,##0_-;_-* \-??_-;_-@_-">
                  <c:v>106544333.82327972</c:v>
                </c:pt>
                <c:pt idx="25" formatCode="_-* #,##0_-;\-* #,##0_-;_-* \-??_-;_-@_-">
                  <c:v>107416670.89963952</c:v>
                </c:pt>
                <c:pt idx="26" formatCode="_-* #,##0_-;\-* #,##0_-;_-* \-??_-;_-@_-">
                  <c:v>106238990.62124798</c:v>
                </c:pt>
                <c:pt idx="27" formatCode="_-* #,##0_-;\-* #,##0_-;_-* \-??_-;_-@_-">
                  <c:v>109120463.35708624</c:v>
                </c:pt>
                <c:pt idx="28" formatCode="_-* #,##0_-;\-* #,##0_-;_-* \-??_-;_-@_-">
                  <c:v>101831494.55898537</c:v>
                </c:pt>
                <c:pt idx="29" formatCode="_-* #,##0_-;\-* #,##0_-;_-* \-??_-;_-@_-">
                  <c:v>90797174.298250154</c:v>
                </c:pt>
                <c:pt idx="30" formatCode="_-* #,##0_-;\-* #,##0_-;_-* \-??_-;_-@_-">
                  <c:v>84311118.898801744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AB-4428-8C11-5A26E593D53E}"/>
            </c:ext>
          </c:extLst>
        </c:ser>
        <c:ser>
          <c:idx val="2"/>
          <c:order val="2"/>
          <c:tx>
            <c:strRef>
              <c:f>'Valor de Mercado e PL Corrigido'!$C$97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'Valor de Mercado e PL Corrigido'!$D$94:$AH$94</c:f>
              <c:numCache>
                <c:formatCode>General</c:formatCode>
                <c:ptCount val="31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'Valor de Mercado e PL Corrigido'!$D$97:$AH$97</c:f>
              <c:numCache>
                <c:formatCode>General</c:formatCode>
                <c:ptCount val="31"/>
                <c:pt idx="2" formatCode="_-* #,##0_-;\-* #,##0_-;_-* \-??_-;_-@_-">
                  <c:v>18941572.524912592</c:v>
                </c:pt>
                <c:pt idx="3" formatCode="_-* #,##0_-;\-* #,##0_-;_-* \-??_-;_-@_-">
                  <c:v>24185470.884606883</c:v>
                </c:pt>
                <c:pt idx="4" formatCode="_-* #,##0_-;\-* #,##0_-;_-* \-??_-;_-@_-">
                  <c:v>12928564.389264928</c:v>
                </c:pt>
                <c:pt idx="5" formatCode="_-* #,##0_-;\-* #,##0_-;_-* \-??_-;_-@_-">
                  <c:v>77902869.017153576</c:v>
                </c:pt>
                <c:pt idx="6" formatCode="_-* #,##0_-;\-* #,##0_-;_-* \-??_-;_-@_-">
                  <c:v>70645583.364562154</c:v>
                </c:pt>
                <c:pt idx="7" formatCode="_-* #,##0_-;\-* #,##0_-;_-* \-??_-;_-@_-">
                  <c:v>37109757.773117498</c:v>
                </c:pt>
                <c:pt idx="8" formatCode="_-* #,##0_-;\-* #,##0_-;_-* \-??_-;_-@_-">
                  <c:v>34630585.93635872</c:v>
                </c:pt>
                <c:pt idx="9" formatCode="_-* #,##0_-;\-* #,##0_-;_-* \-??_-;_-@_-">
                  <c:v>52870144.984355249</c:v>
                </c:pt>
                <c:pt idx="10" formatCode="_-* #,##0_-;\-* #,##0_-;_-* \-??_-;_-@_-">
                  <c:v>66266647.946084462</c:v>
                </c:pt>
                <c:pt idx="11" formatCode="_-* #,##0_-;\-* #,##0_-;_-* \-??_-;_-@_-">
                  <c:v>87570305.7112571</c:v>
                </c:pt>
                <c:pt idx="12" formatCode="_-* #,##0_-;\-* #,##0_-;_-* \-??_-;_-@_-">
                  <c:v>117251288.86819042</c:v>
                </c:pt>
                <c:pt idx="13" formatCode="_-* #,##0_-;\-* #,##0_-;_-* \-??_-;_-@_-">
                  <c:v>183427983.38972998</c:v>
                </c:pt>
                <c:pt idx="14" formatCode="_-* #,##0_-;\-* #,##0_-;_-* \-??_-;_-@_-">
                  <c:v>101530186.90002243</c:v>
                </c:pt>
                <c:pt idx="15" formatCode="_-* #,##0_-;\-* #,##0_-;_-* \-??_-;_-@_-">
                  <c:v>160368197.59264129</c:v>
                </c:pt>
                <c:pt idx="16" formatCode="_-* #,##0_-;\-* #,##0_-;_-* \-??_-;_-@_-">
                  <c:v>165846741.13553527</c:v>
                </c:pt>
                <c:pt idx="17" formatCode="_-* #,##0_-;\-* #,##0_-;_-* \-??_-;_-@_-">
                  <c:v>130233973.99745749</c:v>
                </c:pt>
                <c:pt idx="18" formatCode="_-* #,##0_-;\-* #,##0_-;_-* \-??_-;_-@_-">
                  <c:v>129959503.92008582</c:v>
                </c:pt>
                <c:pt idx="19" formatCode="_-* #,##0_-;\-* #,##0_-;_-* \-??_-;_-@_-">
                  <c:v>118333696.01386222</c:v>
                </c:pt>
                <c:pt idx="20" formatCode="_-* #,##0_-;\-* #,##0_-;_-* \-??_-;_-@_-">
                  <c:v>95800661.66058214</c:v>
                </c:pt>
                <c:pt idx="21" formatCode="_-* #,##0_-;\-* #,##0_-;_-* \-??_-;_-@_-">
                  <c:v>73086851.141884342</c:v>
                </c:pt>
                <c:pt idx="22" formatCode="_-* #,##0_-;\-* #,##0_-;_-* \-??_-;_-@_-">
                  <c:v>99717255.385925278</c:v>
                </c:pt>
                <c:pt idx="23" formatCode="_-* #,##0_-;\-* #,##0_-;_-* \-??_-;_-@_-">
                  <c:v>120360623.05421051</c:v>
                </c:pt>
                <c:pt idx="24" formatCode="_-* #,##0_-;\-* #,##0_-;_-* \-??_-;_-@_-">
                  <c:v>137011848.19658124</c:v>
                </c:pt>
                <c:pt idx="25" formatCode="_-* #,##0_-;\-* #,##0_-;_-* \-??_-;_-@_-">
                  <c:v>166882603.62378871</c:v>
                </c:pt>
                <c:pt idx="26" formatCode="_-* #,##0_-;\-* #,##0_-;_-* \-??_-;_-@_-">
                  <c:v>171068077.16078597</c:v>
                </c:pt>
                <c:pt idx="27" formatCode="_-* #,##0_-;\-* #,##0_-;_-* \-??_-;_-@_-">
                  <c:v>137983762.28826171</c:v>
                </c:pt>
                <c:pt idx="28" formatCode="_-* #,##0_-;\-* #,##0_-;_-* \-??_-;_-@_-">
                  <c:v>131501183.01911587</c:v>
                </c:pt>
                <c:pt idx="29" formatCode="_-* #,##0_-;\-* #,##0_-;_-* \-??_-;_-@_-">
                  <c:v>118671570.14063841</c:v>
                </c:pt>
                <c:pt idx="30" formatCode="_-* #,##0_-;\-* #,##0_-;_-* \-??_-;_-@_-">
                  <c:v>114290169.37302969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AB-4428-8C11-5A26E593D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248479"/>
        <c:axId val="1652259519"/>
      </c:lineChart>
      <c:catAx>
        <c:axId val="165224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2259519"/>
        <c:crosses val="autoZero"/>
        <c:auto val="1"/>
        <c:lblAlgn val="ctr"/>
        <c:lblOffset val="100"/>
        <c:noMultiLvlLbl val="0"/>
      </c:catAx>
      <c:valAx>
        <c:axId val="165225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2248479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B3 - Valor de Mercado, PL Histórico, PL Corrigido em R$ (mil)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[1]BR_PL!$H$1</c:f>
              <c:strCache>
                <c:ptCount val="1"/>
                <c:pt idx="0">
                  <c:v>valor_mercado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[1]BR_PL!$G$2:$G$31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[1]BR_PL!$H$2:$H$31</c:f>
              <c:numCache>
                <c:formatCode>General</c:formatCode>
                <c:ptCount val="30"/>
                <c:pt idx="0">
                  <c:v>12436408.737658121</c:v>
                </c:pt>
                <c:pt idx="1">
                  <c:v>18859714.549327489</c:v>
                </c:pt>
                <c:pt idx="2">
                  <c:v>24014677.895500943</c:v>
                </c:pt>
                <c:pt idx="3">
                  <c:v>12819773.629845401</c:v>
                </c:pt>
                <c:pt idx="4">
                  <c:v>34799689.414309353</c:v>
                </c:pt>
                <c:pt idx="5">
                  <c:v>37147737.701203428</c:v>
                </c:pt>
                <c:pt idx="6">
                  <c:v>36750892.812096573</c:v>
                </c:pt>
                <c:pt idx="7">
                  <c:v>34131826.660956889</c:v>
                </c:pt>
                <c:pt idx="8">
                  <c:v>54006415.449351393</c:v>
                </c:pt>
                <c:pt idx="9">
                  <c:v>67422984.496523261</c:v>
                </c:pt>
                <c:pt idx="10">
                  <c:v>89443186.341072291</c:v>
                </c:pt>
                <c:pt idx="11">
                  <c:v>119721343.16331534</c:v>
                </c:pt>
                <c:pt idx="12">
                  <c:v>187759195.06727105</c:v>
                </c:pt>
                <c:pt idx="13">
                  <c:v>99494561.160260424</c:v>
                </c:pt>
                <c:pt idx="14">
                  <c:v>156647706.3717106</c:v>
                </c:pt>
                <c:pt idx="15">
                  <c:v>162963514.27001691</c:v>
                </c:pt>
                <c:pt idx="16">
                  <c:v>128196723.75011219</c:v>
                </c:pt>
                <c:pt idx="17">
                  <c:v>127573551.00929496</c:v>
                </c:pt>
                <c:pt idx="18">
                  <c:v>116053858.35728219</c:v>
                </c:pt>
                <c:pt idx="19">
                  <c:v>94674712.498602957</c:v>
                </c:pt>
                <c:pt idx="20">
                  <c:v>72614408.161312133</c:v>
                </c:pt>
                <c:pt idx="21">
                  <c:v>98676468.567149445</c:v>
                </c:pt>
                <c:pt idx="22">
                  <c:v>120355235.19243242</c:v>
                </c:pt>
                <c:pt idx="23">
                  <c:v>137376077.09155282</c:v>
                </c:pt>
                <c:pt idx="24">
                  <c:v>167033066.07028455</c:v>
                </c:pt>
                <c:pt idx="25">
                  <c:v>170353676.00821027</c:v>
                </c:pt>
                <c:pt idx="26">
                  <c:v>137034873.11379841</c:v>
                </c:pt>
                <c:pt idx="27">
                  <c:v>99159933.152589858</c:v>
                </c:pt>
                <c:pt idx="28">
                  <c:v>123831203.62501322</c:v>
                </c:pt>
                <c:pt idx="29">
                  <c:v>119259307.171857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4D-4CD0-BABE-9E82F7962644}"/>
            </c:ext>
          </c:extLst>
        </c:ser>
        <c:ser>
          <c:idx val="1"/>
          <c:order val="1"/>
          <c:tx>
            <c:strRef>
              <c:f>[1]BR_PL!$I$1</c:f>
              <c:strCache>
                <c:ptCount val="1"/>
                <c:pt idx="0">
                  <c:v>pl_histórico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[1]BR_PL!$G$2:$G$31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[1]BR_PL!$I$2:$I$31</c:f>
              <c:numCache>
                <c:formatCode>General</c:formatCode>
                <c:ptCount val="30"/>
                <c:pt idx="0">
                  <c:v>32158789.281388003</c:v>
                </c:pt>
                <c:pt idx="1">
                  <c:v>28523403.806713387</c:v>
                </c:pt>
                <c:pt idx="2">
                  <c:v>28335324.963292494</c:v>
                </c:pt>
                <c:pt idx="3">
                  <c:v>28563392.876126599</c:v>
                </c:pt>
                <c:pt idx="4">
                  <c:v>25386196.158133533</c:v>
                </c:pt>
                <c:pt idx="5">
                  <c:v>28118820.314661663</c:v>
                </c:pt>
                <c:pt idx="6">
                  <c:v>28714352.88772523</c:v>
                </c:pt>
                <c:pt idx="7">
                  <c:v>28590413.940562293</c:v>
                </c:pt>
                <c:pt idx="8">
                  <c:v>33300127.635771088</c:v>
                </c:pt>
                <c:pt idx="9">
                  <c:v>38088084.457658403</c:v>
                </c:pt>
                <c:pt idx="10">
                  <c:v>43382241.387965843</c:v>
                </c:pt>
                <c:pt idx="11">
                  <c:v>51553847.017321505</c:v>
                </c:pt>
                <c:pt idx="12">
                  <c:v>58474912.436624207</c:v>
                </c:pt>
                <c:pt idx="13">
                  <c:v>68766813.935519889</c:v>
                </c:pt>
                <c:pt idx="14">
                  <c:v>73078884.265321746</c:v>
                </c:pt>
                <c:pt idx="15">
                  <c:v>102572127.25941372</c:v>
                </c:pt>
                <c:pt idx="16">
                  <c:v>107681211.32735547</c:v>
                </c:pt>
                <c:pt idx="17">
                  <c:v>107009236.61491106</c:v>
                </c:pt>
                <c:pt idx="18">
                  <c:v>103883579.67184807</c:v>
                </c:pt>
                <c:pt idx="19">
                  <c:v>94822901.229224086</c:v>
                </c:pt>
                <c:pt idx="20">
                  <c:v>79226082.009498551</c:v>
                </c:pt>
                <c:pt idx="21">
                  <c:v>75121771.40178813</c:v>
                </c:pt>
                <c:pt idx="22">
                  <c:v>78799323.094806805</c:v>
                </c:pt>
                <c:pt idx="23">
                  <c:v>81995383.59192951</c:v>
                </c:pt>
                <c:pt idx="24">
                  <c:v>83371446.243848249</c:v>
                </c:pt>
                <c:pt idx="25">
                  <c:v>86929864.821456775</c:v>
                </c:pt>
                <c:pt idx="26">
                  <c:v>91381795.483656406</c:v>
                </c:pt>
                <c:pt idx="27">
                  <c:v>57227875.536555082</c:v>
                </c:pt>
                <c:pt idx="28">
                  <c:v>60206853.7835695</c:v>
                </c:pt>
                <c:pt idx="29">
                  <c:v>59975533.565217301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4D-4CD0-BABE-9E82F7962644}"/>
            </c:ext>
          </c:extLst>
        </c:ser>
        <c:ser>
          <c:idx val="2"/>
          <c:order val="2"/>
          <c:tx>
            <c:strRef>
              <c:f>[1]BR_PL!$J$1</c:f>
              <c:strCache>
                <c:ptCount val="1"/>
                <c:pt idx="0">
                  <c:v>pl_corrigido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[1]BR_PL!$G$2:$G$31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[1]BR_PL!$J$2:$J$31</c:f>
              <c:numCache>
                <c:formatCode>General</c:formatCode>
                <c:ptCount val="30"/>
                <c:pt idx="0">
                  <c:v>33899923.871268064</c:v>
                </c:pt>
                <c:pt idx="1">
                  <c:v>30941880.130766749</c:v>
                </c:pt>
                <c:pt idx="2">
                  <c:v>31946829.734630991</c:v>
                </c:pt>
                <c:pt idx="3">
                  <c:v>31959434.446691569</c:v>
                </c:pt>
                <c:pt idx="4">
                  <c:v>52327441.66345273</c:v>
                </c:pt>
                <c:pt idx="5">
                  <c:v>51040981.530624934</c:v>
                </c:pt>
                <c:pt idx="6">
                  <c:v>36889683.521485351</c:v>
                </c:pt>
                <c:pt idx="7">
                  <c:v>39919767.746785223</c:v>
                </c:pt>
                <c:pt idx="8">
                  <c:v>47177430.118396871</c:v>
                </c:pt>
                <c:pt idx="9">
                  <c:v>53505048.748493545</c:v>
                </c:pt>
                <c:pt idx="10">
                  <c:v>59420370.100953281</c:v>
                </c:pt>
                <c:pt idx="11">
                  <c:v>66530225.889835887</c:v>
                </c:pt>
                <c:pt idx="12">
                  <c:v>73653774.996593222</c:v>
                </c:pt>
                <c:pt idx="13">
                  <c:v>86177478.467112094</c:v>
                </c:pt>
                <c:pt idx="14">
                  <c:v>90678178.788378745</c:v>
                </c:pt>
                <c:pt idx="15">
                  <c:v>122826523.56703337</c:v>
                </c:pt>
                <c:pt idx="16">
                  <c:v>132613458.90044424</c:v>
                </c:pt>
                <c:pt idx="17">
                  <c:v>133996818.93313935</c:v>
                </c:pt>
                <c:pt idx="18">
                  <c:v>134932471.08578536</c:v>
                </c:pt>
                <c:pt idx="19">
                  <c:v>129004816.59346819</c:v>
                </c:pt>
                <c:pt idx="20">
                  <c:v>112860210.07071877</c:v>
                </c:pt>
                <c:pt idx="21">
                  <c:v>104390828.15601265</c:v>
                </c:pt>
                <c:pt idx="22">
                  <c:v>102757140.21692748</c:v>
                </c:pt>
                <c:pt idx="23">
                  <c:v>104745867.22568877</c:v>
                </c:pt>
                <c:pt idx="24">
                  <c:v>105566044.66252741</c:v>
                </c:pt>
                <c:pt idx="25">
                  <c:v>104322970.76781435</c:v>
                </c:pt>
                <c:pt idx="26">
                  <c:v>106875627.39937079</c:v>
                </c:pt>
                <c:pt idx="27">
                  <c:v>99483872.666826159</c:v>
                </c:pt>
                <c:pt idx="28">
                  <c:v>89597386.240157649</c:v>
                </c:pt>
                <c:pt idx="29">
                  <c:v>83017683.008653596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4D-4CD0-BABE-9E82F7962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295183"/>
        <c:axId val="1534285103"/>
      </c:lineChart>
      <c:catAx>
        <c:axId val="153429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285103"/>
        <c:crosses val="autoZero"/>
        <c:auto val="1"/>
        <c:lblAlgn val="ctr"/>
        <c:lblOffset val="100"/>
        <c:noMultiLvlLbl val="0"/>
      </c:catAx>
      <c:valAx>
        <c:axId val="153428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29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VALE3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VALE3!$M$22</c:f>
              <c:strCache>
                <c:ptCount val="1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VALE3!$N$21:$AP$21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VALE3!$N$22:$AP$22</c:f>
              <c:numCache>
                <c:formatCode>General</c:formatCode>
                <c:ptCount val="29"/>
                <c:pt idx="2" formatCode="_-* #,##0_-;\-* #,##0_-;_-* \-??_-;_-@_-">
                  <c:v>10228870</c:v>
                </c:pt>
                <c:pt idx="3" formatCode="_-* #,##0_-;\-* #,##0_-;_-* \-??_-;_-@_-">
                  <c:v>9472000</c:v>
                </c:pt>
                <c:pt idx="4" formatCode="_-* #,##0_-;\-* #,##0_-;_-* \-??_-;_-@_-">
                  <c:v>9712283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11766563</c:v>
                </c:pt>
                <c:pt idx="8" formatCode="_-* #,##0_-;\-* #,##0_-;_-* \-??_-;_-@_-">
                  <c:v>12750519</c:v>
                </c:pt>
                <c:pt idx="9" formatCode="_-* #,##0_-;\-* #,##0_-;_-* \-??_-;_-@_-">
                  <c:v>14939574</c:v>
                </c:pt>
                <c:pt idx="10" formatCode="_-* #,##0_-;\-* #,##0_-;_-* \-??_-;_-@_-">
                  <c:v>18169333</c:v>
                </c:pt>
                <c:pt idx="11" formatCode="_-* #,##0_-;\-* #,##0_-;_-* \-??_-;_-@_-">
                  <c:v>24052131</c:v>
                </c:pt>
                <c:pt idx="12" formatCode="_-* #,##0_-;\-* #,##0_-;_-* \-??_-;_-@_-">
                  <c:v>39098760</c:v>
                </c:pt>
                <c:pt idx="13" formatCode="_-* #,##0_-;\-* #,##0_-;_-* \-??_-;_-@_-">
                  <c:v>57029465</c:v>
                </c:pt>
                <c:pt idx="14" formatCode="_-* #,##0_-;\-* #,##0_-;_-* \-??_-;_-@_-">
                  <c:v>96274640</c:v>
                </c:pt>
                <c:pt idx="15" formatCode="_-* #,##0_-;\-* #,##0_-;_-* \-??_-;_-@_-">
                  <c:v>95736974</c:v>
                </c:pt>
                <c:pt idx="16" formatCode="_-* #,##0_-;\-* #,##0_-;_-* \-??_-;_-@_-">
                  <c:v>112118004</c:v>
                </c:pt>
                <c:pt idx="17" formatCode="_-* #,##0_-;\-* #,##0_-;_-* \-??_-;_-@_-">
                  <c:v>143475398</c:v>
                </c:pt>
                <c:pt idx="18" formatCode="_-* #,##0_-;\-* #,##0_-;_-* \-??_-;_-@_-">
                  <c:v>152388190</c:v>
                </c:pt>
                <c:pt idx="19" formatCode="_-* #,##0_-;\-* #,##0_-;_-* \-??_-;_-@_-">
                  <c:v>148345807</c:v>
                </c:pt>
                <c:pt idx="20" formatCode="_-* #,##0_-;\-* #,##0_-;_-* \-??_-;_-@_-">
                  <c:v>146414683</c:v>
                </c:pt>
                <c:pt idx="21" formatCode="_-* #,##0_-;\-* #,##0_-;_-* \-??_-;_-@_-">
                  <c:v>131160217</c:v>
                </c:pt>
                <c:pt idx="22" formatCode="_-* #,##0_-;\-* #,##0_-;_-* \-??_-;_-@_-">
                  <c:v>127240523</c:v>
                </c:pt>
                <c:pt idx="23" formatCode="_-* #,##0_-;\-* #,##0_-;_-* \-??_-;_-@_-">
                  <c:v>143757534</c:v>
                </c:pt>
                <c:pt idx="24" formatCode="_-* #,##0_-;\-* #,##0_-;_-* \-??_-;_-@_-">
                  <c:v>170402626</c:v>
                </c:pt>
                <c:pt idx="25" formatCode="_-* #,##0_-;\-* #,##0_-;_-* \-??_-;_-@_-">
                  <c:v>161480300</c:v>
                </c:pt>
                <c:pt idx="26" formatCode="_-* #,##0_-;\-* #,##0_-;_-* \-??_-;_-@_-">
                  <c:v>185784979</c:v>
                </c:pt>
                <c:pt idx="27" formatCode="_-* #,##0_-;\-* #,##0_-;_-* \-??_-;_-@_-">
                  <c:v>192403000</c:v>
                </c:pt>
                <c:pt idx="28" formatCode="_-* #,##0_-;\-* #,##0_-;_-* \-??_-;_-@_-">
                  <c:v>187112000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D-463B-A830-52CB78325CC6}"/>
            </c:ext>
          </c:extLst>
        </c:ser>
        <c:ser>
          <c:idx val="1"/>
          <c:order val="1"/>
          <c:tx>
            <c:strRef>
              <c:f>VALE3!$M$23</c:f>
              <c:strCache>
                <c:ptCount val="1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VALE3!$N$21:$AP$21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VALE3!$N$23:$AP$23</c:f>
              <c:numCache>
                <c:formatCode>General</c:formatCode>
                <c:ptCount val="29"/>
                <c:pt idx="2" formatCode="_-* #,##0_-;\-* #,##0_-;_-* \-??_-;_-@_-">
                  <c:v>11164498.2136</c:v>
                </c:pt>
                <c:pt idx="3" formatCode="_-* #,##0_-;\-* #,##0_-;_-* \-??_-;_-@_-">
                  <c:v>11063117.298854733</c:v>
                </c:pt>
                <c:pt idx="4" formatCode="_-* #,##0_-;\-* #,##0_-;_-* \-??_-;_-@_-">
                  <c:v>11466967.067951879</c:v>
                </c:pt>
                <c:pt idx="5" formatCode="_-* #,##0_-;\-* #,##0_-;_-* \-??_-;_-@_-">
                  <c:v>13435987.622765688</c:v>
                </c:pt>
                <c:pt idx="6" formatCode="_-* #,##0_-;\-* #,##0_-;_-* \-??_-;_-@_-">
                  <c:v>14417612.443974344</c:v>
                </c:pt>
                <c:pt idx="7" formatCode="_-* #,##0_-;\-* #,##0_-;_-* \-??_-;_-@_-">
                  <c:v>17001157.988937814</c:v>
                </c:pt>
                <c:pt idx="8" formatCode="_-* #,##0_-;\-* #,##0_-;_-* \-??_-;_-@_-">
                  <c:v>20801690.735948507</c:v>
                </c:pt>
                <c:pt idx="9" formatCode="_-* #,##0_-;\-* #,##0_-;_-* \-??_-;_-@_-">
                  <c:v>25767337.200471651</c:v>
                </c:pt>
                <c:pt idx="10" formatCode="_-* #,##0_-;\-* #,##0_-;_-* \-??_-;_-@_-">
                  <c:v>31809885.450013619</c:v>
                </c:pt>
                <c:pt idx="11" formatCode="_-* #,##0_-;\-* #,##0_-;_-* \-??_-;_-@_-">
                  <c:v>40202075.900559746</c:v>
                </c:pt>
                <c:pt idx="12" formatCode="_-* #,##0_-;\-* #,##0_-;_-* \-??_-;_-@_-">
                  <c:v>56388336.286057897</c:v>
                </c:pt>
                <c:pt idx="13" formatCode="_-* #,##0_-;\-* #,##0_-;_-* \-??_-;_-@_-">
                  <c:v>78751025.805800468</c:v>
                </c:pt>
                <c:pt idx="14" formatCode="_-* #,##0_-;\-* #,##0_-;_-* \-??_-;_-@_-">
                  <c:v>125393088.49208991</c:v>
                </c:pt>
                <c:pt idx="15" formatCode="_-* #,##0_-;\-* #,##0_-;_-* \-??_-;_-@_-">
                  <c:v>130763477.0293926</c:v>
                </c:pt>
                <c:pt idx="16" formatCode="_-* #,##0_-;\-* #,##0_-;_-* \-??_-;_-@_-">
                  <c:v>157263170.33212212</c:v>
                </c:pt>
                <c:pt idx="17" formatCode="_-* #,##0_-;\-* #,##0_-;_-* \-??_-;_-@_-">
                  <c:v>202739030.50673035</c:v>
                </c:pt>
                <c:pt idx="18" formatCode="_-* #,##0_-;\-* #,##0_-;_-* \-??_-;_-@_-">
                  <c:v>223759763.53843123</c:v>
                </c:pt>
                <c:pt idx="19" formatCode="_-* #,##0_-;\-* #,##0_-;_-* \-??_-;_-@_-">
                  <c:v>236222014.43883806</c:v>
                </c:pt>
                <c:pt idx="20" formatCode="_-* #,##0_-;\-* #,##0_-;_-* \-??_-;_-@_-">
                  <c:v>253417180.51529807</c:v>
                </c:pt>
                <c:pt idx="21" formatCode="_-* #,##0_-;\-* #,##0_-;_-* \-??_-;_-@_-">
                  <c:v>255294228.649178</c:v>
                </c:pt>
                <c:pt idx="22" formatCode="_-* #,##0_-;\-* #,##0_-;_-* \-??_-;_-@_-">
                  <c:v>258175598.21750489</c:v>
                </c:pt>
                <c:pt idx="23" formatCode="_-* #,##0_-;\-* #,##0_-;_-* \-??_-;_-@_-">
                  <c:v>275385838.64660734</c:v>
                </c:pt>
                <c:pt idx="24" formatCode="_-* #,##0_-;\-* #,##0_-;_-* \-??_-;_-@_-">
                  <c:v>312267308.56272483</c:v>
                </c:pt>
                <c:pt idx="25" formatCode="_-* #,##0_-;\-* #,##0_-;_-* \-??_-;_-@_-">
                  <c:v>315557398.8849777</c:v>
                </c:pt>
                <c:pt idx="26" formatCode="_-* #,##0_-;\-* #,##0_-;_-* \-??_-;_-@_-">
                  <c:v>345725067.36267036</c:v>
                </c:pt>
                <c:pt idx="27" formatCode="_-* #,##0_-;\-* #,##0_-;_-* \-??_-;_-@_-">
                  <c:v>374611076.40087813</c:v>
                </c:pt>
                <c:pt idx="28" formatCode="_-* #,##0_-;\-* #,##0_-;_-* \-??_-;_-@_-">
                  <c:v>371909955.84369743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D-463B-A830-52CB78325CC6}"/>
            </c:ext>
          </c:extLst>
        </c:ser>
        <c:ser>
          <c:idx val="2"/>
          <c:order val="2"/>
          <c:tx>
            <c:strRef>
              <c:f>VALE3!$M$24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VALE3!$N$21:$AP$21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VALE3!$N$24:$AP$24</c:f>
              <c:numCache>
                <c:formatCode>General</c:formatCode>
                <c:ptCount val="29"/>
                <c:pt idx="2" formatCode="_-* #,##0_-;\-* #,##0_-;_-* \-??_-;_-@_-">
                  <c:v>9288841</c:v>
                </c:pt>
                <c:pt idx="3" formatCode="_-* #,##0_-;\-* #,##0_-;_-* \-??_-;_-@_-">
                  <c:v>8125005.7422000002</c:v>
                </c:pt>
                <c:pt idx="4" formatCode="_-* #,##0_-;\-* #,##0_-;_-* \-??_-;_-@_-">
                  <c:v>4699923.0522999996</c:v>
                </c:pt>
                <c:pt idx="5" formatCode="_-* #,##0_-;\-* #,##0_-;_-* \-??_-;_-@_-">
                  <c:v>17428087.655999999</c:v>
                </c:pt>
                <c:pt idx="6" formatCode="_-* #,##0_-;\-* #,##0_-;_-* \-??_-;_-@_-">
                  <c:v>16748049.408</c:v>
                </c:pt>
                <c:pt idx="7" formatCode="_-* #,##0_-;\-* #,##0_-;_-* \-??_-;_-@_-">
                  <c:v>20187451.802000001</c:v>
                </c:pt>
                <c:pt idx="8" formatCode="_-* #,##0_-;\-* #,##0_-;_-* \-??_-;_-@_-">
                  <c:v>38788908.873000003</c:v>
                </c:pt>
                <c:pt idx="9" formatCode="_-* #,##0_-;\-* #,##0_-;_-* \-??_-;_-@_-">
                  <c:v>61970724.399999999</c:v>
                </c:pt>
                <c:pt idx="10" formatCode="_-* #,##0_-;\-* #,##0_-;_-* \-??_-;_-@_-">
                  <c:v>82221307.900000006</c:v>
                </c:pt>
                <c:pt idx="11" formatCode="_-* #,##0_-;\-* #,##0_-;_-* \-??_-;_-@_-">
                  <c:v>105085485.25</c:v>
                </c:pt>
                <c:pt idx="12" formatCode="_-* #,##0_-;\-* #,##0_-;_-* \-??_-;_-@_-">
                  <c:v>144843532.19999999</c:v>
                </c:pt>
                <c:pt idx="13" formatCode="_-* #,##0_-;\-* #,##0_-;_-* \-??_-;_-@_-">
                  <c:v>270437772.20999998</c:v>
                </c:pt>
                <c:pt idx="14" formatCode="_-* #,##0_-;\-* #,##0_-;_-* \-??_-;_-@_-">
                  <c:v>136641588.47999999</c:v>
                </c:pt>
                <c:pt idx="15" formatCode="_-* #,##0_-;\-* #,##0_-;_-* \-??_-;_-@_-">
                  <c:v>243203602.09999999</c:v>
                </c:pt>
                <c:pt idx="16" formatCode="_-* #,##0_-;\-* #,##0_-;_-* \-??_-;_-@_-">
                  <c:v>275006440.5</c:v>
                </c:pt>
                <c:pt idx="17" formatCode="_-* #,##0_-;\-* #,##0_-;_-* \-??_-;_-@_-">
                  <c:v>197946380.25999999</c:v>
                </c:pt>
                <c:pt idx="18" formatCode="_-* #,##0_-;\-* #,##0_-;_-* \-??_-;_-@_-">
                  <c:v>215110249.25999999</c:v>
                </c:pt>
                <c:pt idx="19" formatCode="_-* #,##0_-;\-* #,##0_-;_-* \-??_-;_-@_-">
                  <c:v>178163245.40000001</c:v>
                </c:pt>
                <c:pt idx="20" formatCode="_-* #,##0_-;\-* #,##0_-;_-* \-??_-;_-@_-">
                  <c:v>107636951.29000001</c:v>
                </c:pt>
                <c:pt idx="21" formatCode="_-* #,##0_-;\-* #,##0_-;_-* \-??_-;_-@_-">
                  <c:v>61678209.090000004</c:v>
                </c:pt>
                <c:pt idx="22" formatCode="_-* #,##0_-;\-* #,##0_-;_-* \-??_-;_-@_-">
                  <c:v>127734200.52</c:v>
                </c:pt>
                <c:pt idx="23" formatCode="_-* #,##0_-;\-* #,##0_-;_-* \-??_-;_-@_-">
                  <c:v>209248612.80000001</c:v>
                </c:pt>
                <c:pt idx="24" formatCode="_-* #,##0_-;\-* #,##0_-;_-* \-??_-;_-@_-">
                  <c:v>261439209.61000001</c:v>
                </c:pt>
                <c:pt idx="25" formatCode="_-* #,##0_-;\-* #,##0_-;_-* \-??_-;_-@_-">
                  <c:v>273337484.54000002</c:v>
                </c:pt>
                <c:pt idx="26" formatCode="_-* #,##0_-;\-* #,##0_-;_-* \-??_-;_-@_-">
                  <c:v>448610718</c:v>
                </c:pt>
                <c:pt idx="27" formatCode="_-* #,##0_-;\-* #,##0_-;_-* \-??_-;_-@_-">
                  <c:v>377296542.25999999</c:v>
                </c:pt>
                <c:pt idx="28" formatCode="_-* #,##0_-;\-* #,##0_-;_-* \-??_-;_-@_-">
                  <c:v>398455973.70999998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FD-463B-A830-52CB78325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273706"/>
        <c:axId val="59766951"/>
      </c:lineChart>
      <c:catAx>
        <c:axId val="62737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59766951"/>
        <c:crosses val="autoZero"/>
        <c:auto val="1"/>
        <c:lblAlgn val="ctr"/>
        <c:lblOffset val="100"/>
        <c:noMultiLvlLbl val="0"/>
      </c:catAx>
      <c:valAx>
        <c:axId val="5976695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6273706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PETR4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PETR4!$M$22:$O$22</c:f>
              <c:strCache>
                <c:ptCount val="3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PETR4!$P$21:$AP$21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PETR4!$P$22:$AP$22</c:f>
              <c:numCache>
                <c:formatCode>_-* #,##0_-;\-* #,##0_-;_-* \-??_-;_-@_-</c:formatCode>
                <c:ptCount val="27"/>
                <c:pt idx="0">
                  <c:v>19975136</c:v>
                </c:pt>
                <c:pt idx="1">
                  <c:v>21055416</c:v>
                </c:pt>
                <c:pt idx="2">
                  <c:v>21734616</c:v>
                </c:pt>
                <c:pt idx="3">
                  <c:v>10502002</c:v>
                </c:pt>
                <c:pt idx="4">
                  <c:v>10565590</c:v>
                </c:pt>
                <c:pt idx="5">
                  <c:v>28966503</c:v>
                </c:pt>
                <c:pt idx="6">
                  <c:v>34324906</c:v>
                </c:pt>
                <c:pt idx="7">
                  <c:v>49367329</c:v>
                </c:pt>
                <c:pt idx="8">
                  <c:v>62271562</c:v>
                </c:pt>
                <c:pt idx="9">
                  <c:v>78785236</c:v>
                </c:pt>
                <c:pt idx="10">
                  <c:v>97530648</c:v>
                </c:pt>
                <c:pt idx="11">
                  <c:v>113854127</c:v>
                </c:pt>
                <c:pt idx="12">
                  <c:v>138365282</c:v>
                </c:pt>
                <c:pt idx="13">
                  <c:v>159464599</c:v>
                </c:pt>
                <c:pt idx="14">
                  <c:v>306765182</c:v>
                </c:pt>
                <c:pt idx="15">
                  <c:v>329838881</c:v>
                </c:pt>
                <c:pt idx="16">
                  <c:v>343079673</c:v>
                </c:pt>
                <c:pt idx="17">
                  <c:v>347939893</c:v>
                </c:pt>
                <c:pt idx="18">
                  <c:v>308848000</c:v>
                </c:pt>
                <c:pt idx="19">
                  <c:v>254731000</c:v>
                </c:pt>
                <c:pt idx="20">
                  <c:v>250230000</c:v>
                </c:pt>
                <c:pt idx="21">
                  <c:v>263985000</c:v>
                </c:pt>
                <c:pt idx="22">
                  <c:v>277225000</c:v>
                </c:pt>
                <c:pt idx="23">
                  <c:v>295541000</c:v>
                </c:pt>
                <c:pt idx="24">
                  <c:v>308410000</c:v>
                </c:pt>
                <c:pt idx="25">
                  <c:v>387329000</c:v>
                </c:pt>
                <c:pt idx="26">
                  <c:v>362594000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45-4BDD-9CB5-7F1CF4988547}"/>
            </c:ext>
          </c:extLst>
        </c:ser>
        <c:ser>
          <c:idx val="1"/>
          <c:order val="1"/>
          <c:tx>
            <c:strRef>
              <c:f>PETR4!$M$23:$O$23</c:f>
              <c:strCache>
                <c:ptCount val="3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PETR4!$P$21:$AP$21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PETR4!$P$23:$AP$23</c:f>
              <c:numCache>
                <c:formatCode>_-* #,##0_-;\-* #,##0_-;_-* \-??_-;_-@_-</c:formatCode>
                <c:ptCount val="27"/>
                <c:pt idx="0">
                  <c:v>21155433.771600001</c:v>
                </c:pt>
                <c:pt idx="1">
                  <c:v>23019303.863323241</c:v>
                </c:pt>
                <c:pt idx="2">
                  <c:v>23938592.230522975</c:v>
                </c:pt>
                <c:pt idx="3">
                  <c:v>14785401.988301275</c:v>
                </c:pt>
                <c:pt idx="4">
                  <c:v>16583938.396129075</c:v>
                </c:pt>
                <c:pt idx="5">
                  <c:v>37619941.959270902</c:v>
                </c:pt>
                <c:pt idx="6">
                  <c:v>48971623.230174161</c:v>
                </c:pt>
                <c:pt idx="7">
                  <c:v>70849502.118588015</c:v>
                </c:pt>
                <c:pt idx="8">
                  <c:v>91241074.991851792</c:v>
                </c:pt>
                <c:pt idx="9">
                  <c:v>114719722.26432224</c:v>
                </c:pt>
                <c:pt idx="10">
                  <c:v>136790005.84354496</c:v>
                </c:pt>
                <c:pt idx="11">
                  <c:v>160267244.48094568</c:v>
                </c:pt>
                <c:pt idx="12">
                  <c:v>197522267.02588525</c:v>
                </c:pt>
                <c:pt idx="13">
                  <c:v>229686855.07314643</c:v>
                </c:pt>
                <c:pt idx="14">
                  <c:v>399118102.76291084</c:v>
                </c:pt>
                <c:pt idx="15">
                  <c:v>454883793.34951884</c:v>
                </c:pt>
                <c:pt idx="16">
                  <c:v>495265113.23080695</c:v>
                </c:pt>
                <c:pt idx="17">
                  <c:v>541458162.72253859</c:v>
                </c:pt>
                <c:pt idx="18">
                  <c:v>544934183.7351917</c:v>
                </c:pt>
                <c:pt idx="19">
                  <c:v>530510138.29883176</c:v>
                </c:pt>
                <c:pt idx="20">
                  <c:v>542026791.91459692</c:v>
                </c:pt>
                <c:pt idx="21">
                  <c:v>556619613.71351159</c:v>
                </c:pt>
                <c:pt idx="22">
                  <c:v>596815146.85468054</c:v>
                </c:pt>
                <c:pt idx="23">
                  <c:v>650871530.15818727</c:v>
                </c:pt>
                <c:pt idx="24">
                  <c:v>674376284.13568103</c:v>
                </c:pt>
                <c:pt idx="25">
                  <c:v>802010290.25132108</c:v>
                </c:pt>
                <c:pt idx="26">
                  <c:v>780733103.85715282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45-4BDD-9CB5-7F1CF4988547}"/>
            </c:ext>
          </c:extLst>
        </c:ser>
        <c:ser>
          <c:idx val="2"/>
          <c:order val="2"/>
          <c:tx>
            <c:strRef>
              <c:f>PETR4!$M$24:$O$24</c:f>
              <c:strCache>
                <c:ptCount val="3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PETR4!$P$21:$AP$21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PETR4!$P$24:$AP$24</c:f>
              <c:numCache>
                <c:formatCode>_-* #,##0_-;\-* #,##0_-;_-* \-??_-;_-@_-</c:formatCode>
                <c:ptCount val="27"/>
                <c:pt idx="0">
                  <c:v>15406640.593</c:v>
                </c:pt>
                <c:pt idx="1">
                  <c:v>23527637.241999999</c:v>
                </c:pt>
                <c:pt idx="2">
                  <c:v>10884364.799000001</c:v>
                </c:pt>
                <c:pt idx="3">
                  <c:v>17428087.655999999</c:v>
                </c:pt>
                <c:pt idx="4">
                  <c:v>16748049.408</c:v>
                </c:pt>
                <c:pt idx="5">
                  <c:v>56404006.473999999</c:v>
                </c:pt>
                <c:pt idx="6">
                  <c:v>54453901.005999997</c:v>
                </c:pt>
                <c:pt idx="7">
                  <c:v>88658596.799999997</c:v>
                </c:pt>
                <c:pt idx="8">
                  <c:v>112458137.5</c:v>
                </c:pt>
                <c:pt idx="9">
                  <c:v>171390636.58000001</c:v>
                </c:pt>
                <c:pt idx="10">
                  <c:v>228397326.36000001</c:v>
                </c:pt>
                <c:pt idx="11">
                  <c:v>429922947.60000002</c:v>
                </c:pt>
                <c:pt idx="12">
                  <c:v>223990959.38999999</c:v>
                </c:pt>
                <c:pt idx="13">
                  <c:v>347084649.56</c:v>
                </c:pt>
                <c:pt idx="14">
                  <c:v>380246723.17000002</c:v>
                </c:pt>
                <c:pt idx="15">
                  <c:v>291564346.06999999</c:v>
                </c:pt>
                <c:pt idx="16">
                  <c:v>254851855.06</c:v>
                </c:pt>
                <c:pt idx="17">
                  <c:v>214687733.90000001</c:v>
                </c:pt>
                <c:pt idx="18">
                  <c:v>127505604.72</c:v>
                </c:pt>
                <c:pt idx="19">
                  <c:v>101315518.88</c:v>
                </c:pt>
                <c:pt idx="20">
                  <c:v>209377550.16999999</c:v>
                </c:pt>
                <c:pt idx="21">
                  <c:v>216044789.44</c:v>
                </c:pt>
                <c:pt idx="22">
                  <c:v>316085347</c:v>
                </c:pt>
                <c:pt idx="23">
                  <c:v>407218846.60000002</c:v>
                </c:pt>
                <c:pt idx="24">
                  <c:v>373468194.14999998</c:v>
                </c:pt>
                <c:pt idx="25">
                  <c:v>387852546.49000001</c:v>
                </c:pt>
                <c:pt idx="26">
                  <c:v>345928429.99000001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45-4BDD-9CB5-7F1CF4988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9242203"/>
        <c:axId val="95849057"/>
      </c:lineChart>
      <c:catAx>
        <c:axId val="592422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95849057"/>
        <c:crosses val="autoZero"/>
        <c:auto val="1"/>
        <c:lblAlgn val="ctr"/>
        <c:lblOffset val="100"/>
        <c:noMultiLvlLbl val="0"/>
      </c:catAx>
      <c:valAx>
        <c:axId val="9584905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_-* #,##0_-;\-* #,##0_-;_-* \-??_-;_-@_-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59242203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ITUB4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ITUB4!$M$22:$O$22</c:f>
              <c:strCache>
                <c:ptCount val="3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ITUB4!$P$21:$AP$21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ITUB4!$P$22:$AP$22</c:f>
              <c:numCache>
                <c:formatCode>_-* #,##0_-;\-* #,##0_-;_-* \-??_-;_-@_-</c:formatCode>
                <c:ptCount val="27"/>
                <c:pt idx="0">
                  <c:v>3842455</c:v>
                </c:pt>
                <c:pt idx="1">
                  <c:v>4197522</c:v>
                </c:pt>
                <c:pt idx="2">
                  <c:v>4651335</c:v>
                </c:pt>
                <c:pt idx="3">
                  <c:v>10502002</c:v>
                </c:pt>
                <c:pt idx="4">
                  <c:v>10565590</c:v>
                </c:pt>
                <c:pt idx="5">
                  <c:v>7578222</c:v>
                </c:pt>
                <c:pt idx="6">
                  <c:v>9036410</c:v>
                </c:pt>
                <c:pt idx="7">
                  <c:v>11879208</c:v>
                </c:pt>
                <c:pt idx="8">
                  <c:v>13971082</c:v>
                </c:pt>
                <c:pt idx="9">
                  <c:v>15559656</c:v>
                </c:pt>
                <c:pt idx="10">
                  <c:v>23564471</c:v>
                </c:pt>
                <c:pt idx="11">
                  <c:v>28969086</c:v>
                </c:pt>
                <c:pt idx="12">
                  <c:v>43664036</c:v>
                </c:pt>
                <c:pt idx="13">
                  <c:v>50683423</c:v>
                </c:pt>
                <c:pt idx="14">
                  <c:v>60878545</c:v>
                </c:pt>
                <c:pt idx="15">
                  <c:v>71347333</c:v>
                </c:pt>
                <c:pt idx="16">
                  <c:v>74219609</c:v>
                </c:pt>
                <c:pt idx="17">
                  <c:v>81024484</c:v>
                </c:pt>
                <c:pt idx="18">
                  <c:v>95847713</c:v>
                </c:pt>
                <c:pt idx="19">
                  <c:v>106462440</c:v>
                </c:pt>
                <c:pt idx="20">
                  <c:v>115590426</c:v>
                </c:pt>
                <c:pt idx="21">
                  <c:v>126923600</c:v>
                </c:pt>
                <c:pt idx="22">
                  <c:v>131756574</c:v>
                </c:pt>
                <c:pt idx="23">
                  <c:v>131987401</c:v>
                </c:pt>
                <c:pt idx="24">
                  <c:v>136593000</c:v>
                </c:pt>
                <c:pt idx="25">
                  <c:v>144554000</c:v>
                </c:pt>
                <c:pt idx="26">
                  <c:v>160925000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B1-45F6-9640-A0C2E455C21D}"/>
            </c:ext>
          </c:extLst>
        </c:ser>
        <c:ser>
          <c:idx val="1"/>
          <c:order val="1"/>
          <c:tx>
            <c:strRef>
              <c:f>ITUB4!$M$23:$O$23</c:f>
              <c:strCache>
                <c:ptCount val="3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ITUB4!$P$21:$AP$21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ITUB4!$P$23:$AP$23</c:f>
              <c:numCache>
                <c:formatCode>_-* #,##0_-;\-* #,##0_-;_-* \-??_-;_-@_-</c:formatCode>
                <c:ptCount val="27"/>
                <c:pt idx="0">
                  <c:v>4028175.1124</c:v>
                </c:pt>
                <c:pt idx="1">
                  <c:v>4455594.5233476339</c:v>
                </c:pt>
                <c:pt idx="2">
                  <c:v>4869124.2910580179</c:v>
                </c:pt>
                <c:pt idx="3">
                  <c:v>10861855.89529484</c:v>
                </c:pt>
                <c:pt idx="4">
                  <c:v>10938006.096159909</c:v>
                </c:pt>
                <c:pt idx="5">
                  <c:v>7974448.8984227004</c:v>
                </c:pt>
                <c:pt idx="6">
                  <c:v>9548584.0478022899</c:v>
                </c:pt>
                <c:pt idx="7">
                  <c:v>12266987.536421958</c:v>
                </c:pt>
                <c:pt idx="8">
                  <c:v>14037371.602205751</c:v>
                </c:pt>
                <c:pt idx="9">
                  <c:v>15102739.463104235</c:v>
                </c:pt>
                <c:pt idx="10">
                  <c:v>22387683.483593293</c:v>
                </c:pt>
                <c:pt idx="11">
                  <c:v>27024163.935939323</c:v>
                </c:pt>
                <c:pt idx="12">
                  <c:v>40911334.658998266</c:v>
                </c:pt>
                <c:pt idx="13">
                  <c:v>46962032.073547006</c:v>
                </c:pt>
                <c:pt idx="14">
                  <c:v>56090870.453017376</c:v>
                </c:pt>
                <c:pt idx="15">
                  <c:v>65288935.907494895</c:v>
                </c:pt>
                <c:pt idx="16">
                  <c:v>66569660.063861609</c:v>
                </c:pt>
                <c:pt idx="17">
                  <c:v>71511995.938866526</c:v>
                </c:pt>
                <c:pt idx="18">
                  <c:v>84097238.841117084</c:v>
                </c:pt>
                <c:pt idx="19">
                  <c:v>90651134.179885104</c:v>
                </c:pt>
                <c:pt idx="20">
                  <c:v>95795410.887365252</c:v>
                </c:pt>
                <c:pt idx="21">
                  <c:v>103729695.00813462</c:v>
                </c:pt>
                <c:pt idx="22">
                  <c:v>104859630.45711128</c:v>
                </c:pt>
                <c:pt idx="23">
                  <c:v>100910986.62968031</c:v>
                </c:pt>
                <c:pt idx="24">
                  <c:v>100044763.04479878</c:v>
                </c:pt>
                <c:pt idx="25">
                  <c:v>99717842.708073527</c:v>
                </c:pt>
                <c:pt idx="26">
                  <c:v>110448045.34920993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B1-45F6-9640-A0C2E455C21D}"/>
            </c:ext>
          </c:extLst>
        </c:ser>
        <c:ser>
          <c:idx val="2"/>
          <c:order val="2"/>
          <c:tx>
            <c:strRef>
              <c:f>ITUB4!$M$24:$O$24</c:f>
              <c:strCache>
                <c:ptCount val="3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ITUB4!$P$21:$AP$21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ITUB4!$P$24:$AP$24</c:f>
              <c:numCache>
                <c:formatCode>_-* #,##0_-;\-* #,##0_-;_-* \-??_-;_-@_-</c:formatCode>
                <c:ptCount val="27"/>
                <c:pt idx="0">
                  <c:v>5287458.3660000004</c:v>
                </c:pt>
                <c:pt idx="1">
                  <c:v>6187454.7375999996</c:v>
                </c:pt>
                <c:pt idx="2">
                  <c:v>6778330.8526999997</c:v>
                </c:pt>
                <c:pt idx="3">
                  <c:v>17428087.655999999</c:v>
                </c:pt>
                <c:pt idx="4">
                  <c:v>16748049.408</c:v>
                </c:pt>
                <c:pt idx="5">
                  <c:v>19572441.355999999</c:v>
                </c:pt>
                <c:pt idx="6">
                  <c:v>17790255.984000001</c:v>
                </c:pt>
                <c:pt idx="7">
                  <c:v>29935542.048</c:v>
                </c:pt>
                <c:pt idx="8">
                  <c:v>42205296.93</c:v>
                </c:pt>
                <c:pt idx="9">
                  <c:v>56543890.761</c:v>
                </c:pt>
                <c:pt idx="10">
                  <c:v>84767711.988000005</c:v>
                </c:pt>
                <c:pt idx="11">
                  <c:v>105930220.88</c:v>
                </c:pt>
                <c:pt idx="12">
                  <c:v>96984164.974000007</c:v>
                </c:pt>
                <c:pt idx="13">
                  <c:v>154410753.97999999</c:v>
                </c:pt>
                <c:pt idx="14">
                  <c:v>159666024.81999999</c:v>
                </c:pt>
                <c:pt idx="15">
                  <c:v>137385257.59999999</c:v>
                </c:pt>
                <c:pt idx="16">
                  <c:v>145741614.86000001</c:v>
                </c:pt>
                <c:pt idx="17">
                  <c:v>150610705.24000001</c:v>
                </c:pt>
                <c:pt idx="18">
                  <c:v>183051033.66999999</c:v>
                </c:pt>
                <c:pt idx="19">
                  <c:v>150488035.06</c:v>
                </c:pt>
                <c:pt idx="20">
                  <c:v>207453001.65000001</c:v>
                </c:pt>
                <c:pt idx="21">
                  <c:v>259002948.91999999</c:v>
                </c:pt>
                <c:pt idx="22">
                  <c:v>317910007.19</c:v>
                </c:pt>
                <c:pt idx="23">
                  <c:v>336277119.87</c:v>
                </c:pt>
                <c:pt idx="24">
                  <c:v>290294405.06</c:v>
                </c:pt>
                <c:pt idx="25">
                  <c:v>195493661.03999999</c:v>
                </c:pt>
                <c:pt idx="26">
                  <c:v>229428382.81999999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B1-45F6-9640-A0C2E455C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9279923"/>
        <c:axId val="51668868"/>
      </c:lineChart>
      <c:catAx>
        <c:axId val="692799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51668868"/>
        <c:crosses val="autoZero"/>
        <c:auto val="1"/>
        <c:lblAlgn val="ctr"/>
        <c:lblOffset val="100"/>
        <c:noMultiLvlLbl val="0"/>
      </c:catAx>
      <c:valAx>
        <c:axId val="516688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_-* #,##0_-;\-* #,##0_-;_-* \-??_-;_-@_-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69279923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PETR3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PETR3!$M$22:$O$22</c:f>
              <c:strCache>
                <c:ptCount val="3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PETR3!$P$21:$AP$21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PETR3!$P$22:$AP$22</c:f>
              <c:numCache>
                <c:formatCode>_-* #,##0_-;\-* #,##0_-;_-* \-??_-;_-@_-</c:formatCode>
                <c:ptCount val="27"/>
                <c:pt idx="0">
                  <c:v>19975136</c:v>
                </c:pt>
                <c:pt idx="1">
                  <c:v>21055416</c:v>
                </c:pt>
                <c:pt idx="2">
                  <c:v>21734616</c:v>
                </c:pt>
                <c:pt idx="3">
                  <c:v>10502002</c:v>
                </c:pt>
                <c:pt idx="4">
                  <c:v>10565590</c:v>
                </c:pt>
                <c:pt idx="5">
                  <c:v>28966503</c:v>
                </c:pt>
                <c:pt idx="6">
                  <c:v>34324906</c:v>
                </c:pt>
                <c:pt idx="7">
                  <c:v>49367329</c:v>
                </c:pt>
                <c:pt idx="8">
                  <c:v>62271562</c:v>
                </c:pt>
                <c:pt idx="9">
                  <c:v>78785236</c:v>
                </c:pt>
                <c:pt idx="10">
                  <c:v>97530648</c:v>
                </c:pt>
                <c:pt idx="11">
                  <c:v>113854127</c:v>
                </c:pt>
                <c:pt idx="12">
                  <c:v>138365282</c:v>
                </c:pt>
                <c:pt idx="13">
                  <c:v>159464599</c:v>
                </c:pt>
                <c:pt idx="14">
                  <c:v>306765182</c:v>
                </c:pt>
                <c:pt idx="15">
                  <c:v>329838881</c:v>
                </c:pt>
                <c:pt idx="16">
                  <c:v>343079673</c:v>
                </c:pt>
                <c:pt idx="17">
                  <c:v>347939893</c:v>
                </c:pt>
                <c:pt idx="18">
                  <c:v>308848000</c:v>
                </c:pt>
                <c:pt idx="19">
                  <c:v>254731000</c:v>
                </c:pt>
                <c:pt idx="20">
                  <c:v>250230000</c:v>
                </c:pt>
                <c:pt idx="21">
                  <c:v>263985000</c:v>
                </c:pt>
                <c:pt idx="22">
                  <c:v>277225000</c:v>
                </c:pt>
                <c:pt idx="23">
                  <c:v>295541000</c:v>
                </c:pt>
                <c:pt idx="24">
                  <c:v>308410000</c:v>
                </c:pt>
                <c:pt idx="25">
                  <c:v>387329000</c:v>
                </c:pt>
                <c:pt idx="26">
                  <c:v>362594000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3-444E-8D9F-2F42C1CD0107}"/>
            </c:ext>
          </c:extLst>
        </c:ser>
        <c:ser>
          <c:idx val="1"/>
          <c:order val="1"/>
          <c:tx>
            <c:strRef>
              <c:f>PETR3!$M$23:$O$23</c:f>
              <c:strCache>
                <c:ptCount val="3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PETR3!$P$21:$AP$21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PETR3!$P$23:$AP$23</c:f>
              <c:numCache>
                <c:formatCode>_-* #,##0_-;\-* #,##0_-;_-* \-??_-;_-@_-</c:formatCode>
                <c:ptCount val="27"/>
                <c:pt idx="0">
                  <c:v>21155433.771600001</c:v>
                </c:pt>
                <c:pt idx="1">
                  <c:v>23019303.863323241</c:v>
                </c:pt>
                <c:pt idx="2">
                  <c:v>23938592.230522975</c:v>
                </c:pt>
                <c:pt idx="3">
                  <c:v>14785401.988301275</c:v>
                </c:pt>
                <c:pt idx="4">
                  <c:v>16583938.396129075</c:v>
                </c:pt>
                <c:pt idx="5">
                  <c:v>37619941.959270902</c:v>
                </c:pt>
                <c:pt idx="6">
                  <c:v>48971623.230174161</c:v>
                </c:pt>
                <c:pt idx="7">
                  <c:v>70849502.118588015</c:v>
                </c:pt>
                <c:pt idx="8">
                  <c:v>91241074.991851792</c:v>
                </c:pt>
                <c:pt idx="9">
                  <c:v>114719722.26432224</c:v>
                </c:pt>
                <c:pt idx="10">
                  <c:v>136790005.84354496</c:v>
                </c:pt>
                <c:pt idx="11">
                  <c:v>160267244.48094568</c:v>
                </c:pt>
                <c:pt idx="12">
                  <c:v>197522267.02588525</c:v>
                </c:pt>
                <c:pt idx="13">
                  <c:v>229686855.07314643</c:v>
                </c:pt>
                <c:pt idx="14">
                  <c:v>399118102.76291084</c:v>
                </c:pt>
                <c:pt idx="15">
                  <c:v>454883793.34951884</c:v>
                </c:pt>
                <c:pt idx="16">
                  <c:v>495265113.23080695</c:v>
                </c:pt>
                <c:pt idx="17">
                  <c:v>541458162.72253859</c:v>
                </c:pt>
                <c:pt idx="18">
                  <c:v>544934183.7351917</c:v>
                </c:pt>
                <c:pt idx="19">
                  <c:v>530510138.29883176</c:v>
                </c:pt>
                <c:pt idx="20">
                  <c:v>542026791.91433847</c:v>
                </c:pt>
                <c:pt idx="21">
                  <c:v>556619613.71312761</c:v>
                </c:pt>
                <c:pt idx="22">
                  <c:v>596815146.85428429</c:v>
                </c:pt>
                <c:pt idx="23">
                  <c:v>650871530.15777445</c:v>
                </c:pt>
                <c:pt idx="24">
                  <c:v>674376284.13525045</c:v>
                </c:pt>
                <c:pt idx="25">
                  <c:v>802010290.25082541</c:v>
                </c:pt>
                <c:pt idx="26">
                  <c:v>780733103.85662603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3-444E-8D9F-2F42C1CD0107}"/>
            </c:ext>
          </c:extLst>
        </c:ser>
        <c:ser>
          <c:idx val="2"/>
          <c:order val="2"/>
          <c:tx>
            <c:strRef>
              <c:f>PETR3!$M$24:$O$24</c:f>
              <c:strCache>
                <c:ptCount val="3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PETR3!$P$21:$AP$21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PETR3!$P$24:$AP$24</c:f>
              <c:numCache>
                <c:formatCode>_-* #,##0_-;\-* #,##0_-;_-* \-??_-;_-@_-</c:formatCode>
                <c:ptCount val="27"/>
                <c:pt idx="0">
                  <c:v>15406640.593</c:v>
                </c:pt>
                <c:pt idx="1">
                  <c:v>23527637.241999999</c:v>
                </c:pt>
                <c:pt idx="2">
                  <c:v>10884364.799000001</c:v>
                </c:pt>
                <c:pt idx="3">
                  <c:v>17428087.655999999</c:v>
                </c:pt>
                <c:pt idx="4">
                  <c:v>16748049.408</c:v>
                </c:pt>
                <c:pt idx="5">
                  <c:v>56404006.473999999</c:v>
                </c:pt>
                <c:pt idx="6">
                  <c:v>54453901.005999997</c:v>
                </c:pt>
                <c:pt idx="7">
                  <c:v>88658596.799999997</c:v>
                </c:pt>
                <c:pt idx="8">
                  <c:v>112458137.5</c:v>
                </c:pt>
                <c:pt idx="9">
                  <c:v>171390636.58000001</c:v>
                </c:pt>
                <c:pt idx="10">
                  <c:v>228397326.36000001</c:v>
                </c:pt>
                <c:pt idx="11">
                  <c:v>429922947.60000002</c:v>
                </c:pt>
                <c:pt idx="12">
                  <c:v>223990959.38999999</c:v>
                </c:pt>
                <c:pt idx="13">
                  <c:v>347084649.56</c:v>
                </c:pt>
                <c:pt idx="14">
                  <c:v>380246723.17000002</c:v>
                </c:pt>
                <c:pt idx="15">
                  <c:v>291564346.06999999</c:v>
                </c:pt>
                <c:pt idx="16">
                  <c:v>254851855.06</c:v>
                </c:pt>
                <c:pt idx="17">
                  <c:v>214687733.90000001</c:v>
                </c:pt>
                <c:pt idx="18">
                  <c:v>127505604.72</c:v>
                </c:pt>
                <c:pt idx="19">
                  <c:v>101315518.88</c:v>
                </c:pt>
                <c:pt idx="20">
                  <c:v>209377550.16999999</c:v>
                </c:pt>
                <c:pt idx="21">
                  <c:v>216044789.44</c:v>
                </c:pt>
                <c:pt idx="22">
                  <c:v>316085347</c:v>
                </c:pt>
                <c:pt idx="23">
                  <c:v>407218846.60000002</c:v>
                </c:pt>
                <c:pt idx="24">
                  <c:v>373468194.14999998</c:v>
                </c:pt>
                <c:pt idx="25">
                  <c:v>387852546.49000001</c:v>
                </c:pt>
                <c:pt idx="26">
                  <c:v>345928429.99000001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A3-444E-8D9F-2F42C1CD0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5505751"/>
        <c:axId val="48561810"/>
      </c:lineChart>
      <c:catAx>
        <c:axId val="455057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48561810"/>
        <c:crosses val="autoZero"/>
        <c:auto val="1"/>
        <c:lblAlgn val="ctr"/>
        <c:lblOffset val="100"/>
        <c:noMultiLvlLbl val="0"/>
      </c:catAx>
      <c:valAx>
        <c:axId val="4856181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_-* #,##0_-;\-* #,##0_-;_-* \-??_-;_-@_-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45505751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ELET3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ELET3!$M$22</c:f>
              <c:strCache>
                <c:ptCount val="1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ELET3!$N$21:$AP$21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ELET3!$N$22:$AP$22</c:f>
              <c:numCache>
                <c:formatCode>General</c:formatCode>
                <c:ptCount val="29"/>
                <c:pt idx="2" formatCode="_-* #,##0_-;\-* #,##0_-;_-* \-??_-;_-@_-">
                  <c:v>59644584</c:v>
                </c:pt>
                <c:pt idx="3" formatCode="_-* #,##0_-;\-* #,##0_-;_-* \-??_-;_-@_-">
                  <c:v>61646875</c:v>
                </c:pt>
                <c:pt idx="4" formatCode="_-* #,##0_-;\-* #,##0_-;_-* \-??_-;_-@_-">
                  <c:v>59995657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64285524</c:v>
                </c:pt>
                <c:pt idx="8" formatCode="_-* #,##0_-;\-* #,##0_-;_-* \-??_-;_-@_-">
                  <c:v>66550862</c:v>
                </c:pt>
                <c:pt idx="9" formatCode="_-* #,##0_-;\-* #,##0_-;_-* \-??_-;_-@_-">
                  <c:v>67837732</c:v>
                </c:pt>
                <c:pt idx="10" formatCode="_-* #,##0_-;\-* #,##0_-;_-* \-??_-;_-@_-">
                  <c:v>69873809</c:v>
                </c:pt>
                <c:pt idx="11" formatCode="_-* #,##0_-;\-* #,##0_-;_-* \-??_-;_-@_-">
                  <c:v>75714890</c:v>
                </c:pt>
                <c:pt idx="12" formatCode="_-* #,##0_-;\-* #,##0_-;_-* \-??_-;_-@_-">
                  <c:v>77835788</c:v>
                </c:pt>
                <c:pt idx="13" formatCode="_-* #,##0_-;\-* #,##0_-;_-* \-??_-;_-@_-">
                  <c:v>79963236</c:v>
                </c:pt>
                <c:pt idx="14" formatCode="_-* #,##0_-;\-* #,##0_-;_-* \-??_-;_-@_-">
                  <c:v>85618361</c:v>
                </c:pt>
                <c:pt idx="15" formatCode="_-* #,##0_-;\-* #,##0_-;_-* \-??_-;_-@_-">
                  <c:v>76091785</c:v>
                </c:pt>
                <c:pt idx="16" formatCode="_-* #,##0_-;\-* #,##0_-;_-* \-??_-;_-@_-">
                  <c:v>70304115</c:v>
                </c:pt>
                <c:pt idx="17" formatCode="_-* #,##0_-;\-* #,##0_-;_-* \-??_-;_-@_-">
                  <c:v>76843509</c:v>
                </c:pt>
                <c:pt idx="18" formatCode="_-* #,##0_-;\-* #,##0_-;_-* \-??_-;_-@_-">
                  <c:v>67083945</c:v>
                </c:pt>
                <c:pt idx="19" formatCode="_-* #,##0_-;\-* #,##0_-;_-* \-??_-;_-@_-">
                  <c:v>60493710</c:v>
                </c:pt>
                <c:pt idx="20" formatCode="_-* #,##0_-;\-* #,##0_-;_-* \-??_-;_-@_-">
                  <c:v>56539551</c:v>
                </c:pt>
                <c:pt idx="21" formatCode="_-* #,##0_-;\-* #,##0_-;_-* \-??_-;_-@_-">
                  <c:v>42092014</c:v>
                </c:pt>
                <c:pt idx="22" formatCode="_-* #,##0_-;\-* #,##0_-;_-* \-??_-;_-@_-">
                  <c:v>44203470</c:v>
                </c:pt>
                <c:pt idx="23" formatCode="_-* #,##0_-;\-* #,##0_-;_-* \-??_-;_-@_-">
                  <c:v>42339377</c:v>
                </c:pt>
                <c:pt idx="24" formatCode="_-* #,##0_-;\-* #,##0_-;_-* \-??_-;_-@_-">
                  <c:v>55542906</c:v>
                </c:pt>
                <c:pt idx="25" formatCode="_-* #,##0_-;\-* #,##0_-;_-* \-??_-;_-@_-">
                  <c:v>70906801</c:v>
                </c:pt>
                <c:pt idx="26" formatCode="_-* #,##0_-;\-* #,##0_-;_-* \-??_-;_-@_-">
                  <c:v>73478307</c:v>
                </c:pt>
                <c:pt idx="27" formatCode="_-* #,##0_-;\-* #,##0_-;_-* \-??_-;_-@_-">
                  <c:v>76121204</c:v>
                </c:pt>
                <c:pt idx="28" formatCode="_-* #,##0_-;\-* #,##0_-;_-* \-??_-;_-@_-">
                  <c:v>110504796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8-4D0A-A58B-CB51799479F5}"/>
            </c:ext>
          </c:extLst>
        </c:ser>
        <c:ser>
          <c:idx val="1"/>
          <c:order val="1"/>
          <c:tx>
            <c:strRef>
              <c:f>ELET3!$M$23</c:f>
              <c:strCache>
                <c:ptCount val="1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ELET3!$N$21:$AP$21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ELET3!$N$23:$AP$23</c:f>
              <c:numCache>
                <c:formatCode>General</c:formatCode>
                <c:ptCount val="29"/>
                <c:pt idx="2" formatCode="_-* #,##0_-;\-* #,##0_-;_-* \-??_-;_-@_-">
                  <c:v>64925360.2698</c:v>
                </c:pt>
                <c:pt idx="3" formatCode="_-* #,##0_-;\-* #,##0_-;_-* \-??_-;_-@_-">
                  <c:v>69928029.178563952</c:v>
                </c:pt>
                <c:pt idx="4" formatCode="_-* #,##0_-;\-* #,##0_-;_-* \-??_-;_-@_-">
                  <c:v>68211560.226642266</c:v>
                </c:pt>
                <c:pt idx="5" formatCode="_-* #,##0_-;\-* #,##0_-;_-* \-??_-;_-@_-">
                  <c:v>24447570.906336632</c:v>
                </c:pt>
                <c:pt idx="6" formatCode="_-* #,##0_-;\-* #,##0_-;_-* \-??_-;_-@_-">
                  <c:v>27298921.73987636</c:v>
                </c:pt>
                <c:pt idx="7" formatCode="_-* #,##0_-;\-* #,##0_-;_-* \-??_-;_-@_-">
                  <c:v>85260527.431273296</c:v>
                </c:pt>
                <c:pt idx="8" formatCode="_-* #,##0_-;\-* #,##0_-;_-* \-??_-;_-@_-">
                  <c:v>97665125.210423827</c:v>
                </c:pt>
                <c:pt idx="9" formatCode="_-* #,##0_-;\-* #,##0_-;_-* \-??_-;_-@_-">
                  <c:v>104546857.60516849</c:v>
                </c:pt>
                <c:pt idx="10" formatCode="_-* #,##0_-;\-* #,##0_-;_-* \-??_-;_-@_-">
                  <c:v>108011201.67896372</c:v>
                </c:pt>
                <c:pt idx="11" formatCode="_-* #,##0_-;\-* #,##0_-;_-* \-??_-;_-@_-">
                  <c:v>110264474.72424722</c:v>
                </c:pt>
                <c:pt idx="12" formatCode="_-* #,##0_-;\-* #,##0_-;_-* \-??_-;_-@_-">
                  <c:v>102526895.18257479</c:v>
                </c:pt>
                <c:pt idx="13" formatCode="_-* #,##0_-;\-* #,##0_-;_-* \-??_-;_-@_-">
                  <c:v>95391540.802712604</c:v>
                </c:pt>
                <c:pt idx="14" formatCode="_-* #,##0_-;\-* #,##0_-;_-* \-??_-;_-@_-">
                  <c:v>92114744.929440111</c:v>
                </c:pt>
                <c:pt idx="15" formatCode="_-* #,##0_-;\-* #,##0_-;_-* \-??_-;_-@_-">
                  <c:v>68521262.309243515</c:v>
                </c:pt>
                <c:pt idx="16" formatCode="_-* #,##0_-;\-* #,##0_-;_-* \-??_-;_-@_-">
                  <c:v>47675566.657746933</c:v>
                </c:pt>
                <c:pt idx="17" formatCode="_-* #,##0_-;\-* #,##0_-;_-* \-??_-;_-@_-">
                  <c:v>35805199.658148415</c:v>
                </c:pt>
                <c:pt idx="18" formatCode="_-* #,##0_-;\-* #,##0_-;_-* \-??_-;_-@_-">
                  <c:v>2637032.7820352986</c:v>
                </c:pt>
                <c:pt idx="19" formatCode="_-* #,##0_-;\-* #,##0_-;_-* \-??_-;_-@_-">
                  <c:v>-32052777.505538657</c:v>
                </c:pt>
                <c:pt idx="20" formatCode="_-* #,##0_-;\-* #,##0_-;_-* \-??_-;_-@_-">
                  <c:v>-67786336.864943475</c:v>
                </c:pt>
                <c:pt idx="21" formatCode="_-* #,##0_-;\-* #,##0_-;_-* \-??_-;_-@_-">
                  <c:v>-123780932.31121816</c:v>
                </c:pt>
                <c:pt idx="22" formatCode="_-* #,##0_-;\-* #,##0_-;_-* \-??_-;_-@_-">
                  <c:v>-171847825.9335683</c:v>
                </c:pt>
                <c:pt idx="23" formatCode="_-* #,##0_-;\-* #,##0_-;_-* \-??_-;_-@_-">
                  <c:v>-228107434.91177505</c:v>
                </c:pt>
                <c:pt idx="24" formatCode="_-* #,##0_-;\-* #,##0_-;_-* \-??_-;_-@_-">
                  <c:v>-272987897.88699865</c:v>
                </c:pt>
                <c:pt idx="25" formatCode="_-* #,##0_-;\-* #,##0_-;_-* \-??_-;_-@_-">
                  <c:v>-320779696.2392996</c:v>
                </c:pt>
                <c:pt idx="26" formatCode="_-* #,##0_-;\-* #,##0_-;_-* \-??_-;_-@_-">
                  <c:v>-389761529.14623827</c:v>
                </c:pt>
                <c:pt idx="27" formatCode="_-* #,##0_-;\-* #,##0_-;_-* \-??_-;_-@_-">
                  <c:v>-484429890.2976684</c:v>
                </c:pt>
                <c:pt idx="28" formatCode="_-* #,##0_-;\-* #,##0_-;_-* \-??_-;_-@_-">
                  <c:v>-547066959.36116207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98-4D0A-A58B-CB51799479F5}"/>
            </c:ext>
          </c:extLst>
        </c:ser>
        <c:ser>
          <c:idx val="2"/>
          <c:order val="2"/>
          <c:tx>
            <c:strRef>
              <c:f>ELET3!$M$24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ELET3!$N$21:$AP$21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ELET3!$N$24:$AP$24</c:f>
              <c:numCache>
                <c:formatCode>General</c:formatCode>
                <c:ptCount val="29"/>
                <c:pt idx="2" formatCode="_-* #,##0_-;\-* #,##0_-;_-* \-??_-;_-@_-">
                  <c:v>20113082.390000001</c:v>
                </c:pt>
                <c:pt idx="3" formatCode="_-* #,##0_-;\-* #,##0_-;_-* \-??_-;_-@_-">
                  <c:v>29958876.370999999</c:v>
                </c:pt>
                <c:pt idx="4" formatCode="_-* #,##0_-;\-* #,##0_-;_-* \-??_-;_-@_-">
                  <c:v>11384030.252</c:v>
                </c:pt>
                <c:pt idx="5" formatCode="_-* #,##0_-;\-* #,##0_-;_-* \-??_-;_-@_-">
                  <c:v>17428087.655999999</c:v>
                </c:pt>
                <c:pt idx="6" formatCode="_-* #,##0_-;\-* #,##0_-;_-* \-??_-;_-@_-">
                  <c:v>16748049.408</c:v>
                </c:pt>
                <c:pt idx="7" formatCode="_-* #,##0_-;\-* #,##0_-;_-* \-??_-;_-@_-">
                  <c:v>16908117.640999999</c:v>
                </c:pt>
                <c:pt idx="8" formatCode="_-* #,##0_-;\-* #,##0_-;_-* \-??_-;_-@_-">
                  <c:v>12671297.507999999</c:v>
                </c:pt>
                <c:pt idx="9" formatCode="_-* #,##0_-;\-* #,##0_-;_-* \-??_-;_-@_-">
                  <c:v>25788402.721999999</c:v>
                </c:pt>
                <c:pt idx="10" formatCode="_-* #,##0_-;\-* #,##0_-;_-* \-??_-;_-@_-">
                  <c:v>20753913.537999999</c:v>
                </c:pt>
                <c:pt idx="11" formatCode="_-* #,##0_-;\-* #,##0_-;_-* \-??_-;_-@_-">
                  <c:v>21640780.202</c:v>
                </c:pt>
                <c:pt idx="12" formatCode="_-* #,##0_-;\-* #,##0_-;_-* \-??_-;_-@_-">
                  <c:v>28495223.25</c:v>
                </c:pt>
                <c:pt idx="13" formatCode="_-* #,##0_-;\-* #,##0_-;_-* \-??_-;_-@_-">
                  <c:v>26809961.920000002</c:v>
                </c:pt>
                <c:pt idx="14" formatCode="_-* #,##0_-;\-* #,##0_-;_-* \-??_-;_-@_-">
                  <c:v>28927983.300000001</c:v>
                </c:pt>
                <c:pt idx="15" formatCode="_-* #,##0_-;\-* #,##0_-;_-* \-??_-;_-@_-">
                  <c:v>40100342.259999998</c:v>
                </c:pt>
                <c:pt idx="16" formatCode="_-* #,##0_-;\-* #,##0_-;_-* \-??_-;_-@_-">
                  <c:v>26211137.806000002</c:v>
                </c:pt>
                <c:pt idx="17" formatCode="_-* #,##0_-;\-* #,##0_-;_-* \-??_-;_-@_-">
                  <c:v>26523902.409000002</c:v>
                </c:pt>
                <c:pt idx="18" formatCode="_-* #,##0_-;\-* #,##0_-;_-* \-??_-;_-@_-">
                  <c:v>9664346.6355000008</c:v>
                </c:pt>
                <c:pt idx="19" formatCode="_-* #,##0_-;\-* #,##0_-;_-* \-??_-;_-@_-">
                  <c:v>9018232.4071999993</c:v>
                </c:pt>
                <c:pt idx="20" formatCode="_-* #,##0_-;\-* #,##0_-;_-* \-??_-;_-@_-">
                  <c:v>8477017.3703000005</c:v>
                </c:pt>
                <c:pt idx="21" formatCode="_-* #,##0_-;\-* #,##0_-;_-* \-??_-;_-@_-">
                  <c:v>9034104.6140000001</c:v>
                </c:pt>
                <c:pt idx="22" formatCode="_-* #,##0_-;\-* #,##0_-;_-* \-??_-;_-@_-">
                  <c:v>31671129.421</c:v>
                </c:pt>
                <c:pt idx="23" formatCode="_-* #,##0_-;\-* #,##0_-;_-* \-??_-;_-@_-">
                  <c:v>27051811.421</c:v>
                </c:pt>
                <c:pt idx="24" formatCode="_-* #,##0_-;\-* #,##0_-;_-* \-??_-;_-@_-">
                  <c:v>33820949.214000002</c:v>
                </c:pt>
                <c:pt idx="25" formatCode="_-* #,##0_-;\-* #,##0_-;_-* \-??_-;_-@_-">
                  <c:v>51246978.273000002</c:v>
                </c:pt>
                <c:pt idx="26" formatCode="_-* #,##0_-;\-* #,##0_-;_-* \-??_-;_-@_-">
                  <c:v>57626440.546999998</c:v>
                </c:pt>
                <c:pt idx="27" formatCode="_-* #,##0_-;\-* #,##0_-;_-* \-??_-;_-@_-">
                  <c:v>52310576.016000003</c:v>
                </c:pt>
                <c:pt idx="28" formatCode="_-* #,##0_-;\-* #,##0_-;_-* \-??_-;_-@_-">
                  <c:v>97238415.839000002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98-4D0A-A58B-CB5179947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6239190"/>
        <c:axId val="43258912"/>
      </c:lineChart>
      <c:catAx>
        <c:axId val="362391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43258912"/>
        <c:crosses val="autoZero"/>
        <c:auto val="1"/>
        <c:lblAlgn val="ctr"/>
        <c:lblOffset val="100"/>
        <c:noMultiLvlLbl val="0"/>
      </c:catAx>
      <c:valAx>
        <c:axId val="432589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36239190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BBDC4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BBDC4!$M$22:$O$22</c:f>
              <c:strCache>
                <c:ptCount val="3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BBDC4!$P$21:$AP$21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BBDC4!$P$22:$AP$22</c:f>
              <c:numCache>
                <c:formatCode>_-* #,##0_-;\-* #,##0_-;_-* \-??_-;_-@_-</c:formatCode>
                <c:ptCount val="27"/>
                <c:pt idx="0">
                  <c:v>5460211</c:v>
                </c:pt>
                <c:pt idx="1">
                  <c:v>5572745</c:v>
                </c:pt>
                <c:pt idx="2">
                  <c:v>6320999</c:v>
                </c:pt>
                <c:pt idx="3">
                  <c:v>10502002</c:v>
                </c:pt>
                <c:pt idx="4">
                  <c:v>10565590</c:v>
                </c:pt>
                <c:pt idx="5">
                  <c:v>9767946</c:v>
                </c:pt>
                <c:pt idx="6">
                  <c:v>10845729</c:v>
                </c:pt>
                <c:pt idx="7">
                  <c:v>13546880</c:v>
                </c:pt>
                <c:pt idx="8">
                  <c:v>15214646</c:v>
                </c:pt>
                <c:pt idx="9">
                  <c:v>19409274</c:v>
                </c:pt>
                <c:pt idx="10">
                  <c:v>24636362</c:v>
                </c:pt>
                <c:pt idx="11">
                  <c:v>30357344</c:v>
                </c:pt>
                <c:pt idx="12">
                  <c:v>34256544</c:v>
                </c:pt>
                <c:pt idx="13">
                  <c:v>41753751</c:v>
                </c:pt>
                <c:pt idx="14">
                  <c:v>48042850</c:v>
                </c:pt>
                <c:pt idx="15">
                  <c:v>55581664</c:v>
                </c:pt>
                <c:pt idx="16">
                  <c:v>70047459</c:v>
                </c:pt>
                <c:pt idx="17">
                  <c:v>70939802</c:v>
                </c:pt>
                <c:pt idx="18">
                  <c:v>81508250</c:v>
                </c:pt>
                <c:pt idx="19">
                  <c:v>88906644</c:v>
                </c:pt>
                <c:pt idx="20">
                  <c:v>100442413</c:v>
                </c:pt>
                <c:pt idx="21">
                  <c:v>110457476</c:v>
                </c:pt>
                <c:pt idx="22">
                  <c:v>121120869</c:v>
                </c:pt>
                <c:pt idx="23">
                  <c:v>133723221</c:v>
                </c:pt>
                <c:pt idx="24">
                  <c:v>143702640</c:v>
                </c:pt>
                <c:pt idx="25">
                  <c:v>147121011</c:v>
                </c:pt>
                <c:pt idx="26">
                  <c:v>154263000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D-4E3A-B9DB-2A76C668E586}"/>
            </c:ext>
          </c:extLst>
        </c:ser>
        <c:ser>
          <c:idx val="1"/>
          <c:order val="1"/>
          <c:tx>
            <c:strRef>
              <c:f>BBDC4!$M$23:$O$23</c:f>
              <c:strCache>
                <c:ptCount val="3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BBDC4!$P$21:$AP$21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BBDC4!$P$23:$AP$23</c:f>
              <c:numCache>
                <c:formatCode>_-* #,##0_-;\-* #,##0_-;_-* \-??_-;_-@_-</c:formatCode>
                <c:ptCount val="27"/>
                <c:pt idx="0">
                  <c:v>5606620.727</c:v>
                </c:pt>
                <c:pt idx="1">
                  <c:v>5780322.8698555557</c:v>
                </c:pt>
                <c:pt idx="2">
                  <c:v>6509130.4983269563</c:v>
                </c:pt>
                <c:pt idx="3">
                  <c:v>10807433.213547351</c:v>
                </c:pt>
                <c:pt idx="4">
                  <c:v>10912936.31956525</c:v>
                </c:pt>
                <c:pt idx="5">
                  <c:v>10205270.730812788</c:v>
                </c:pt>
                <c:pt idx="6">
                  <c:v>11530327.191373758</c:v>
                </c:pt>
                <c:pt idx="7">
                  <c:v>14301051.947124917</c:v>
                </c:pt>
                <c:pt idx="8">
                  <c:v>15882431.853072027</c:v>
                </c:pt>
                <c:pt idx="9">
                  <c:v>19814399.530437816</c:v>
                </c:pt>
                <c:pt idx="10">
                  <c:v>24593455.913445547</c:v>
                </c:pt>
                <c:pt idx="11">
                  <c:v>29860298.181111839</c:v>
                </c:pt>
                <c:pt idx="12">
                  <c:v>33301896.835504577</c:v>
                </c:pt>
                <c:pt idx="13">
                  <c:v>40185665.367453992</c:v>
                </c:pt>
                <c:pt idx="14">
                  <c:v>45827873.561763577</c:v>
                </c:pt>
                <c:pt idx="15">
                  <c:v>52614550.657401554</c:v>
                </c:pt>
                <c:pt idx="16">
                  <c:v>66093484.193271816</c:v>
                </c:pt>
                <c:pt idx="17">
                  <c:v>65838816.087272853</c:v>
                </c:pt>
                <c:pt idx="18">
                  <c:v>75039149.644321874</c:v>
                </c:pt>
                <c:pt idx="19">
                  <c:v>79976777.144914716</c:v>
                </c:pt>
                <c:pt idx="20">
                  <c:v>88995362.770472199</c:v>
                </c:pt>
                <c:pt idx="21">
                  <c:v>96704309.113529131</c:v>
                </c:pt>
                <c:pt idx="22">
                  <c:v>104985470.20965448</c:v>
                </c:pt>
                <c:pt idx="23">
                  <c:v>114930895.26829274</c:v>
                </c:pt>
                <c:pt idx="24">
                  <c:v>121213166.41845554</c:v>
                </c:pt>
                <c:pt idx="25">
                  <c:v>119259549.55208103</c:v>
                </c:pt>
                <c:pt idx="26">
                  <c:v>122628082.29851457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ED-4E3A-B9DB-2A76C668E586}"/>
            </c:ext>
          </c:extLst>
        </c:ser>
        <c:ser>
          <c:idx val="2"/>
          <c:order val="2"/>
          <c:tx>
            <c:strRef>
              <c:f>BBDC4!$M$24:$O$24</c:f>
              <c:strCache>
                <c:ptCount val="3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BBDC4!$P$21:$AP$21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BBDC4!$P$24:$AP$24</c:f>
              <c:numCache>
                <c:formatCode>_-* #,##0_-;\-* #,##0_-;_-* \-??_-;_-@_-</c:formatCode>
                <c:ptCount val="27"/>
                <c:pt idx="0">
                  <c:v>6896759.3513000002</c:v>
                </c:pt>
                <c:pt idx="1">
                  <c:v>10327833.515000001</c:v>
                </c:pt>
                <c:pt idx="2">
                  <c:v>6435282.7752999999</c:v>
                </c:pt>
                <c:pt idx="3">
                  <c:v>17428087.655999999</c:v>
                </c:pt>
                <c:pt idx="4">
                  <c:v>16748049.408</c:v>
                </c:pt>
                <c:pt idx="5">
                  <c:v>16545627.073999999</c:v>
                </c:pt>
                <c:pt idx="6">
                  <c:v>14538426.843</c:v>
                </c:pt>
                <c:pt idx="7">
                  <c:v>22699491.068</c:v>
                </c:pt>
                <c:pt idx="8">
                  <c:v>28749553.859999999</c:v>
                </c:pt>
                <c:pt idx="9">
                  <c:v>64733500.799999997</c:v>
                </c:pt>
                <c:pt idx="10">
                  <c:v>84801127.450000003</c:v>
                </c:pt>
                <c:pt idx="11">
                  <c:v>107474447.59999999</c:v>
                </c:pt>
                <c:pt idx="12">
                  <c:v>65354162.939999998</c:v>
                </c:pt>
                <c:pt idx="13">
                  <c:v>103287043.88</c:v>
                </c:pt>
                <c:pt idx="14">
                  <c:v>109759327.25</c:v>
                </c:pt>
                <c:pt idx="15">
                  <c:v>106970502.15000001</c:v>
                </c:pt>
                <c:pt idx="16">
                  <c:v>131907965.98</c:v>
                </c:pt>
                <c:pt idx="17">
                  <c:v>128084557.48999999</c:v>
                </c:pt>
                <c:pt idx="18">
                  <c:v>145535827.28</c:v>
                </c:pt>
                <c:pt idx="19">
                  <c:v>100043545.18000001</c:v>
                </c:pt>
                <c:pt idx="20">
                  <c:v>160812747.63999999</c:v>
                </c:pt>
                <c:pt idx="21">
                  <c:v>200521275.03999999</c:v>
                </c:pt>
                <c:pt idx="22">
                  <c:v>242605819.25</c:v>
                </c:pt>
                <c:pt idx="23">
                  <c:v>282075111.29000002</c:v>
                </c:pt>
                <c:pt idx="24">
                  <c:v>226778470.78</c:v>
                </c:pt>
                <c:pt idx="25">
                  <c:v>171479631.44</c:v>
                </c:pt>
                <c:pt idx="26">
                  <c:v>152273967.09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ED-4E3A-B9DB-2A76C668E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9271210"/>
        <c:axId val="44400152"/>
      </c:lineChart>
      <c:catAx>
        <c:axId val="692712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44400152"/>
        <c:crosses val="autoZero"/>
        <c:auto val="1"/>
        <c:lblAlgn val="ctr"/>
        <c:lblOffset val="100"/>
        <c:noMultiLvlLbl val="0"/>
      </c:catAx>
      <c:valAx>
        <c:axId val="444001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_-* #,##0_-;\-* #,##0_-;_-* \-??_-;_-@_-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69271210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B3SA3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B3SA3!$M$22:$O$22</c:f>
              <c:strCache>
                <c:ptCount val="3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B3SA3!$P$21:$AP$21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B3SA3!$P$22:$AP$22</c:f>
              <c:numCache>
                <c:formatCode>_-* #,##0_-;\-* #,##0_-;_-* \-??_-;_-@_-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10502002</c:v>
                </c:pt>
                <c:pt idx="4">
                  <c:v>10565590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819128</c:v>
                </c:pt>
                <c:pt idx="9">
                  <c:v>857655</c:v>
                </c:pt>
                <c:pt idx="10">
                  <c:v>1062079</c:v>
                </c:pt>
                <c:pt idx="11">
                  <c:v>1353629</c:v>
                </c:pt>
                <c:pt idx="12">
                  <c:v>19291724</c:v>
                </c:pt>
                <c:pt idx="13">
                  <c:v>19709749</c:v>
                </c:pt>
                <c:pt idx="14">
                  <c:v>19402765</c:v>
                </c:pt>
                <c:pt idx="15">
                  <c:v>19241000</c:v>
                </c:pt>
                <c:pt idx="16">
                  <c:v>19397918</c:v>
                </c:pt>
                <c:pt idx="17">
                  <c:v>19284229</c:v>
                </c:pt>
                <c:pt idx="18">
                  <c:v>18979509</c:v>
                </c:pt>
                <c:pt idx="19">
                  <c:v>18342099</c:v>
                </c:pt>
                <c:pt idx="20">
                  <c:v>19066470</c:v>
                </c:pt>
                <c:pt idx="21">
                  <c:v>24299694</c:v>
                </c:pt>
                <c:pt idx="22">
                  <c:v>25032969</c:v>
                </c:pt>
                <c:pt idx="23">
                  <c:v>25388001</c:v>
                </c:pt>
                <c:pt idx="24">
                  <c:v>24509951</c:v>
                </c:pt>
                <c:pt idx="25">
                  <c:v>22407905</c:v>
                </c:pt>
                <c:pt idx="26">
                  <c:v>20271137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C-4A74-B567-165E46DB1006}"/>
            </c:ext>
          </c:extLst>
        </c:ser>
        <c:ser>
          <c:idx val="1"/>
          <c:order val="1"/>
          <c:tx>
            <c:strRef>
              <c:f>B3SA3!$M$23:$O$23</c:f>
              <c:strCache>
                <c:ptCount val="3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B3SA3!$P$21:$AP$21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B3SA3!$P$23:$AP$23</c:f>
              <c:numCache>
                <c:formatCode>_-* #,##0_-;\-* #,##0_-;_-* \-??_-;_-@_-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10502002</c:v>
                </c:pt>
                <c:pt idx="4">
                  <c:v>10565590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823993.82400000002</c:v>
                </c:pt>
                <c:pt idx="9">
                  <c:v>869679.23415314208</c:v>
                </c:pt>
                <c:pt idx="10">
                  <c:v>1077441.3353410021</c:v>
                </c:pt>
                <c:pt idx="11">
                  <c:v>1371413.0334465131</c:v>
                </c:pt>
                <c:pt idx="12">
                  <c:v>19316634.478388287</c:v>
                </c:pt>
                <c:pt idx="13">
                  <c:v>19744636.274359796</c:v>
                </c:pt>
                <c:pt idx="14">
                  <c:v>19935057.117213055</c:v>
                </c:pt>
                <c:pt idx="15">
                  <c:v>20863434.242585558</c:v>
                </c:pt>
                <c:pt idx="16">
                  <c:v>21181357.946983907</c:v>
                </c:pt>
                <c:pt idx="17">
                  <c:v>22059752.007035688</c:v>
                </c:pt>
                <c:pt idx="18">
                  <c:v>21970681.090872858</c:v>
                </c:pt>
                <c:pt idx="19">
                  <c:v>21668770.760296065</c:v>
                </c:pt>
                <c:pt idx="20">
                  <c:v>22240201.440578286</c:v>
                </c:pt>
                <c:pt idx="21">
                  <c:v>27356733.642311327</c:v>
                </c:pt>
                <c:pt idx="22">
                  <c:v>28789124.583621297</c:v>
                </c:pt>
                <c:pt idx="23">
                  <c:v>28765813.486091044</c:v>
                </c:pt>
                <c:pt idx="24">
                  <c:v>27396391.003181931</c:v>
                </c:pt>
                <c:pt idx="25">
                  <c:v>25201966.991414748</c:v>
                </c:pt>
                <c:pt idx="26">
                  <c:v>21927083.058108021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C-4A74-B567-165E46DB1006}"/>
            </c:ext>
          </c:extLst>
        </c:ser>
        <c:ser>
          <c:idx val="2"/>
          <c:order val="2"/>
          <c:tx>
            <c:strRef>
              <c:f>B3SA3!$M$24:$O$24</c:f>
              <c:strCache>
                <c:ptCount val="3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B3SA3!$P$21:$AP$21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B3SA3!$P$24:$AP$24</c:f>
              <c:numCache>
                <c:formatCode>_-* #,##0_-;\-* #,##0_-;_-* \-??_-;_-@_-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17428087.655999999</c:v>
                </c:pt>
                <c:pt idx="4">
                  <c:v>16748049.408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11966905.317</c:v>
                </c:pt>
                <c:pt idx="13">
                  <c:v>24558387.322000001</c:v>
                </c:pt>
                <c:pt idx="14">
                  <c:v>25996365.263999999</c:v>
                </c:pt>
                <c:pt idx="15">
                  <c:v>18894321.482000001</c:v>
                </c:pt>
                <c:pt idx="16">
                  <c:v>27042014.93</c:v>
                </c:pt>
                <c:pt idx="17">
                  <c:v>20943026.386999998</c:v>
                </c:pt>
                <c:pt idx="18">
                  <c:v>17810558.776999999</c:v>
                </c:pt>
                <c:pt idx="19">
                  <c:v>19407013.526000001</c:v>
                </c:pt>
                <c:pt idx="20">
                  <c:v>29492587.559</c:v>
                </c:pt>
                <c:pt idx="21">
                  <c:v>46452051.814999998</c:v>
                </c:pt>
                <c:pt idx="22">
                  <c:v>54805425.785999998</c:v>
                </c:pt>
                <c:pt idx="23">
                  <c:v>87196861.422999993</c:v>
                </c:pt>
                <c:pt idx="24">
                  <c:v>124944357.93000001</c:v>
                </c:pt>
                <c:pt idx="25">
                  <c:v>67351603.637999997</c:v>
                </c:pt>
                <c:pt idx="26">
                  <c:v>76043469.056999996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C-4A74-B567-165E46DB1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4446683"/>
        <c:axId val="26664458"/>
      </c:lineChart>
      <c:catAx>
        <c:axId val="944466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26664458"/>
        <c:crosses val="autoZero"/>
        <c:auto val="1"/>
        <c:lblAlgn val="ctr"/>
        <c:lblOffset val="100"/>
        <c:noMultiLvlLbl val="0"/>
      </c:catAx>
      <c:valAx>
        <c:axId val="266644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_-* #,##0_-;\-* #,##0_-;_-* \-??_-;_-@_-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94446683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BBAS3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BBAS3!$M$22:$O$22</c:f>
              <c:strCache>
                <c:ptCount val="3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BBAS3!$P$21:$AP$21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BBAS3!$P$22:$AP$22</c:f>
              <c:numCache>
                <c:formatCode>_-* #,##0_-;\-* #,##0_-;_-* \-??_-;_-@_-</c:formatCode>
                <c:ptCount val="27"/>
                <c:pt idx="0">
                  <c:v>5592213</c:v>
                </c:pt>
                <c:pt idx="1">
                  <c:v>6003033</c:v>
                </c:pt>
                <c:pt idx="2">
                  <c:v>6629873</c:v>
                </c:pt>
                <c:pt idx="3">
                  <c:v>10502002</c:v>
                </c:pt>
                <c:pt idx="4">
                  <c:v>10565590</c:v>
                </c:pt>
                <c:pt idx="5">
                  <c:v>8747353</c:v>
                </c:pt>
                <c:pt idx="6">
                  <c:v>9197065</c:v>
                </c:pt>
                <c:pt idx="7">
                  <c:v>12171798</c:v>
                </c:pt>
                <c:pt idx="8">
                  <c:v>14105696</c:v>
                </c:pt>
                <c:pt idx="9">
                  <c:v>16849764</c:v>
                </c:pt>
                <c:pt idx="10">
                  <c:v>20758158</c:v>
                </c:pt>
                <c:pt idx="11">
                  <c:v>24262096</c:v>
                </c:pt>
                <c:pt idx="12">
                  <c:v>29937250</c:v>
                </c:pt>
                <c:pt idx="13">
                  <c:v>36119265</c:v>
                </c:pt>
                <c:pt idx="14">
                  <c:v>50440636</c:v>
                </c:pt>
                <c:pt idx="15">
                  <c:v>57972442</c:v>
                </c:pt>
                <c:pt idx="16">
                  <c:v>65495798</c:v>
                </c:pt>
                <c:pt idx="17">
                  <c:v>69526297</c:v>
                </c:pt>
                <c:pt idx="18">
                  <c:v>77519742</c:v>
                </c:pt>
                <c:pt idx="19">
                  <c:v>78408095</c:v>
                </c:pt>
                <c:pt idx="20">
                  <c:v>87193752</c:v>
                </c:pt>
                <c:pt idx="21">
                  <c:v>98723402</c:v>
                </c:pt>
                <c:pt idx="22">
                  <c:v>102252882</c:v>
                </c:pt>
                <c:pt idx="23">
                  <c:v>106661238</c:v>
                </c:pt>
                <c:pt idx="24">
                  <c:v>124567652</c:v>
                </c:pt>
                <c:pt idx="25">
                  <c:v>141995018</c:v>
                </c:pt>
                <c:pt idx="26">
                  <c:v>160278681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4-42F2-8373-7903B5446F74}"/>
            </c:ext>
          </c:extLst>
        </c:ser>
        <c:ser>
          <c:idx val="1"/>
          <c:order val="1"/>
          <c:tx>
            <c:strRef>
              <c:f>BBAS3!$M$23:$O$23</c:f>
              <c:strCache>
                <c:ptCount val="3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BBAS3!$P$21:$AP$21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BBAS3!$P$23:$AP$23</c:f>
              <c:numCache>
                <c:formatCode>_-* #,##0_-;\-* #,##0_-;_-* \-??_-;_-@_-</c:formatCode>
                <c:ptCount val="27"/>
                <c:pt idx="0">
                  <c:v>5797984.352</c:v>
                </c:pt>
                <c:pt idx="1">
                  <c:v>6294194.5132209929</c:v>
                </c:pt>
                <c:pt idx="2">
                  <c:v>6898381.608328972</c:v>
                </c:pt>
                <c:pt idx="3">
                  <c:v>10956586.350630661</c:v>
                </c:pt>
                <c:pt idx="4">
                  <c:v>11097609.922541978</c:v>
                </c:pt>
                <c:pt idx="5">
                  <c:v>9404572.1131963339</c:v>
                </c:pt>
                <c:pt idx="6">
                  <c:v>10164682.747267064</c:v>
                </c:pt>
                <c:pt idx="7">
                  <c:v>13245361.330779456</c:v>
                </c:pt>
                <c:pt idx="8">
                  <c:v>15118349.781567378</c:v>
                </c:pt>
                <c:pt idx="9">
                  <c:v>17592857.396894667</c:v>
                </c:pt>
                <c:pt idx="10">
                  <c:v>20953252.7869284</c:v>
                </c:pt>
                <c:pt idx="11">
                  <c:v>23932061.519903734</c:v>
                </c:pt>
                <c:pt idx="12">
                  <c:v>29034777.448639557</c:v>
                </c:pt>
                <c:pt idx="13">
                  <c:v>34393119.811877385</c:v>
                </c:pt>
                <c:pt idx="14">
                  <c:v>47877864.862759784</c:v>
                </c:pt>
                <c:pt idx="15">
                  <c:v>54445010.752489559</c:v>
                </c:pt>
                <c:pt idx="16">
                  <c:v>60724462.429896034</c:v>
                </c:pt>
                <c:pt idx="17">
                  <c:v>63335935.480692931</c:v>
                </c:pt>
                <c:pt idx="18">
                  <c:v>69611519.130536854</c:v>
                </c:pt>
                <c:pt idx="19">
                  <c:v>67255719.891893193</c:v>
                </c:pt>
                <c:pt idx="20">
                  <c:v>72681320.330187142</c:v>
                </c:pt>
                <c:pt idx="21">
                  <c:v>81163060.463706776</c:v>
                </c:pt>
                <c:pt idx="22">
                  <c:v>81521987.536135092</c:v>
                </c:pt>
                <c:pt idx="23">
                  <c:v>82384655.624101833</c:v>
                </c:pt>
                <c:pt idx="24">
                  <c:v>95849233.97641176</c:v>
                </c:pt>
                <c:pt idx="25">
                  <c:v>107026100.42744005</c:v>
                </c:pt>
                <c:pt idx="26">
                  <c:v>119884372.40133564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4-42F2-8373-7903B5446F74}"/>
            </c:ext>
          </c:extLst>
        </c:ser>
        <c:ser>
          <c:idx val="2"/>
          <c:order val="2"/>
          <c:tx>
            <c:strRef>
              <c:f>BBAS3!$M$24:$O$24</c:f>
              <c:strCache>
                <c:ptCount val="3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BBAS3!$P$21:$AP$21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BBAS3!$P$24:$AP$24</c:f>
              <c:numCache>
                <c:formatCode>_-* #,##0_-;\-* #,##0_-;_-* \-??_-;_-@_-</c:formatCode>
                <c:ptCount val="27"/>
                <c:pt idx="0">
                  <c:v>6607342.8657999998</c:v>
                </c:pt>
                <c:pt idx="1">
                  <c:v>5454627.7078</c:v>
                </c:pt>
                <c:pt idx="2">
                  <c:v>5327872.8470999999</c:v>
                </c:pt>
                <c:pt idx="3">
                  <c:v>17428087.655999999</c:v>
                </c:pt>
                <c:pt idx="4">
                  <c:v>16748049.408</c:v>
                </c:pt>
                <c:pt idx="5">
                  <c:v>8103070.9139999999</c:v>
                </c:pt>
                <c:pt idx="6">
                  <c:v>7173774.7994999997</c:v>
                </c:pt>
                <c:pt idx="7">
                  <c:v>17568427.872000001</c:v>
                </c:pt>
                <c:pt idx="8">
                  <c:v>25979191.484999999</c:v>
                </c:pt>
                <c:pt idx="9">
                  <c:v>33732980.943999998</c:v>
                </c:pt>
                <c:pt idx="10">
                  <c:v>52820251.071999997</c:v>
                </c:pt>
                <c:pt idx="11">
                  <c:v>75268857.777999997</c:v>
                </c:pt>
                <c:pt idx="12">
                  <c:v>37684090.241999999</c:v>
                </c:pt>
                <c:pt idx="13">
                  <c:v>76290691.246999994</c:v>
                </c:pt>
                <c:pt idx="14">
                  <c:v>89883806.502000004</c:v>
                </c:pt>
                <c:pt idx="15">
                  <c:v>67910381.856999993</c:v>
                </c:pt>
                <c:pt idx="16">
                  <c:v>72837554.509000003</c:v>
                </c:pt>
                <c:pt idx="17">
                  <c:v>68532638.484999999</c:v>
                </c:pt>
                <c:pt idx="18">
                  <c:v>66473647.504000001</c:v>
                </c:pt>
                <c:pt idx="19">
                  <c:v>41162228.626000002</c:v>
                </c:pt>
                <c:pt idx="20">
                  <c:v>78223642.191</c:v>
                </c:pt>
                <c:pt idx="21">
                  <c:v>88617221.769999996</c:v>
                </c:pt>
                <c:pt idx="22">
                  <c:v>129499323.34999999</c:v>
                </c:pt>
                <c:pt idx="23">
                  <c:v>150587593.69</c:v>
                </c:pt>
                <c:pt idx="24">
                  <c:v>110705777.37</c:v>
                </c:pt>
                <c:pt idx="25">
                  <c:v>82321812.777999997</c:v>
                </c:pt>
                <c:pt idx="26">
                  <c:v>99106787.275000006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74-42F2-8373-7903B5446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7553685"/>
        <c:axId val="54609217"/>
      </c:lineChart>
      <c:catAx>
        <c:axId val="775536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54609217"/>
        <c:crosses val="autoZero"/>
        <c:auto val="1"/>
        <c:lblAlgn val="ctr"/>
        <c:lblOffset val="100"/>
        <c:noMultiLvlLbl val="0"/>
      </c:catAx>
      <c:valAx>
        <c:axId val="5460921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_-* #,##0_-;\-* #,##0_-;_-* \-??_-;_-@_-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77553685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ABEV3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ABEV3!$M$22:$O$22</c:f>
              <c:strCache>
                <c:ptCount val="3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ABEV3!$P$21:$AP$21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ABEV3!$P$22:$AP$22</c:f>
              <c:numCache>
                <c:formatCode>_-* #,##0_-;\-* #,##0_-;_-* \-??_-;_-@_-</c:formatCode>
                <c:ptCount val="27"/>
                <c:pt idx="0">
                  <c:v>1263852</c:v>
                </c:pt>
                <c:pt idx="1">
                  <c:v>1350303</c:v>
                </c:pt>
                <c:pt idx="2">
                  <c:v>1428416</c:v>
                </c:pt>
                <c:pt idx="3">
                  <c:v>10502002</c:v>
                </c:pt>
                <c:pt idx="4">
                  <c:v>10565590</c:v>
                </c:pt>
                <c:pt idx="5">
                  <c:v>3363437</c:v>
                </c:pt>
                <c:pt idx="6">
                  <c:v>4129647</c:v>
                </c:pt>
                <c:pt idx="7">
                  <c:v>4308217</c:v>
                </c:pt>
                <c:pt idx="8">
                  <c:v>16995979</c:v>
                </c:pt>
                <c:pt idx="9">
                  <c:v>19867339</c:v>
                </c:pt>
                <c:pt idx="10">
                  <c:v>19268063</c:v>
                </c:pt>
                <c:pt idx="11">
                  <c:v>17419950</c:v>
                </c:pt>
                <c:pt idx="12">
                  <c:v>17278138</c:v>
                </c:pt>
                <c:pt idx="13">
                  <c:v>22017450</c:v>
                </c:pt>
                <c:pt idx="14">
                  <c:v>24361863</c:v>
                </c:pt>
                <c:pt idx="15">
                  <c:v>25611320</c:v>
                </c:pt>
                <c:pt idx="16">
                  <c:v>28863744</c:v>
                </c:pt>
                <c:pt idx="17">
                  <c:v>42838778</c:v>
                </c:pt>
                <c:pt idx="18">
                  <c:v>42221594</c:v>
                </c:pt>
                <c:pt idx="19">
                  <c:v>48331883</c:v>
                </c:pt>
                <c:pt idx="20">
                  <c:v>44825048</c:v>
                </c:pt>
                <c:pt idx="21">
                  <c:v>46008814</c:v>
                </c:pt>
                <c:pt idx="22">
                  <c:v>56340623</c:v>
                </c:pt>
                <c:pt idx="23">
                  <c:v>61278025</c:v>
                </c:pt>
                <c:pt idx="24">
                  <c:v>73815628</c:v>
                </c:pt>
                <c:pt idx="25">
                  <c:v>82643031</c:v>
                </c:pt>
                <c:pt idx="26">
                  <c:v>81955633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C-4A68-82DF-15BBBBA675D0}"/>
            </c:ext>
          </c:extLst>
        </c:ser>
        <c:ser>
          <c:idx val="1"/>
          <c:order val="1"/>
          <c:tx>
            <c:strRef>
              <c:f>ABEV3!$M$23:$O$23</c:f>
              <c:strCache>
                <c:ptCount val="3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ABEV3!$P$21:$AP$21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ABEV3!$P$23:$AP$23</c:f>
              <c:numCache>
                <c:formatCode>_-* #,##0_-;\-* #,##0_-;_-* \-??_-;_-@_-</c:formatCode>
                <c:ptCount val="27"/>
                <c:pt idx="0">
                  <c:v>1419786.5461999997</c:v>
                </c:pt>
                <c:pt idx="1">
                  <c:v>1595979.7311449852</c:v>
                </c:pt>
                <c:pt idx="2">
                  <c:v>1670318.5464842473</c:v>
                </c:pt>
                <c:pt idx="3">
                  <c:v>10990001.56113616</c:v>
                </c:pt>
                <c:pt idx="4">
                  <c:v>11207206.462159002</c:v>
                </c:pt>
                <c:pt idx="5">
                  <c:v>4198963.6331770718</c:v>
                </c:pt>
                <c:pt idx="6">
                  <c:v>5375578.0629574209</c:v>
                </c:pt>
                <c:pt idx="7">
                  <c:v>5798757.3619725695</c:v>
                </c:pt>
                <c:pt idx="8">
                  <c:v>18638350.870992523</c:v>
                </c:pt>
                <c:pt idx="9">
                  <c:v>21447480.115029477</c:v>
                </c:pt>
                <c:pt idx="10">
                  <c:v>20445564.042996671</c:v>
                </c:pt>
                <c:pt idx="11">
                  <c:v>18251734.561606254</c:v>
                </c:pt>
                <c:pt idx="12">
                  <c:v>17829031.922121532</c:v>
                </c:pt>
                <c:pt idx="13">
                  <c:v>22001852.29927884</c:v>
                </c:pt>
                <c:pt idx="14">
                  <c:v>24385635.77956922</c:v>
                </c:pt>
                <c:pt idx="15">
                  <c:v>26286238.354862005</c:v>
                </c:pt>
                <c:pt idx="16">
                  <c:v>28629992.182652906</c:v>
                </c:pt>
                <c:pt idx="17">
                  <c:v>43135341.474426009</c:v>
                </c:pt>
                <c:pt idx="18">
                  <c:v>41142522.59564922</c:v>
                </c:pt>
                <c:pt idx="19">
                  <c:v>44848617.803758033</c:v>
                </c:pt>
                <c:pt idx="20">
                  <c:v>37631932.848721951</c:v>
                </c:pt>
                <c:pt idx="21">
                  <c:v>34823270.872613922</c:v>
                </c:pt>
                <c:pt idx="22">
                  <c:v>42919024.587558471</c:v>
                </c:pt>
                <c:pt idx="23">
                  <c:v>43722305.32968957</c:v>
                </c:pt>
                <c:pt idx="24">
                  <c:v>50380456.735852346</c:v>
                </c:pt>
                <c:pt idx="25">
                  <c:v>51988126.458642364</c:v>
                </c:pt>
                <c:pt idx="26">
                  <c:v>43347909.744570091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2C-4A68-82DF-15BBBBA675D0}"/>
            </c:ext>
          </c:extLst>
        </c:ser>
        <c:ser>
          <c:idx val="2"/>
          <c:order val="2"/>
          <c:tx>
            <c:strRef>
              <c:f>ABEV3!$M$24:$O$24</c:f>
              <c:strCache>
                <c:ptCount val="3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ABEV3!$P$21:$AP$21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ABEV3!$P$24:$AP$24</c:f>
              <c:numCache>
                <c:formatCode>_-* #,##0_-;\-* #,##0_-;_-* \-??_-;_-@_-</c:formatCode>
                <c:ptCount val="27"/>
                <c:pt idx="0">
                  <c:v>4191067.5043000001</c:v>
                </c:pt>
                <c:pt idx="1">
                  <c:v>5119656.2489999998</c:v>
                </c:pt>
                <c:pt idx="2">
                  <c:v>3636725.3818999999</c:v>
                </c:pt>
                <c:pt idx="3">
                  <c:v>17428087.655999999</c:v>
                </c:pt>
                <c:pt idx="4">
                  <c:v>16748049.408</c:v>
                </c:pt>
                <c:pt idx="5">
                  <c:v>17424971.035</c:v>
                </c:pt>
                <c:pt idx="6">
                  <c:v>19685615.545000002</c:v>
                </c:pt>
                <c:pt idx="7">
                  <c:v>26391777.998</c:v>
                </c:pt>
                <c:pt idx="8">
                  <c:v>55180719.972000003</c:v>
                </c:pt>
                <c:pt idx="9">
                  <c:v>53645514.494000003</c:v>
                </c:pt>
                <c:pt idx="10">
                  <c:v>63334183.397</c:v>
                </c:pt>
                <c:pt idx="11">
                  <c:v>77936433.099999994</c:v>
                </c:pt>
                <c:pt idx="12">
                  <c:v>56506644.369999997</c:v>
                </c:pt>
                <c:pt idx="13">
                  <c:v>98213284</c:v>
                </c:pt>
                <c:pt idx="14">
                  <c:v>144362370.28</c:v>
                </c:pt>
                <c:pt idx="15">
                  <c:v>187553882.19999999</c:v>
                </c:pt>
                <c:pt idx="16">
                  <c:v>264301506.06</c:v>
                </c:pt>
                <c:pt idx="17">
                  <c:v>270935478.31999999</c:v>
                </c:pt>
                <c:pt idx="18">
                  <c:v>254851916.44</c:v>
                </c:pt>
                <c:pt idx="19">
                  <c:v>279978927.89999998</c:v>
                </c:pt>
                <c:pt idx="20">
                  <c:v>257498089.19999999</c:v>
                </c:pt>
                <c:pt idx="21">
                  <c:v>334313502.88</c:v>
                </c:pt>
                <c:pt idx="22">
                  <c:v>241790810.22</c:v>
                </c:pt>
                <c:pt idx="23">
                  <c:v>293678222.50999999</c:v>
                </c:pt>
                <c:pt idx="24">
                  <c:v>246251419.75</c:v>
                </c:pt>
                <c:pt idx="25">
                  <c:v>242690275.97999999</c:v>
                </c:pt>
                <c:pt idx="26">
                  <c:v>228569992.19999999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2C-4A68-82DF-15BBBBA67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2434022"/>
        <c:axId val="31521890"/>
      </c:lineChart>
      <c:catAx>
        <c:axId val="724340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31521890"/>
        <c:crosses val="autoZero"/>
        <c:auto val="1"/>
        <c:lblAlgn val="ctr"/>
        <c:lblOffset val="100"/>
        <c:noMultiLvlLbl val="0"/>
      </c:catAx>
      <c:valAx>
        <c:axId val="315218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_-* #,##0_-;\-* #,##0_-;_-* \-??_-;_-@_-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72434022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RENT3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RENT3!$M$22:$O$22</c:f>
              <c:strCache>
                <c:ptCount val="3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RENT3!$P$21:$AP$21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RENT3!$P$22:$AP$22</c:f>
              <c:numCache>
                <c:formatCode>_-* #,##0_-;\-* #,##0_-;_-* \-??_-;_-@_-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10502002</c:v>
                </c:pt>
                <c:pt idx="4">
                  <c:v>10565590</c:v>
                </c:pt>
                <c:pt idx="5">
                  <c:v>191178</c:v>
                </c:pt>
                <c:pt idx="6">
                  <c:v>194714</c:v>
                </c:pt>
                <c:pt idx="7">
                  <c:v>195607</c:v>
                </c:pt>
                <c:pt idx="8">
                  <c:v>256381</c:v>
                </c:pt>
                <c:pt idx="9">
                  <c:v>334274</c:v>
                </c:pt>
                <c:pt idx="10">
                  <c:v>378628</c:v>
                </c:pt>
                <c:pt idx="11">
                  <c:v>484121</c:v>
                </c:pt>
                <c:pt idx="12">
                  <c:v>537256</c:v>
                </c:pt>
                <c:pt idx="13">
                  <c:v>608685</c:v>
                </c:pt>
                <c:pt idx="14">
                  <c:v>898742</c:v>
                </c:pt>
                <c:pt idx="15">
                  <c:v>1120583</c:v>
                </c:pt>
                <c:pt idx="16">
                  <c:v>1324753</c:v>
                </c:pt>
                <c:pt idx="17">
                  <c:v>1341208</c:v>
                </c:pt>
                <c:pt idx="18">
                  <c:v>1655504</c:v>
                </c:pt>
                <c:pt idx="19">
                  <c:v>1941577</c:v>
                </c:pt>
                <c:pt idx="20">
                  <c:v>2196990</c:v>
                </c:pt>
                <c:pt idx="21">
                  <c:v>2600725</c:v>
                </c:pt>
                <c:pt idx="22">
                  <c:v>3094502</c:v>
                </c:pt>
                <c:pt idx="23">
                  <c:v>5447532</c:v>
                </c:pt>
                <c:pt idx="24">
                  <c:v>6052659</c:v>
                </c:pt>
                <c:pt idx="25">
                  <c:v>7617090</c:v>
                </c:pt>
                <c:pt idx="26">
                  <c:v>20559196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35-4716-A600-E63FCEBD4BE8}"/>
            </c:ext>
          </c:extLst>
        </c:ser>
        <c:ser>
          <c:idx val="1"/>
          <c:order val="1"/>
          <c:tx>
            <c:strRef>
              <c:f>RENT3!$M$23:$O$23</c:f>
              <c:strCache>
                <c:ptCount val="3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RENT3!$P$21:$AP$21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RENT3!$P$23:$AP$23</c:f>
              <c:numCache>
                <c:formatCode>_-* #,##0_-;\-* #,##0_-;_-* \-??_-;_-@_-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10502002</c:v>
                </c:pt>
                <c:pt idx="4">
                  <c:v>10565826.4717</c:v>
                </c:pt>
                <c:pt idx="5">
                  <c:v>192216.95312687982</c:v>
                </c:pt>
                <c:pt idx="6">
                  <c:v>197660.8109136858</c:v>
                </c:pt>
                <c:pt idx="7">
                  <c:v>199561.55135082031</c:v>
                </c:pt>
                <c:pt idx="8">
                  <c:v>283173.11499121471</c:v>
                </c:pt>
                <c:pt idx="9">
                  <c:v>403518.9657342062</c:v>
                </c:pt>
                <c:pt idx="10">
                  <c:v>469797.54278622277</c:v>
                </c:pt>
                <c:pt idx="11">
                  <c:v>634732.90157392109</c:v>
                </c:pt>
                <c:pt idx="12">
                  <c:v>785262.41812379181</c:v>
                </c:pt>
                <c:pt idx="13">
                  <c:v>933796.47765897785</c:v>
                </c:pt>
                <c:pt idx="14">
                  <c:v>1364460.1492298758</c:v>
                </c:pt>
                <c:pt idx="15">
                  <c:v>1781396.6039557187</c:v>
                </c:pt>
                <c:pt idx="16">
                  <c:v>2151432.1911804336</c:v>
                </c:pt>
                <c:pt idx="17">
                  <c:v>2361391.3205391061</c:v>
                </c:pt>
                <c:pt idx="18">
                  <c:v>2903699.1433184417</c:v>
                </c:pt>
                <c:pt idx="19">
                  <c:v>3353129.467816629</c:v>
                </c:pt>
                <c:pt idx="20">
                  <c:v>3670978.1337121171</c:v>
                </c:pt>
                <c:pt idx="21">
                  <c:v>4043641.6649435316</c:v>
                </c:pt>
                <c:pt idx="22">
                  <c:v>4809992.4435616331</c:v>
                </c:pt>
                <c:pt idx="23">
                  <c:v>7535171.6994004874</c:v>
                </c:pt>
                <c:pt idx="24">
                  <c:v>8074497.2673974046</c:v>
                </c:pt>
                <c:pt idx="25">
                  <c:v>9960906.5795048214</c:v>
                </c:pt>
                <c:pt idx="26">
                  <c:v>23664529.732427236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35-4716-A600-E63FCEBD4BE8}"/>
            </c:ext>
          </c:extLst>
        </c:ser>
        <c:ser>
          <c:idx val="2"/>
          <c:order val="2"/>
          <c:tx>
            <c:strRef>
              <c:f>RENT3!$M$24:$O$24</c:f>
              <c:strCache>
                <c:ptCount val="3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RENT3!$P$21:$AP$21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RENT3!$P$24:$AP$24</c:f>
              <c:numCache>
                <c:formatCode>_-* #,##0_-;\-* #,##0_-;_-* \-??_-;_-@_-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17428087.655999999</c:v>
                </c:pt>
                <c:pt idx="4">
                  <c:v>16748049.408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1799777.7215</c:v>
                </c:pt>
                <c:pt idx="10">
                  <c:v>4310759.4237000002</c:v>
                </c:pt>
                <c:pt idx="11">
                  <c:v>3810264.12</c:v>
                </c:pt>
                <c:pt idx="12">
                  <c:v>1402122.2</c:v>
                </c:pt>
                <c:pt idx="13">
                  <c:v>3815352.24</c:v>
                </c:pt>
                <c:pt idx="14">
                  <c:v>5292433.7059000004</c:v>
                </c:pt>
                <c:pt idx="15">
                  <c:v>5042572.0562000005</c:v>
                </c:pt>
                <c:pt idx="16">
                  <c:v>7429773.6106000002</c:v>
                </c:pt>
                <c:pt idx="17">
                  <c:v>6906602.5440999996</c:v>
                </c:pt>
                <c:pt idx="18">
                  <c:v>7421331.0552000003</c:v>
                </c:pt>
                <c:pt idx="19">
                  <c:v>5133259.8437000001</c:v>
                </c:pt>
                <c:pt idx="20">
                  <c:v>7121182</c:v>
                </c:pt>
                <c:pt idx="21">
                  <c:v>14568357.82</c:v>
                </c:pt>
                <c:pt idx="22">
                  <c:v>19694053.75</c:v>
                </c:pt>
                <c:pt idx="23">
                  <c:v>35826172.469999999</c:v>
                </c:pt>
                <c:pt idx="24">
                  <c:v>51827715.450000003</c:v>
                </c:pt>
                <c:pt idx="25">
                  <c:v>39866176</c:v>
                </c:pt>
                <c:pt idx="26">
                  <c:v>52059498.399999999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35-4716-A600-E63FCEBD4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3129880"/>
        <c:axId val="46147491"/>
      </c:lineChart>
      <c:catAx>
        <c:axId val="93129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46147491"/>
        <c:crosses val="autoZero"/>
        <c:auto val="1"/>
        <c:lblAlgn val="ctr"/>
        <c:lblOffset val="100"/>
        <c:noMultiLvlLbl val="0"/>
      </c:catAx>
      <c:valAx>
        <c:axId val="4614749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_-* #,##0_-;\-* #,##0_-;_-* \-??_-;_-@_-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93129880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ITSA4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ITSA4!$M$22:$O$22</c:f>
              <c:strCache>
                <c:ptCount val="3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ITSA4!$P$21:$AP$21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ITSA4!$P$22:$AP$22</c:f>
              <c:numCache>
                <c:formatCode>_-* #,##0_-;\-* #,##0_-;_-* \-??_-;_-@_-</c:formatCode>
                <c:ptCount val="27"/>
                <c:pt idx="0">
                  <c:v>2433214</c:v>
                </c:pt>
                <c:pt idx="1">
                  <c:v>2770442</c:v>
                </c:pt>
                <c:pt idx="2">
                  <c:v>2984403</c:v>
                </c:pt>
                <c:pt idx="3">
                  <c:v>10502002</c:v>
                </c:pt>
                <c:pt idx="4">
                  <c:v>10565590</c:v>
                </c:pt>
                <c:pt idx="5">
                  <c:v>5054694</c:v>
                </c:pt>
                <c:pt idx="6">
                  <c:v>6389415</c:v>
                </c:pt>
                <c:pt idx="7">
                  <c:v>7636181</c:v>
                </c:pt>
                <c:pt idx="8">
                  <c:v>8879419</c:v>
                </c:pt>
                <c:pt idx="9">
                  <c:v>9753844</c:v>
                </c:pt>
                <c:pt idx="10">
                  <c:v>12842285</c:v>
                </c:pt>
                <c:pt idx="11">
                  <c:v>15675809</c:v>
                </c:pt>
                <c:pt idx="12">
                  <c:v>16591945</c:v>
                </c:pt>
                <c:pt idx="13">
                  <c:v>19785992</c:v>
                </c:pt>
                <c:pt idx="14">
                  <c:v>26302000</c:v>
                </c:pt>
                <c:pt idx="15">
                  <c:v>29341000</c:v>
                </c:pt>
                <c:pt idx="16">
                  <c:v>30027000</c:v>
                </c:pt>
                <c:pt idx="17">
                  <c:v>33131000</c:v>
                </c:pt>
                <c:pt idx="18">
                  <c:v>39226000</c:v>
                </c:pt>
                <c:pt idx="19">
                  <c:v>44846000</c:v>
                </c:pt>
                <c:pt idx="20">
                  <c:v>47729000</c:v>
                </c:pt>
                <c:pt idx="21">
                  <c:v>53229000</c:v>
                </c:pt>
                <c:pt idx="22">
                  <c:v>55143000</c:v>
                </c:pt>
                <c:pt idx="23">
                  <c:v>55232000</c:v>
                </c:pt>
                <c:pt idx="24">
                  <c:v>57343000</c:v>
                </c:pt>
                <c:pt idx="25">
                  <c:v>65886000</c:v>
                </c:pt>
                <c:pt idx="26">
                  <c:v>72797000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65-4FBD-B906-3C4A9D54957F}"/>
            </c:ext>
          </c:extLst>
        </c:ser>
        <c:ser>
          <c:idx val="1"/>
          <c:order val="1"/>
          <c:tx>
            <c:strRef>
              <c:f>ITSA4!$M$23:$O$23</c:f>
              <c:strCache>
                <c:ptCount val="3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ITSA4!$P$21:$AP$21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ITSA4!$P$23:$AP$23</c:f>
              <c:numCache>
                <c:formatCode>_-* #,##0_-;\-* #,##0_-;_-* \-??_-;_-@_-</c:formatCode>
                <c:ptCount val="27"/>
                <c:pt idx="0">
                  <c:v>2722904.1314000003</c:v>
                </c:pt>
                <c:pt idx="1">
                  <c:v>3194760.636927268</c:v>
                </c:pt>
                <c:pt idx="2">
                  <c:v>3393195.9059319417</c:v>
                </c:pt>
                <c:pt idx="3">
                  <c:v>11165477.869919701</c:v>
                </c:pt>
                <c:pt idx="4">
                  <c:v>11344521.128601648</c:v>
                </c:pt>
                <c:pt idx="5">
                  <c:v>6016007.1052555032</c:v>
                </c:pt>
                <c:pt idx="6">
                  <c:v>7779137.8873558724</c:v>
                </c:pt>
                <c:pt idx="7">
                  <c:v>9221133.7703774832</c:v>
                </c:pt>
                <c:pt idx="8">
                  <c:v>10463836.309118571</c:v>
                </c:pt>
                <c:pt idx="9">
                  <c:v>11104806.760915397</c:v>
                </c:pt>
                <c:pt idx="10">
                  <c:v>13677792.476409197</c:v>
                </c:pt>
                <c:pt idx="11">
                  <c:v>16023358.938739263</c:v>
                </c:pt>
                <c:pt idx="12">
                  <c:v>16527514.83926796</c:v>
                </c:pt>
                <c:pt idx="13">
                  <c:v>19128471.591340162</c:v>
                </c:pt>
                <c:pt idx="14">
                  <c:v>25107720.806637689</c:v>
                </c:pt>
                <c:pt idx="15">
                  <c:v>27500728.29970238</c:v>
                </c:pt>
                <c:pt idx="16">
                  <c:v>27136401.7917712</c:v>
                </c:pt>
                <c:pt idx="17">
                  <c:v>28997733.113323811</c:v>
                </c:pt>
                <c:pt idx="18">
                  <c:v>33616632.633013196</c:v>
                </c:pt>
                <c:pt idx="19">
                  <c:v>36993651.530459046</c:v>
                </c:pt>
                <c:pt idx="20">
                  <c:v>37001444.050097987</c:v>
                </c:pt>
                <c:pt idx="21">
                  <c:v>39563355.516203538</c:v>
                </c:pt>
                <c:pt idx="22">
                  <c:v>38277428.914159149</c:v>
                </c:pt>
                <c:pt idx="23">
                  <c:v>37041690.914538518</c:v>
                </c:pt>
                <c:pt idx="24">
                  <c:v>37013652.179099239</c:v>
                </c:pt>
                <c:pt idx="25">
                  <c:v>39826919.486779258</c:v>
                </c:pt>
                <c:pt idx="26">
                  <c:v>41107857.719472304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65-4FBD-B906-3C4A9D54957F}"/>
            </c:ext>
          </c:extLst>
        </c:ser>
        <c:ser>
          <c:idx val="2"/>
          <c:order val="2"/>
          <c:tx>
            <c:strRef>
              <c:f>ITSA4!$M$24:$O$24</c:f>
              <c:strCache>
                <c:ptCount val="3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ITSA4!$P$21:$AP$21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ITSA4!$P$24:$AP$24</c:f>
              <c:numCache>
                <c:formatCode>_-* #,##0_-;\-* #,##0_-;_-* \-??_-;_-@_-</c:formatCode>
                <c:ptCount val="27"/>
                <c:pt idx="0">
                  <c:v>2396497.6521000001</c:v>
                </c:pt>
                <c:pt idx="1">
                  <c:v>2485566.5172000001</c:v>
                </c:pt>
                <c:pt idx="2">
                  <c:v>2139130.2097999998</c:v>
                </c:pt>
                <c:pt idx="3">
                  <c:v>17428087.655999999</c:v>
                </c:pt>
                <c:pt idx="4">
                  <c:v>16748049.408</c:v>
                </c:pt>
                <c:pt idx="5">
                  <c:v>7979476.2060000002</c:v>
                </c:pt>
                <c:pt idx="6">
                  <c:v>7561381.7554000001</c:v>
                </c:pt>
                <c:pt idx="7">
                  <c:v>11105426.83</c:v>
                </c:pt>
                <c:pt idx="8">
                  <c:v>15315531</c:v>
                </c:pt>
                <c:pt idx="9">
                  <c:v>23683218.949999999</c:v>
                </c:pt>
                <c:pt idx="10">
                  <c:v>36977854.240000002</c:v>
                </c:pt>
                <c:pt idx="11">
                  <c:v>48494713</c:v>
                </c:pt>
                <c:pt idx="12">
                  <c:v>35875430.684</c:v>
                </c:pt>
                <c:pt idx="13">
                  <c:v>54569188.305</c:v>
                </c:pt>
                <c:pt idx="14">
                  <c:v>59509615.920999996</c:v>
                </c:pt>
                <c:pt idx="15">
                  <c:v>55001977.200000003</c:v>
                </c:pt>
                <c:pt idx="16">
                  <c:v>55930079.399999999</c:v>
                </c:pt>
                <c:pt idx="17">
                  <c:v>56692598.899999999</c:v>
                </c:pt>
                <c:pt idx="18">
                  <c:v>58006760.299999997</c:v>
                </c:pt>
                <c:pt idx="19">
                  <c:v>46861259.520000003</c:v>
                </c:pt>
                <c:pt idx="20">
                  <c:v>60592204.920000002</c:v>
                </c:pt>
                <c:pt idx="21">
                  <c:v>80017631.400000006</c:v>
                </c:pt>
                <c:pt idx="22">
                  <c:v>105126836.64</c:v>
                </c:pt>
                <c:pt idx="23">
                  <c:v>118392789.83</c:v>
                </c:pt>
                <c:pt idx="24">
                  <c:v>100421661.13</c:v>
                </c:pt>
                <c:pt idx="25">
                  <c:v>79911699.180000007</c:v>
                </c:pt>
                <c:pt idx="26">
                  <c:v>83859228.290000007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65-4FBD-B906-3C4A9D549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7423344"/>
        <c:axId val="75033519"/>
      </c:lineChart>
      <c:catAx>
        <c:axId val="774233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75033519"/>
        <c:crosses val="autoZero"/>
        <c:auto val="1"/>
        <c:lblAlgn val="ctr"/>
        <c:lblOffset val="100"/>
        <c:noMultiLvlLbl val="0"/>
      </c:catAx>
      <c:valAx>
        <c:axId val="7503351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_-* #,##0_-;\-* #,##0_-;_-* \-??_-;_-@_-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7742334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WEGE3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WEGE3!$M$22:$O$22</c:f>
              <c:strCache>
                <c:ptCount val="3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WEGE3!$P$21:$AP$21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WEGE3!$P$22:$AP$22</c:f>
              <c:numCache>
                <c:formatCode>_-* #,##0_-;\-* #,##0_-;_-* \-??_-;_-@_-</c:formatCode>
                <c:ptCount val="27"/>
                <c:pt idx="0">
                  <c:v>263772</c:v>
                </c:pt>
                <c:pt idx="1">
                  <c:v>295142</c:v>
                </c:pt>
                <c:pt idx="2">
                  <c:v>353278</c:v>
                </c:pt>
                <c:pt idx="3">
                  <c:v>10502002</c:v>
                </c:pt>
                <c:pt idx="4">
                  <c:v>10565590</c:v>
                </c:pt>
                <c:pt idx="5">
                  <c:v>573648</c:v>
                </c:pt>
                <c:pt idx="6">
                  <c:v>693651</c:v>
                </c:pt>
                <c:pt idx="7">
                  <c:v>861426</c:v>
                </c:pt>
                <c:pt idx="8">
                  <c:v>1162002</c:v>
                </c:pt>
                <c:pt idx="9">
                  <c:v>1371463</c:v>
                </c:pt>
                <c:pt idx="10">
                  <c:v>1552724</c:v>
                </c:pt>
                <c:pt idx="11">
                  <c:v>1829174</c:v>
                </c:pt>
                <c:pt idx="12">
                  <c:v>2178580</c:v>
                </c:pt>
                <c:pt idx="13">
                  <c:v>2362787</c:v>
                </c:pt>
                <c:pt idx="14">
                  <c:v>3454607</c:v>
                </c:pt>
                <c:pt idx="15">
                  <c:v>3800112</c:v>
                </c:pt>
                <c:pt idx="16">
                  <c:v>4060349</c:v>
                </c:pt>
                <c:pt idx="17">
                  <c:v>4557772</c:v>
                </c:pt>
                <c:pt idx="18">
                  <c:v>5056385</c:v>
                </c:pt>
                <c:pt idx="19">
                  <c:v>6029380</c:v>
                </c:pt>
                <c:pt idx="20">
                  <c:v>5962874</c:v>
                </c:pt>
                <c:pt idx="21">
                  <c:v>6720926</c:v>
                </c:pt>
                <c:pt idx="22">
                  <c:v>7714274</c:v>
                </c:pt>
                <c:pt idx="23">
                  <c:v>8717247</c:v>
                </c:pt>
                <c:pt idx="24">
                  <c:v>11563165</c:v>
                </c:pt>
                <c:pt idx="25">
                  <c:v>13604971</c:v>
                </c:pt>
                <c:pt idx="26">
                  <c:v>14834795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6-40DB-BF2F-50D80CCB66BD}"/>
            </c:ext>
          </c:extLst>
        </c:ser>
        <c:ser>
          <c:idx val="1"/>
          <c:order val="1"/>
          <c:tx>
            <c:strRef>
              <c:f>WEGE3!$M$23:$O$23</c:f>
              <c:strCache>
                <c:ptCount val="3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WEGE3!$P$21:$AP$21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WEGE3!$P$23:$AP$23</c:f>
              <c:numCache>
                <c:formatCode>_-* #,##0_-;\-* #,##0_-;_-* \-??_-;_-@_-</c:formatCode>
                <c:ptCount val="27"/>
                <c:pt idx="0">
                  <c:v>277794.59337319998</c:v>
                </c:pt>
                <c:pt idx="1">
                  <c:v>318763.31343621708</c:v>
                </c:pt>
                <c:pt idx="2">
                  <c:v>378984.47403451026</c:v>
                </c:pt>
                <c:pt idx="3">
                  <c:v>10547339.913585482</c:v>
                </c:pt>
                <c:pt idx="4">
                  <c:v>10623970.551258171</c:v>
                </c:pt>
                <c:pt idx="5">
                  <c:v>652157.10905585834</c:v>
                </c:pt>
                <c:pt idx="6">
                  <c:v>816345.57056056289</c:v>
                </c:pt>
                <c:pt idx="7">
                  <c:v>1023593.7530113967</c:v>
                </c:pt>
                <c:pt idx="8">
                  <c:v>1363579.7856938825</c:v>
                </c:pt>
                <c:pt idx="9">
                  <c:v>1604234.9580948292</c:v>
                </c:pt>
                <c:pt idx="10">
                  <c:v>1791774.1726407949</c:v>
                </c:pt>
                <c:pt idx="11">
                  <c:v>2092127.1965504335</c:v>
                </c:pt>
                <c:pt idx="12">
                  <c:v>2495887.6318927999</c:v>
                </c:pt>
                <c:pt idx="13">
                  <c:v>2716222.9287422919</c:v>
                </c:pt>
                <c:pt idx="14">
                  <c:v>3916078.3137444193</c:v>
                </c:pt>
                <c:pt idx="15">
                  <c:v>4443697.504069712</c:v>
                </c:pt>
                <c:pt idx="16">
                  <c:v>4854222.3051703684</c:v>
                </c:pt>
                <c:pt idx="17">
                  <c:v>5539392.9947471879</c:v>
                </c:pt>
                <c:pt idx="18">
                  <c:v>6227971.6165140625</c:v>
                </c:pt>
                <c:pt idx="19">
                  <c:v>7315758.6268763067</c:v>
                </c:pt>
                <c:pt idx="20">
                  <c:v>7226604.8013118999</c:v>
                </c:pt>
                <c:pt idx="21">
                  <c:v>7896552.91620168</c:v>
                </c:pt>
                <c:pt idx="22">
                  <c:v>8958693.3605633769</c:v>
                </c:pt>
                <c:pt idx="23">
                  <c:v>10013932.905265655</c:v>
                </c:pt>
                <c:pt idx="24">
                  <c:v>12756530.069801658</c:v>
                </c:pt>
                <c:pt idx="25">
                  <c:v>14829268.290649576</c:v>
                </c:pt>
                <c:pt idx="26">
                  <c:v>16021626.295822732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6-40DB-BF2F-50D80CCB66BD}"/>
            </c:ext>
          </c:extLst>
        </c:ser>
        <c:ser>
          <c:idx val="2"/>
          <c:order val="2"/>
          <c:tx>
            <c:strRef>
              <c:f>WEGE3!$M$24:$O$24</c:f>
              <c:strCache>
                <c:ptCount val="3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WEGE3!$P$21:$AP$21</c:f>
              <c:numCache>
                <c:formatCode>General</c:formatCode>
                <c:ptCount val="27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</c:numCache>
            </c:numRef>
          </c:cat>
          <c:val>
            <c:numRef>
              <c:f>WEGE3!$P$24:$AP$24</c:f>
              <c:numCache>
                <c:formatCode>_-* #,##0_-;\-* #,##0_-;_-* \-??_-;_-@_-</c:formatCode>
                <c:ptCount val="27"/>
                <c:pt idx="0">
                  <c:v>322159.81627000001</c:v>
                </c:pt>
                <c:pt idx="1">
                  <c:v>431676.37258999998</c:v>
                </c:pt>
                <c:pt idx="2">
                  <c:v>354163.16631</c:v>
                </c:pt>
                <c:pt idx="3">
                  <c:v>17428087.655999999</c:v>
                </c:pt>
                <c:pt idx="4">
                  <c:v>16748049.408</c:v>
                </c:pt>
                <c:pt idx="5">
                  <c:v>1182806.3655999999</c:v>
                </c:pt>
                <c:pt idx="6">
                  <c:v>1911505.3699</c:v>
                </c:pt>
                <c:pt idx="7">
                  <c:v>2974060.8</c:v>
                </c:pt>
                <c:pt idx="8">
                  <c:v>4409856.78</c:v>
                </c:pt>
                <c:pt idx="9">
                  <c:v>4693965.2</c:v>
                </c:pt>
                <c:pt idx="10">
                  <c:v>8764123.1146000009</c:v>
                </c:pt>
                <c:pt idx="11">
                  <c:v>15564193.57</c:v>
                </c:pt>
                <c:pt idx="12">
                  <c:v>7720334.1124999998</c:v>
                </c:pt>
                <c:pt idx="13">
                  <c:v>11424652.533</c:v>
                </c:pt>
                <c:pt idx="14">
                  <c:v>13535729.631999999</c:v>
                </c:pt>
                <c:pt idx="15">
                  <c:v>11641816.444</c:v>
                </c:pt>
                <c:pt idx="16">
                  <c:v>16737435.783</c:v>
                </c:pt>
                <c:pt idx="17">
                  <c:v>19332645.976</c:v>
                </c:pt>
                <c:pt idx="18">
                  <c:v>24682949.543000001</c:v>
                </c:pt>
                <c:pt idx="19">
                  <c:v>24112073.055</c:v>
                </c:pt>
                <c:pt idx="20">
                  <c:v>25006171.778000001</c:v>
                </c:pt>
                <c:pt idx="21">
                  <c:v>38890468.056000002</c:v>
                </c:pt>
                <c:pt idx="22">
                  <c:v>36784269.119000003</c:v>
                </c:pt>
                <c:pt idx="23">
                  <c:v>72700765.202000007</c:v>
                </c:pt>
                <c:pt idx="24">
                  <c:v>158882831.46000001</c:v>
                </c:pt>
                <c:pt idx="25">
                  <c:v>138384464.22</c:v>
                </c:pt>
                <c:pt idx="26">
                  <c:v>161588553.28999999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6-40DB-BF2F-50D80CCB6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7842035"/>
        <c:axId val="63554600"/>
      </c:lineChart>
      <c:catAx>
        <c:axId val="578420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63554600"/>
        <c:crosses val="autoZero"/>
        <c:auto val="1"/>
        <c:lblAlgn val="ctr"/>
        <c:lblOffset val="100"/>
        <c:noMultiLvlLbl val="0"/>
      </c:catAx>
      <c:valAx>
        <c:axId val="635546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_-* #,##0_-;\-* #,##0_-;_-* \-??_-;_-@_-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57842035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BPAC11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BPAC11!$M$22</c:f>
              <c:strCache>
                <c:ptCount val="1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BPAC11!$N$21:$AP$21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BPAC11!$N$22:$AP$22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0</c:v>
                </c:pt>
                <c:pt idx="11" formatCode="_-* #,##0_-;\-* #,##0_-;_-* \-??_-;_-@_-">
                  <c:v>0</c:v>
                </c:pt>
                <c:pt idx="12" formatCode="_-* #,##0_-;\-* #,##0_-;_-* \-??_-;_-@_-">
                  <c:v>1200481</c:v>
                </c:pt>
                <c:pt idx="13" formatCode="_-* #,##0_-;\-* #,##0_-;_-* \-??_-;_-@_-">
                  <c:v>3829206</c:v>
                </c:pt>
                <c:pt idx="14" formatCode="_-* #,##0_-;\-* #,##0_-;_-* \-??_-;_-@_-">
                  <c:v>3865215</c:v>
                </c:pt>
                <c:pt idx="15" formatCode="_-* #,##0_-;\-* #,##0_-;_-* \-??_-;_-@_-">
                  <c:v>3244500</c:v>
                </c:pt>
                <c:pt idx="16" formatCode="_-* #,##0_-;\-* #,##0_-;_-* \-??_-;_-@_-">
                  <c:v>5537682</c:v>
                </c:pt>
                <c:pt idx="17" formatCode="_-* #,##0_-;\-* #,##0_-;_-* \-??_-;_-@_-">
                  <c:v>6339762</c:v>
                </c:pt>
                <c:pt idx="18" formatCode="_-* #,##0_-;\-* #,##0_-;_-* \-??_-;_-@_-">
                  <c:v>10101467</c:v>
                </c:pt>
                <c:pt idx="19" formatCode="_-* #,##0_-;\-* #,##0_-;_-* \-??_-;_-@_-">
                  <c:v>12127824</c:v>
                </c:pt>
                <c:pt idx="20" formatCode="_-* #,##0_-;\-* #,##0_-;_-* \-??_-;_-@_-">
                  <c:v>14733327</c:v>
                </c:pt>
                <c:pt idx="21" formatCode="_-* #,##0_-;\-* #,##0_-;_-* \-??_-;_-@_-">
                  <c:v>19713264</c:v>
                </c:pt>
                <c:pt idx="22" formatCode="_-* #,##0_-;\-* #,##0_-;_-* \-??_-;_-@_-">
                  <c:v>17727219</c:v>
                </c:pt>
                <c:pt idx="23" formatCode="_-* #,##0_-;\-* #,##0_-;_-* \-??_-;_-@_-">
                  <c:v>18527813</c:v>
                </c:pt>
                <c:pt idx="24" formatCode="_-* #,##0_-;\-* #,##0_-;_-* \-??_-;_-@_-">
                  <c:v>18844934</c:v>
                </c:pt>
                <c:pt idx="25" formatCode="_-* #,##0_-;\-* #,##0_-;_-* \-??_-;_-@_-">
                  <c:v>21386635</c:v>
                </c:pt>
                <c:pt idx="26" formatCode="_-* #,##0_-;\-* #,##0_-;_-* \-??_-;_-@_-">
                  <c:v>26680655</c:v>
                </c:pt>
                <c:pt idx="27" formatCode="_-* #,##0_-;\-* #,##0_-;_-* \-??_-;_-@_-">
                  <c:v>37379747</c:v>
                </c:pt>
                <c:pt idx="28" formatCode="_-* #,##0_-;\-* #,##0_-;_-* \-??_-;_-@_-">
                  <c:v>42371767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11-42BF-8CA2-9616129CF86C}"/>
            </c:ext>
          </c:extLst>
        </c:ser>
        <c:ser>
          <c:idx val="1"/>
          <c:order val="1"/>
          <c:tx>
            <c:strRef>
              <c:f>BPAC11!$M$23</c:f>
              <c:strCache>
                <c:ptCount val="1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BPAC11!$N$21:$AP$21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BPAC11!$N$23:$AP$23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0</c:v>
                </c:pt>
                <c:pt idx="11" formatCode="_-* #,##0_-;\-* #,##0_-;_-* \-??_-;_-@_-">
                  <c:v>0</c:v>
                </c:pt>
                <c:pt idx="12" formatCode="_-* #,##0_-;\-* #,##0_-;_-* \-??_-;_-@_-">
                  <c:v>1200481</c:v>
                </c:pt>
                <c:pt idx="13" formatCode="_-* #,##0_-;\-* #,##0_-;_-* \-??_-;_-@_-">
                  <c:v>3830280.7039000001</c:v>
                </c:pt>
                <c:pt idx="14" formatCode="_-* #,##0_-;\-* #,##0_-;_-* \-??_-;_-@_-">
                  <c:v>3868283.0438618697</c:v>
                </c:pt>
                <c:pt idx="15" formatCode="_-* #,##0_-;\-* #,##0_-;_-* \-??_-;_-@_-">
                  <c:v>3249096.6657536654</c:v>
                </c:pt>
                <c:pt idx="16" formatCode="_-* #,##0_-;\-* #,##0_-;_-* \-??_-;_-@_-">
                  <c:v>5543571.6806600615</c:v>
                </c:pt>
                <c:pt idx="17" formatCode="_-* #,##0_-;\-* #,##0_-;_-* \-??_-;_-@_-">
                  <c:v>6348108.401025828</c:v>
                </c:pt>
                <c:pt idx="18" formatCode="_-* #,##0_-;\-* #,##0_-;_-* \-??_-;_-@_-">
                  <c:v>10111577.973687338</c:v>
                </c:pt>
                <c:pt idx="19" formatCode="_-* #,##0_-;\-* #,##0_-;_-* \-??_-;_-@_-">
                  <c:v>12145030.563510522</c:v>
                </c:pt>
                <c:pt idx="20" formatCode="_-* #,##0_-;\-* #,##0_-;_-* \-??_-;_-@_-">
                  <c:v>14758935.14543795</c:v>
                </c:pt>
                <c:pt idx="21" formatCode="_-* #,##0_-;\-* #,##0_-;_-* \-??_-;_-@_-">
                  <c:v>19732455.609841712</c:v>
                </c:pt>
                <c:pt idx="22" formatCode="_-* #,##0_-;\-* #,##0_-;_-* \-??_-;_-@_-">
                  <c:v>17702353.515366532</c:v>
                </c:pt>
                <c:pt idx="23" formatCode="_-* #,##0_-;\-* #,##0_-;_-* \-??_-;_-@_-">
                  <c:v>18581955.162779946</c:v>
                </c:pt>
                <c:pt idx="24" formatCode="_-* #,##0_-;\-* #,##0_-;_-* \-??_-;_-@_-">
                  <c:v>18904281.295027919</c:v>
                </c:pt>
                <c:pt idx="25" formatCode="_-* #,##0_-;\-* #,##0_-;_-* \-??_-;_-@_-">
                  <c:v>21452473.989350431</c:v>
                </c:pt>
                <c:pt idx="26" formatCode="_-* #,##0_-;\-* #,##0_-;_-* \-??_-;_-@_-">
                  <c:v>26683421.205435213</c:v>
                </c:pt>
                <c:pt idx="27" formatCode="_-* #,##0_-;\-* #,##0_-;_-* \-??_-;_-@_-">
                  <c:v>37241134.295726188</c:v>
                </c:pt>
                <c:pt idx="28" formatCode="_-* #,##0_-;\-* #,##0_-;_-* \-??_-;_-@_-">
                  <c:v>42515939.198782817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11-42BF-8CA2-9616129CF86C}"/>
            </c:ext>
          </c:extLst>
        </c:ser>
        <c:ser>
          <c:idx val="2"/>
          <c:order val="2"/>
          <c:tx>
            <c:strRef>
              <c:f>BPAC11!$M$24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BPAC11!$N$21:$AP$21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BPAC11!$N$24:$AP$24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17428087.655999999</c:v>
                </c:pt>
                <c:pt idx="6" formatCode="_-* #,##0_-;\-* #,##0_-;_-* \-??_-;_-@_-">
                  <c:v>16748049.408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0</c:v>
                </c:pt>
                <c:pt idx="11" formatCode="_-* #,##0_-;\-* #,##0_-;_-* \-??_-;_-@_-">
                  <c:v>0</c:v>
                </c:pt>
                <c:pt idx="12" formatCode="_-* #,##0_-;\-* #,##0_-;_-* \-??_-;_-@_-">
                  <c:v>0</c:v>
                </c:pt>
                <c:pt idx="13" formatCode="_-* #,##0_-;\-* #,##0_-;_-* \-??_-;_-@_-">
                  <c:v>0</c:v>
                </c:pt>
                <c:pt idx="14" formatCode="_-* #,##0_-;\-* #,##0_-;_-* \-??_-;_-@_-">
                  <c:v>0</c:v>
                </c:pt>
                <c:pt idx="15" formatCode="_-* #,##0_-;\-* #,##0_-;_-* \-??_-;_-@_-">
                  <c:v>0</c:v>
                </c:pt>
                <c:pt idx="16" formatCode="_-* #,##0_-;\-* #,##0_-;_-* \-??_-;_-@_-">
                  <c:v>0</c:v>
                </c:pt>
                <c:pt idx="17" formatCode="_-* #,##0_-;\-* #,##0_-;_-* \-??_-;_-@_-">
                  <c:v>0</c:v>
                </c:pt>
                <c:pt idx="18" formatCode="_-* #,##0_-;\-* #,##0_-;_-* \-??_-;_-@_-">
                  <c:v>0</c:v>
                </c:pt>
                <c:pt idx="19" formatCode="_-* #,##0_-;\-* #,##0_-;_-* \-??_-;_-@_-">
                  <c:v>0</c:v>
                </c:pt>
                <c:pt idx="20" formatCode="_-* #,##0_-;\-* #,##0_-;_-* \-??_-;_-@_-">
                  <c:v>0</c:v>
                </c:pt>
                <c:pt idx="21" formatCode="_-* #,##0_-;\-* #,##0_-;_-* \-??_-;_-@_-">
                  <c:v>0</c:v>
                </c:pt>
                <c:pt idx="22" formatCode="_-* #,##0_-;\-* #,##0_-;_-* \-??_-;_-@_-">
                  <c:v>0</c:v>
                </c:pt>
                <c:pt idx="23" formatCode="_-* #,##0_-;\-* #,##0_-;_-* \-??_-;_-@_-">
                  <c:v>19916268.627999999</c:v>
                </c:pt>
                <c:pt idx="24" formatCode="_-* #,##0_-;\-* #,##0_-;_-* \-??_-;_-@_-">
                  <c:v>21130685.302000001</c:v>
                </c:pt>
                <c:pt idx="25" formatCode="_-* #,##0_-;\-* #,##0_-;_-* \-??_-;_-@_-">
                  <c:v>90296461.743000001</c:v>
                </c:pt>
                <c:pt idx="26" formatCode="_-* #,##0_-;\-* #,##0_-;_-* \-??_-;_-@_-">
                  <c:v>105092856.16</c:v>
                </c:pt>
                <c:pt idx="27" formatCode="_-* #,##0_-;\-* #,##0_-;_-* \-??_-;_-@_-">
                  <c:v>117620172.55</c:v>
                </c:pt>
                <c:pt idx="28" formatCode="_-* #,##0_-;\-* #,##0_-;_-* \-??_-;_-@_-">
                  <c:v>120658235.91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11-42BF-8CA2-9616129CF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9132605"/>
        <c:axId val="63231513"/>
      </c:lineChart>
      <c:catAx>
        <c:axId val="191326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63231513"/>
        <c:crosses val="autoZero"/>
        <c:auto val="1"/>
        <c:lblAlgn val="ctr"/>
        <c:lblOffset val="100"/>
        <c:noMultiLvlLbl val="0"/>
      </c:catAx>
      <c:valAx>
        <c:axId val="632315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19132605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EQTL3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EQTL3!$M$22</c:f>
              <c:strCache>
                <c:ptCount val="1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EQTL3!$N$21:$AP$21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EQTL3!$N$22:$AP$22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112920</c:v>
                </c:pt>
                <c:pt idx="10" formatCode="_-* #,##0_-;\-* #,##0_-;_-* \-??_-;_-@_-">
                  <c:v>335442</c:v>
                </c:pt>
                <c:pt idx="11" formatCode="_-* #,##0_-;\-* #,##0_-;_-* \-??_-;_-@_-">
                  <c:v>525036</c:v>
                </c:pt>
                <c:pt idx="12" formatCode="_-* #,##0_-;\-* #,##0_-;_-* \-??_-;_-@_-">
                  <c:v>724537</c:v>
                </c:pt>
                <c:pt idx="13" formatCode="_-* #,##0_-;\-* #,##0_-;_-* \-??_-;_-@_-">
                  <c:v>726816</c:v>
                </c:pt>
                <c:pt idx="14" formatCode="_-* #,##0_-;\-* #,##0_-;_-* \-??_-;_-@_-">
                  <c:v>1101126</c:v>
                </c:pt>
                <c:pt idx="15" formatCode="_-* #,##0_-;\-* #,##0_-;_-* \-??_-;_-@_-">
                  <c:v>1181541</c:v>
                </c:pt>
                <c:pt idx="16" formatCode="_-* #,##0_-;\-* #,##0_-;_-* \-??_-;_-@_-">
                  <c:v>1270917</c:v>
                </c:pt>
                <c:pt idx="17" formatCode="_-* #,##0_-;\-* #,##0_-;_-* \-??_-;_-@_-">
                  <c:v>1258543</c:v>
                </c:pt>
                <c:pt idx="18" formatCode="_-* #,##0_-;\-* #,##0_-;_-* \-??_-;_-@_-">
                  <c:v>2527525</c:v>
                </c:pt>
                <c:pt idx="19" formatCode="_-* #,##0_-;\-* #,##0_-;_-* \-??_-;_-@_-">
                  <c:v>2354173</c:v>
                </c:pt>
                <c:pt idx="20" formatCode="_-* #,##0_-;\-* #,##0_-;_-* \-??_-;_-@_-">
                  <c:v>2836367</c:v>
                </c:pt>
                <c:pt idx="21" formatCode="_-* #,##0_-;\-* #,##0_-;_-* \-??_-;_-@_-">
                  <c:v>3479252</c:v>
                </c:pt>
                <c:pt idx="22" formatCode="_-* #,##0_-;\-* #,##0_-;_-* \-??_-;_-@_-">
                  <c:v>4023998</c:v>
                </c:pt>
                <c:pt idx="23" formatCode="_-* #,##0_-;\-* #,##0_-;_-* \-??_-;_-@_-">
                  <c:v>4786085</c:v>
                </c:pt>
                <c:pt idx="24" formatCode="_-* #,##0_-;\-* #,##0_-;_-* \-??_-;_-@_-">
                  <c:v>5596032</c:v>
                </c:pt>
                <c:pt idx="25" formatCode="_-* #,##0_-;\-* #,##0_-;_-* \-??_-;_-@_-">
                  <c:v>8110877</c:v>
                </c:pt>
                <c:pt idx="26" formatCode="_-* #,##0_-;\-* #,##0_-;_-* \-??_-;_-@_-">
                  <c:v>10462390</c:v>
                </c:pt>
                <c:pt idx="27" formatCode="_-* #,##0_-;\-* #,##0_-;_-* \-??_-;_-@_-">
                  <c:v>12756361</c:v>
                </c:pt>
                <c:pt idx="28" formatCode="_-* #,##0_-;\-* #,##0_-;_-* \-??_-;_-@_-">
                  <c:v>16614353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7-4B2B-95A9-D13059165757}"/>
            </c:ext>
          </c:extLst>
        </c:ser>
        <c:ser>
          <c:idx val="1"/>
          <c:order val="1"/>
          <c:tx>
            <c:strRef>
              <c:f>EQTL3!$M$23</c:f>
              <c:strCache>
                <c:ptCount val="1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EQTL3!$N$21:$AP$21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EQTL3!$N$23:$AP$23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138431.481</c:v>
                </c:pt>
                <c:pt idx="10" formatCode="_-* #,##0_-;\-* #,##0_-;_-* \-??_-;_-@_-">
                  <c:v>403179.55593399558</c:v>
                </c:pt>
                <c:pt idx="11" formatCode="_-* #,##0_-;\-* #,##0_-;_-* \-??_-;_-@_-">
                  <c:v>628293.89977966191</c:v>
                </c:pt>
                <c:pt idx="12" formatCode="_-* #,##0_-;\-* #,##0_-;_-* \-??_-;_-@_-">
                  <c:v>845310.06775316305</c:v>
                </c:pt>
                <c:pt idx="13" formatCode="_-* #,##0_-;\-* #,##0_-;_-* \-??_-;_-@_-">
                  <c:v>885757.28954754223</c:v>
                </c:pt>
                <c:pt idx="14" formatCode="_-* #,##0_-;\-* #,##0_-;_-* \-??_-;_-@_-">
                  <c:v>1355929.0692014794</c:v>
                </c:pt>
                <c:pt idx="15" formatCode="_-* #,##0_-;\-* #,##0_-;_-* \-??_-;_-@_-">
                  <c:v>1538682.3116785572</c:v>
                </c:pt>
                <c:pt idx="16" formatCode="_-* #,##0_-;\-* #,##0_-;_-* \-??_-;_-@_-">
                  <c:v>1768703.8656365895</c:v>
                </c:pt>
                <c:pt idx="17" formatCode="_-* #,##0_-;\-* #,##0_-;_-* \-??_-;_-@_-">
                  <c:v>1904797.328051812</c:v>
                </c:pt>
                <c:pt idx="18" formatCode="_-* #,##0_-;\-* #,##0_-;_-* \-??_-;_-@_-">
                  <c:v>3279042.4742891458</c:v>
                </c:pt>
                <c:pt idx="19" formatCode="_-* #,##0_-;\-* #,##0_-;_-* \-??_-;_-@_-">
                  <c:v>3385840.1243406907</c:v>
                </c:pt>
                <c:pt idx="20" formatCode="_-* #,##0_-;\-* #,##0_-;_-* \-??_-;_-@_-">
                  <c:v>3934316.6209222693</c:v>
                </c:pt>
                <c:pt idx="21" formatCode="_-* #,##0_-;\-* #,##0_-;_-* \-??_-;_-@_-">
                  <c:v>4709907.4066161709</c:v>
                </c:pt>
                <c:pt idx="22" formatCode="_-* #,##0_-;\-* #,##0_-;_-* \-??_-;_-@_-">
                  <c:v>5314896.8557240749</c:v>
                </c:pt>
                <c:pt idx="23" formatCode="_-* #,##0_-;\-* #,##0_-;_-* \-??_-;_-@_-">
                  <c:v>6047196.8805161584</c:v>
                </c:pt>
                <c:pt idx="24" formatCode="_-* #,##0_-;\-* #,##0_-;_-* \-??_-;_-@_-">
                  <c:v>7038624.048509853</c:v>
                </c:pt>
                <c:pt idx="25" formatCode="_-* #,##0_-;\-* #,##0_-;_-* \-??_-;_-@_-">
                  <c:v>9623475.5998716969</c:v>
                </c:pt>
                <c:pt idx="26" formatCode="_-* #,##0_-;\-* #,##0_-;_-* \-??_-;_-@_-">
                  <c:v>11968564.744087417</c:v>
                </c:pt>
                <c:pt idx="27" formatCode="_-* #,##0_-;\-* #,##0_-;_-* \-??_-;_-@_-">
                  <c:v>14755502.810363078</c:v>
                </c:pt>
                <c:pt idx="28" formatCode="_-* #,##0_-;\-* #,##0_-;_-* \-??_-;_-@_-">
                  <c:v>19181740.627393026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37-4B2B-95A9-D13059165757}"/>
            </c:ext>
          </c:extLst>
        </c:ser>
        <c:ser>
          <c:idx val="2"/>
          <c:order val="2"/>
          <c:tx>
            <c:strRef>
              <c:f>EQTL3!$M$24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EQTL3!$N$21:$AP$21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EQTL3!$N$24:$AP$24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17428087.655999999</c:v>
                </c:pt>
                <c:pt idx="6" formatCode="_-* #,##0_-;\-* #,##0_-;_-* \-??_-;_-@_-">
                  <c:v>16748049.408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0</c:v>
                </c:pt>
                <c:pt idx="11" formatCode="_-* #,##0_-;\-* #,##0_-;_-* \-??_-;_-@_-">
                  <c:v>0</c:v>
                </c:pt>
                <c:pt idx="12" formatCode="_-* #,##0_-;\-* #,##0_-;_-* \-??_-;_-@_-">
                  <c:v>1235774.5833000001</c:v>
                </c:pt>
                <c:pt idx="13" formatCode="_-* #,##0_-;\-* #,##0_-;_-* \-??_-;_-@_-">
                  <c:v>1238810.5053999999</c:v>
                </c:pt>
                <c:pt idx="14" formatCode="_-* #,##0_-;\-* #,##0_-;_-* \-??_-;_-@_-">
                  <c:v>1058492.76</c:v>
                </c:pt>
                <c:pt idx="15" formatCode="_-* #,##0_-;\-* #,##0_-;_-* \-??_-;_-@_-">
                  <c:v>1954456.1</c:v>
                </c:pt>
                <c:pt idx="16" formatCode="_-* #,##0_-;\-* #,##0_-;_-* \-??_-;_-@_-">
                  <c:v>1240620.105</c:v>
                </c:pt>
                <c:pt idx="17" formatCode="_-* #,##0_-;\-* #,##0_-;_-* \-??_-;_-@_-">
                  <c:v>1383901.9342</c:v>
                </c:pt>
                <c:pt idx="18" formatCode="_-* #,##0_-;\-* #,##0_-;_-* \-??_-;_-@_-">
                  <c:v>3469618.2845000001</c:v>
                </c:pt>
                <c:pt idx="19" formatCode="_-* #,##0_-;\-* #,##0_-;_-* \-??_-;_-@_-">
                  <c:v>4594056.1988000004</c:v>
                </c:pt>
                <c:pt idx="20" formatCode="_-* #,##0_-;\-* #,##0_-;_-* \-??_-;_-@_-">
                  <c:v>5496991.6503999997</c:v>
                </c:pt>
                <c:pt idx="21" formatCode="_-* #,##0_-;\-* #,##0_-;_-* \-??_-;_-@_-">
                  <c:v>6799630.9325000001</c:v>
                </c:pt>
                <c:pt idx="22" formatCode="_-* #,##0_-;\-* #,##0_-;_-* \-??_-;_-@_-">
                  <c:v>10807972.604</c:v>
                </c:pt>
                <c:pt idx="23" formatCode="_-* #,##0_-;\-* #,##0_-;_-* \-??_-;_-@_-">
                  <c:v>13047508.607999999</c:v>
                </c:pt>
                <c:pt idx="24" formatCode="_-* #,##0_-;\-* #,##0_-;_-* \-??_-;_-@_-">
                  <c:v>14820270.098999999</c:v>
                </c:pt>
                <c:pt idx="25" formatCode="_-* #,##0_-;\-* #,##0_-;_-* \-??_-;_-@_-">
                  <c:v>23022140.877</c:v>
                </c:pt>
                <c:pt idx="26" formatCode="_-* #,##0_-;\-* #,##0_-;_-* \-??_-;_-@_-">
                  <c:v>23371707.528999999</c:v>
                </c:pt>
                <c:pt idx="27" formatCode="_-* #,##0_-;\-* #,##0_-;_-* \-??_-;_-@_-">
                  <c:v>22195547.056000002</c:v>
                </c:pt>
                <c:pt idx="28" formatCode="_-* #,##0_-;\-* #,##0_-;_-* \-??_-;_-@_-">
                  <c:v>29723742.385000002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37-4B2B-95A9-D13059165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9480939"/>
        <c:axId val="23618513"/>
      </c:lineChart>
      <c:catAx>
        <c:axId val="794809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23618513"/>
        <c:crosses val="autoZero"/>
        <c:auto val="1"/>
        <c:lblAlgn val="ctr"/>
        <c:lblOffset val="100"/>
        <c:noMultiLvlLbl val="0"/>
      </c:catAx>
      <c:valAx>
        <c:axId val="236185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79480939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SUZB3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SUZB3!$M$22</c:f>
              <c:strCache>
                <c:ptCount val="1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SUZB3!$N$21:$AP$21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SUZB3!$N$22:$AP$22</c:f>
              <c:numCache>
                <c:formatCode>General</c:formatCode>
                <c:ptCount val="29"/>
                <c:pt idx="2" formatCode="_-* #,##0_-;\-* #,##0_-;_-* \-??_-;_-@_-">
                  <c:v>1442587</c:v>
                </c:pt>
                <c:pt idx="3" formatCode="_-* #,##0_-;\-* #,##0_-;_-* \-??_-;_-@_-">
                  <c:v>1415596</c:v>
                </c:pt>
                <c:pt idx="4" formatCode="_-* #,##0_-;\-* #,##0_-;_-* \-??_-;_-@_-">
                  <c:v>1365778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1283342</c:v>
                </c:pt>
                <c:pt idx="8" formatCode="_-* #,##0_-;\-* #,##0_-;_-* \-??_-;_-@_-">
                  <c:v>1754959</c:v>
                </c:pt>
                <c:pt idx="9" formatCode="_-* #,##0_-;\-* #,##0_-;_-* \-??_-;_-@_-">
                  <c:v>2318893</c:v>
                </c:pt>
                <c:pt idx="10" formatCode="_-* #,##0_-;\-* #,##0_-;_-* \-??_-;_-@_-">
                  <c:v>2746261</c:v>
                </c:pt>
                <c:pt idx="11" formatCode="_-* #,##0_-;\-* #,##0_-;_-* \-??_-;_-@_-">
                  <c:v>3109497</c:v>
                </c:pt>
                <c:pt idx="12" formatCode="_-* #,##0_-;\-* #,##0_-;_-* \-??_-;_-@_-">
                  <c:v>4013486</c:v>
                </c:pt>
                <c:pt idx="13" formatCode="_-* #,##0_-;\-* #,##0_-;_-* \-??_-;_-@_-">
                  <c:v>4391656</c:v>
                </c:pt>
                <c:pt idx="14" formatCode="_-* #,##0_-;\-* #,##0_-;_-* \-??_-;_-@_-">
                  <c:v>3736659</c:v>
                </c:pt>
                <c:pt idx="15" formatCode="_-* #,##0_-;\-* #,##0_-;_-* \-??_-;_-@_-">
                  <c:v>4383780</c:v>
                </c:pt>
                <c:pt idx="16" formatCode="_-* #,##0_-;\-* #,##0_-;_-* \-??_-;_-@_-">
                  <c:v>8640671</c:v>
                </c:pt>
                <c:pt idx="17" formatCode="_-* #,##0_-;\-* #,##0_-;_-* \-??_-;_-@_-">
                  <c:v>9673549</c:v>
                </c:pt>
                <c:pt idx="18" formatCode="_-* #,##0_-;\-* #,##0_-;_-* \-??_-;_-@_-">
                  <c:v>11002078</c:v>
                </c:pt>
                <c:pt idx="19" formatCode="_-* #,##0_-;\-* #,##0_-;_-* \-??_-;_-@_-">
                  <c:v>10687239</c:v>
                </c:pt>
                <c:pt idx="20" formatCode="_-* #,##0_-;\-* #,##0_-;_-* \-??_-;_-@_-">
                  <c:v>10315132</c:v>
                </c:pt>
                <c:pt idx="21" formatCode="_-* #,##0_-;\-* #,##0_-;_-* \-??_-;_-@_-">
                  <c:v>9192081</c:v>
                </c:pt>
                <c:pt idx="22" formatCode="_-* #,##0_-;\-* #,##0_-;_-* \-??_-;_-@_-">
                  <c:v>10143494</c:v>
                </c:pt>
                <c:pt idx="23" formatCode="_-* #,##0_-;\-* #,##0_-;_-* \-??_-;_-@_-">
                  <c:v>11621554</c:v>
                </c:pt>
                <c:pt idx="24" formatCode="_-* #,##0_-;\-* #,##0_-;_-* \-??_-;_-@_-">
                  <c:v>12012007</c:v>
                </c:pt>
                <c:pt idx="25" formatCode="_-* #,##0_-;\-* #,##0_-;_-* \-??_-;_-@_-">
                  <c:v>17972630</c:v>
                </c:pt>
                <c:pt idx="26" formatCode="_-* #,##0_-;\-* #,##0_-;_-* \-??_-;_-@_-">
                  <c:v>7231822</c:v>
                </c:pt>
                <c:pt idx="27" formatCode="_-* #,##0_-;\-* #,##0_-;_-* \-??_-;_-@_-">
                  <c:v>15075467</c:v>
                </c:pt>
                <c:pt idx="28" formatCode="_-* #,##0_-;\-* #,##0_-;_-* \-??_-;_-@_-">
                  <c:v>33061032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54-4617-A376-87B5E89356B7}"/>
            </c:ext>
          </c:extLst>
        </c:ser>
        <c:ser>
          <c:idx val="1"/>
          <c:order val="1"/>
          <c:tx>
            <c:strRef>
              <c:f>SUZB3!$M$23</c:f>
              <c:strCache>
                <c:ptCount val="1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SUZB3!$N$21:$AP$21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SUZB3!$N$23:$AP$23</c:f>
              <c:numCache>
                <c:formatCode>General</c:formatCode>
                <c:ptCount val="29"/>
                <c:pt idx="2" formatCode="_-* #,##0_-;\-* #,##0_-;_-* \-??_-;_-@_-">
                  <c:v>1722813.6396000001</c:v>
                </c:pt>
                <c:pt idx="3" formatCode="_-* #,##0_-;\-* #,##0_-;_-* \-??_-;_-@_-">
                  <c:v>1859019.7474582396</c:v>
                </c:pt>
                <c:pt idx="4" formatCode="_-* #,##0_-;\-* #,##0_-;_-* \-??_-;_-@_-">
                  <c:v>1839302.6079985029</c:v>
                </c:pt>
                <c:pt idx="5" formatCode="_-* #,##0_-;\-* #,##0_-;_-* \-??_-;_-@_-">
                  <c:v>11233738.524676148</c:v>
                </c:pt>
                <c:pt idx="6" formatCode="_-* #,##0_-;\-* #,##0_-;_-* \-??_-;_-@_-">
                  <c:v>11460064.570140552</c:v>
                </c:pt>
                <c:pt idx="7" formatCode="_-* #,##0_-;\-* #,##0_-;_-* \-??_-;_-@_-">
                  <c:v>2430190.0517533487</c:v>
                </c:pt>
                <c:pt idx="8" formatCode="_-* #,##0_-;\-* #,##0_-;_-* \-??_-;_-@_-">
                  <c:v>3444424.8426719499</c:v>
                </c:pt>
                <c:pt idx="9" formatCode="_-* #,##0_-;\-* #,##0_-;_-* \-??_-;_-@_-">
                  <c:v>4480007.360297286</c:v>
                </c:pt>
                <c:pt idx="10" formatCode="_-* #,##0_-;\-* #,##0_-;_-* \-??_-;_-@_-">
                  <c:v>5340286.6457115449</c:v>
                </c:pt>
                <c:pt idx="11" formatCode="_-* #,##0_-;\-* #,##0_-;_-* \-??_-;_-@_-">
                  <c:v>6043120.1474438794</c:v>
                </c:pt>
                <c:pt idx="12" formatCode="_-* #,##0_-;\-* #,##0_-;_-* \-??_-;_-@_-">
                  <c:v>7062007.1417626683</c:v>
                </c:pt>
                <c:pt idx="13" formatCode="_-* #,##0_-;\-* #,##0_-;_-* \-??_-;_-@_-">
                  <c:v>7792108.2921501528</c:v>
                </c:pt>
                <c:pt idx="14" formatCode="_-* #,##0_-;\-* #,##0_-;_-* \-??_-;_-@_-">
                  <c:v>7707378.4974721801</c:v>
                </c:pt>
                <c:pt idx="15" formatCode="_-* #,##0_-;\-* #,##0_-;_-* \-??_-;_-@_-">
                  <c:v>8721445.1259926353</c:v>
                </c:pt>
                <c:pt idx="16" formatCode="_-* #,##0_-;\-* #,##0_-;_-* \-??_-;_-@_-">
                  <c:v>13717749.403227545</c:v>
                </c:pt>
                <c:pt idx="17" formatCode="_-* #,##0_-;\-* #,##0_-;_-* \-??_-;_-@_-">
                  <c:v>15838899.744498167</c:v>
                </c:pt>
                <c:pt idx="18" formatCode="_-* #,##0_-;\-* #,##0_-;_-* \-??_-;_-@_-">
                  <c:v>18145115.441633232</c:v>
                </c:pt>
                <c:pt idx="19" formatCode="_-* #,##0_-;\-* #,##0_-;_-* \-??_-;_-@_-">
                  <c:v>19106153.225280039</c:v>
                </c:pt>
                <c:pt idx="20" formatCode="_-* #,##0_-;\-* #,##0_-;_-* \-??_-;_-@_-">
                  <c:v>20175936.561518002</c:v>
                </c:pt>
                <c:pt idx="21" formatCode="_-* #,##0_-;\-* #,##0_-;_-* \-??_-;_-@_-">
                  <c:v>20396662.6649382</c:v>
                </c:pt>
                <c:pt idx="22" formatCode="_-* #,##0_-;\-* #,##0_-;_-* \-??_-;_-@_-">
                  <c:v>21866225.979936246</c:v>
                </c:pt>
                <c:pt idx="23" formatCode="_-* #,##0_-;\-* #,##0_-;_-* \-??_-;_-@_-">
                  <c:v>23120615.335337721</c:v>
                </c:pt>
                <c:pt idx="24" formatCode="_-* #,##0_-;\-* #,##0_-;_-* \-??_-;_-@_-">
                  <c:v>24033391.773411088</c:v>
                </c:pt>
                <c:pt idx="25" formatCode="_-* #,##0_-;\-* #,##0_-;_-* \-??_-;_-@_-">
                  <c:v>31665203.137165934</c:v>
                </c:pt>
                <c:pt idx="26" formatCode="_-* #,##0_-;\-* #,##0_-;_-* \-??_-;_-@_-">
                  <c:v>20906756.431681808</c:v>
                </c:pt>
                <c:pt idx="27" formatCode="_-* #,##0_-;\-* #,##0_-;_-* \-??_-;_-@_-">
                  <c:v>30236183.920717344</c:v>
                </c:pt>
                <c:pt idx="28" formatCode="_-* #,##0_-;\-* #,##0_-;_-* \-??_-;_-@_-">
                  <c:v>48725547.077932604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54-4617-A376-87B5E89356B7}"/>
            </c:ext>
          </c:extLst>
        </c:ser>
        <c:ser>
          <c:idx val="2"/>
          <c:order val="2"/>
          <c:tx>
            <c:strRef>
              <c:f>SUZB3!$M$24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SUZB3!$N$21:$AP$21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SUZB3!$N$24:$AP$24</c:f>
              <c:numCache>
                <c:formatCode>General</c:formatCode>
                <c:ptCount val="29"/>
                <c:pt idx="2" formatCode="_-* #,##0_-;\-* #,##0_-;_-* \-??_-;_-@_-">
                  <c:v>603760.51066000003</c:v>
                </c:pt>
                <c:pt idx="3" formatCode="_-* #,##0_-;\-* #,##0_-;_-* \-??_-;_-@_-">
                  <c:v>451162</c:v>
                </c:pt>
                <c:pt idx="4" formatCode="_-* #,##0_-;\-* #,##0_-;_-* \-??_-;_-@_-">
                  <c:v>122668.91164999999</c:v>
                </c:pt>
                <c:pt idx="5" formatCode="_-* #,##0_-;\-* #,##0_-;_-* \-??_-;_-@_-">
                  <c:v>17428087.655999999</c:v>
                </c:pt>
                <c:pt idx="6" formatCode="_-* #,##0_-;\-* #,##0_-;_-* \-??_-;_-@_-">
                  <c:v>16748049.408</c:v>
                </c:pt>
                <c:pt idx="7" formatCode="_-* #,##0_-;\-* #,##0_-;_-* \-??_-;_-@_-">
                  <c:v>1238686.3788999999</c:v>
                </c:pt>
                <c:pt idx="8" formatCode="_-* #,##0_-;\-* #,##0_-;_-* \-??_-;_-@_-">
                  <c:v>1344288.3507000001</c:v>
                </c:pt>
                <c:pt idx="9" formatCode="_-* #,##0_-;\-* #,##0_-;_-* \-??_-;_-@_-">
                  <c:v>3470918.04</c:v>
                </c:pt>
                <c:pt idx="10" formatCode="_-* #,##0_-;\-* #,##0_-;_-* \-??_-;_-@_-">
                  <c:v>3893128.3064000001</c:v>
                </c:pt>
                <c:pt idx="11" formatCode="_-* #,##0_-;\-* #,##0_-;_-* \-??_-;_-@_-">
                  <c:v>3343715.76</c:v>
                </c:pt>
                <c:pt idx="12" formatCode="_-* #,##0_-;\-* #,##0_-;_-* \-??_-;_-@_-">
                  <c:v>6638186.4000000004</c:v>
                </c:pt>
                <c:pt idx="13" formatCode="_-* #,##0_-;\-* #,##0_-;_-* \-??_-;_-@_-">
                  <c:v>9080596</c:v>
                </c:pt>
                <c:pt idx="14" formatCode="_-* #,##0_-;\-* #,##0_-;_-* \-??_-;_-@_-">
                  <c:v>3705778.44</c:v>
                </c:pt>
                <c:pt idx="15" formatCode="_-* #,##0_-;\-* #,##0_-;_-* \-??_-;_-@_-">
                  <c:v>6277187.7196000004</c:v>
                </c:pt>
                <c:pt idx="16" formatCode="_-* #,##0_-;\-* #,##0_-;_-* \-??_-;_-@_-">
                  <c:v>5881715.7800000003</c:v>
                </c:pt>
                <c:pt idx="17" formatCode="_-* #,##0_-;\-* #,##0_-;_-* \-??_-;_-@_-">
                  <c:v>2682189.7400000002</c:v>
                </c:pt>
                <c:pt idx="18" formatCode="_-* #,##0_-;\-* #,##0_-;_-* \-??_-;_-@_-">
                  <c:v>7652031.6600000001</c:v>
                </c:pt>
                <c:pt idx="19" formatCode="_-* #,##0_-;\-* #,##0_-;_-* \-??_-;_-@_-">
                  <c:v>10023533.52</c:v>
                </c:pt>
                <c:pt idx="20" formatCode="_-* #,##0_-;\-* #,##0_-;_-* \-??_-;_-@_-">
                  <c:v>12224227.5</c:v>
                </c:pt>
                <c:pt idx="21" formatCode="_-* #,##0_-;\-* #,##0_-;_-* \-??_-;_-@_-">
                  <c:v>20340586.355999999</c:v>
                </c:pt>
                <c:pt idx="22" formatCode="_-* #,##0_-;\-* #,##0_-;_-* \-??_-;_-@_-">
                  <c:v>15480754.800000001</c:v>
                </c:pt>
                <c:pt idx="23" formatCode="_-* #,##0_-;\-* #,##0_-;_-* \-??_-;_-@_-">
                  <c:v>20409180.960000001</c:v>
                </c:pt>
                <c:pt idx="24" formatCode="_-* #,##0_-;\-* #,##0_-;_-* \-??_-;_-@_-">
                  <c:v>41651294.719999999</c:v>
                </c:pt>
                <c:pt idx="25" formatCode="_-* #,##0_-;\-* #,##0_-;_-* \-??_-;_-@_-">
                  <c:v>53537112.294</c:v>
                </c:pt>
                <c:pt idx="26" formatCode="_-* #,##0_-;\-* #,##0_-;_-* \-??_-;_-@_-">
                  <c:v>78983431.292999998</c:v>
                </c:pt>
                <c:pt idx="27" formatCode="_-* #,##0_-;\-* #,##0_-;_-* \-??_-;_-@_-">
                  <c:v>81101709.173999995</c:v>
                </c:pt>
                <c:pt idx="28" formatCode="_-* #,##0_-;\-* #,##0_-;_-* \-??_-;_-@_-">
                  <c:v>63163141.204000004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54-4617-A376-87B5E8935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1408915"/>
        <c:axId val="80676269"/>
      </c:lineChart>
      <c:catAx>
        <c:axId val="614089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80676269"/>
        <c:crosses val="autoZero"/>
        <c:auto val="1"/>
        <c:lblAlgn val="ctr"/>
        <c:lblOffset val="100"/>
        <c:noMultiLvlLbl val="0"/>
      </c:catAx>
      <c:valAx>
        <c:axId val="8067626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61408915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PRIO3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PRIO3!$M$22</c:f>
              <c:strCache>
                <c:ptCount val="1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PRIO3!$N$21:$AP$21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PRIO3!$N$22:$AP$22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0</c:v>
                </c:pt>
                <c:pt idx="11" formatCode="_-* #,##0_-;\-* #,##0_-;_-* \-??_-;_-@_-">
                  <c:v>0</c:v>
                </c:pt>
                <c:pt idx="12" formatCode="_-* #,##0_-;\-* #,##0_-;_-* \-??_-;_-@_-">
                  <c:v>0</c:v>
                </c:pt>
                <c:pt idx="13" formatCode="_-* #,##0_-;\-* #,##0_-;_-* \-??_-;_-@_-">
                  <c:v>0</c:v>
                </c:pt>
                <c:pt idx="14" formatCode="_-* #,##0_-;\-* #,##0_-;_-* \-??_-;_-@_-">
                  <c:v>0</c:v>
                </c:pt>
                <c:pt idx="15" formatCode="_-* #,##0_-;\-* #,##0_-;_-* \-??_-;_-@_-">
                  <c:v>406866</c:v>
                </c:pt>
                <c:pt idx="16" formatCode="_-* #,##0_-;\-* #,##0_-;_-* \-??_-;_-@_-">
                  <c:v>2660457</c:v>
                </c:pt>
                <c:pt idx="17" formatCode="_-* #,##0_-;\-* #,##0_-;_-* \-??_-;_-@_-">
                  <c:v>3871719</c:v>
                </c:pt>
                <c:pt idx="18" formatCode="_-* #,##0_-;\-* #,##0_-;_-* \-??_-;_-@_-">
                  <c:v>3659377</c:v>
                </c:pt>
                <c:pt idx="19" formatCode="_-* #,##0_-;\-* #,##0_-;_-* \-??_-;_-@_-">
                  <c:v>1454598</c:v>
                </c:pt>
                <c:pt idx="20" formatCode="_-* #,##0_-;\-* #,##0_-;_-* \-??_-;_-@_-">
                  <c:v>621733</c:v>
                </c:pt>
                <c:pt idx="21" formatCode="_-* #,##0_-;\-* #,##0_-;_-* \-??_-;_-@_-">
                  <c:v>914105</c:v>
                </c:pt>
                <c:pt idx="22" formatCode="_-* #,##0_-;\-* #,##0_-;_-* \-??_-;_-@_-">
                  <c:v>834152</c:v>
                </c:pt>
                <c:pt idx="23" formatCode="_-* #,##0_-;\-* #,##0_-;_-* \-??_-;_-@_-">
                  <c:v>860483</c:v>
                </c:pt>
                <c:pt idx="24" formatCode="_-* #,##0_-;\-* #,##0_-;_-* \-??_-;_-@_-">
                  <c:v>1006596</c:v>
                </c:pt>
                <c:pt idx="25" formatCode="_-* #,##0_-;\-* #,##0_-;_-* \-??_-;_-@_-">
                  <c:v>2164342</c:v>
                </c:pt>
                <c:pt idx="26" formatCode="_-* #,##0_-;\-* #,##0_-;_-* \-??_-;_-@_-">
                  <c:v>3150414</c:v>
                </c:pt>
                <c:pt idx="27" formatCode="_-* #,##0_-;\-* #,##0_-;_-* \-??_-;_-@_-">
                  <c:v>6620249</c:v>
                </c:pt>
                <c:pt idx="28" formatCode="_-* #,##0_-;\-* #,##0_-;_-* \-??_-;_-@_-">
                  <c:v>9892017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58-448C-8EB0-873610B6AF42}"/>
            </c:ext>
          </c:extLst>
        </c:ser>
        <c:ser>
          <c:idx val="1"/>
          <c:order val="1"/>
          <c:tx>
            <c:strRef>
              <c:f>PRIO3!$M$23</c:f>
              <c:strCache>
                <c:ptCount val="1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PRIO3!$N$21:$AP$21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PRIO3!$N$23:$AP$23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0</c:v>
                </c:pt>
                <c:pt idx="11" formatCode="_-* #,##0_-;\-* #,##0_-;_-* \-??_-;_-@_-">
                  <c:v>0</c:v>
                </c:pt>
                <c:pt idx="12" formatCode="_-* #,##0_-;\-* #,##0_-;_-* \-??_-;_-@_-">
                  <c:v>0</c:v>
                </c:pt>
                <c:pt idx="13" formatCode="_-* #,##0_-;\-* #,##0_-;_-* \-??_-;_-@_-">
                  <c:v>0</c:v>
                </c:pt>
                <c:pt idx="14" formatCode="_-* #,##0_-;\-* #,##0_-;_-* \-??_-;_-@_-">
                  <c:v>0</c:v>
                </c:pt>
                <c:pt idx="15" formatCode="_-* #,##0_-;\-* #,##0_-;_-* \-??_-;_-@_-">
                  <c:v>406962.65175000002</c:v>
                </c:pt>
                <c:pt idx="16" formatCode="_-* #,##0_-;\-* #,##0_-;_-* \-??_-;_-@_-">
                  <c:v>2666961.7103984212</c:v>
                </c:pt>
                <c:pt idx="17" formatCode="_-* #,##0_-;\-* #,##0_-;_-* \-??_-;_-@_-">
                  <c:v>3967606.3771472271</c:v>
                </c:pt>
                <c:pt idx="18" formatCode="_-* #,##0_-;\-* #,##0_-;_-* \-??_-;_-@_-">
                  <c:v>3785394.5044095796</c:v>
                </c:pt>
                <c:pt idx="19" formatCode="_-* #,##0_-;\-* #,##0_-;_-* \-??_-;_-@_-">
                  <c:v>1719445.868292897</c:v>
                </c:pt>
                <c:pt idx="20" formatCode="_-* #,##0_-;\-* #,##0_-;_-* \-??_-;_-@_-">
                  <c:v>914400.58239542565</c:v>
                </c:pt>
                <c:pt idx="21" formatCode="_-* #,##0_-;\-* #,##0_-;_-* \-??_-;_-@_-">
                  <c:v>1262579.4651178438</c:v>
                </c:pt>
                <c:pt idx="22" formatCode="_-* #,##0_-;\-* #,##0_-;_-* \-??_-;_-@_-">
                  <c:v>1219534.8514473811</c:v>
                </c:pt>
                <c:pt idx="23" formatCode="_-* #,##0_-;\-* #,##0_-;_-* \-??_-;_-@_-">
                  <c:v>1272934.5699793259</c:v>
                </c:pt>
                <c:pt idx="24" formatCode="_-* #,##0_-;\-* #,##0_-;_-* \-??_-;_-@_-">
                  <c:v>1457130.6946513103</c:v>
                </c:pt>
                <c:pt idx="25" formatCode="_-* #,##0_-;\-* #,##0_-;_-* \-??_-;_-@_-">
                  <c:v>2719412.916870757</c:v>
                </c:pt>
                <c:pt idx="26" formatCode="_-* #,##0_-;\-* #,##0_-;_-* \-??_-;_-@_-">
                  <c:v>3766706.4058322171</c:v>
                </c:pt>
                <c:pt idx="27" formatCode="_-* #,##0_-;\-* #,##0_-;_-* \-??_-;_-@_-">
                  <c:v>7393336.2486746097</c:v>
                </c:pt>
                <c:pt idx="28" formatCode="_-* #,##0_-;\-* #,##0_-;_-* \-??_-;_-@_-">
                  <c:v>10831297.105826264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58-448C-8EB0-873610B6AF42}"/>
            </c:ext>
          </c:extLst>
        </c:ser>
        <c:ser>
          <c:idx val="2"/>
          <c:order val="2"/>
          <c:tx>
            <c:strRef>
              <c:f>PRIO3!$M$24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PRIO3!$N$21:$AP$21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PRIO3!$N$24:$AP$24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17428087.655999999</c:v>
                </c:pt>
                <c:pt idx="6" formatCode="_-* #,##0_-;\-* #,##0_-;_-* \-??_-;_-@_-">
                  <c:v>16748049.408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0</c:v>
                </c:pt>
                <c:pt idx="11" formatCode="_-* #,##0_-;\-* #,##0_-;_-* \-??_-;_-@_-">
                  <c:v>0</c:v>
                </c:pt>
                <c:pt idx="12" formatCode="_-* #,##0_-;\-* #,##0_-;_-* \-??_-;_-@_-">
                  <c:v>0</c:v>
                </c:pt>
                <c:pt idx="13" formatCode="_-* #,##0_-;\-* #,##0_-;_-* \-??_-;_-@_-">
                  <c:v>0</c:v>
                </c:pt>
                <c:pt idx="14" formatCode="_-* #,##0_-;\-* #,##0_-;_-* \-??_-;_-@_-">
                  <c:v>0</c:v>
                </c:pt>
                <c:pt idx="15" formatCode="_-* #,##0_-;\-* #,##0_-;_-* \-??_-;_-@_-">
                  <c:v>0</c:v>
                </c:pt>
                <c:pt idx="16" formatCode="_-* #,##0_-;\-* #,##0_-;_-* \-??_-;_-@_-">
                  <c:v>7344764.9100000001</c:v>
                </c:pt>
                <c:pt idx="17" formatCode="_-* #,##0_-;\-* #,##0_-;_-* \-??_-;_-@_-">
                  <c:v>3326348.2960000001</c:v>
                </c:pt>
                <c:pt idx="18" formatCode="_-* #,##0_-;\-* #,##0_-;_-* \-??_-;_-@_-">
                  <c:v>1397301.8345000001</c:v>
                </c:pt>
                <c:pt idx="19" formatCode="_-* #,##0_-;\-* #,##0_-;_-* \-??_-;_-@_-">
                  <c:v>270694.73885999998</c:v>
                </c:pt>
                <c:pt idx="20" formatCode="_-* #,##0_-;\-* #,##0_-;_-* \-??_-;_-@_-">
                  <c:v>137437.83437999999</c:v>
                </c:pt>
                <c:pt idx="21" formatCode="_-* #,##0_-;\-* #,##0_-;_-* \-??_-;_-@_-">
                  <c:v>161553.67864999999</c:v>
                </c:pt>
                <c:pt idx="22" formatCode="_-* #,##0_-;\-* #,##0_-;_-* \-??_-;_-@_-">
                  <c:v>286357.95143999998</c:v>
                </c:pt>
                <c:pt idx="23" formatCode="_-* #,##0_-;\-* #,##0_-;_-* \-??_-;_-@_-">
                  <c:v>1024061.2348</c:v>
                </c:pt>
                <c:pt idx="24" formatCode="_-* #,##0_-;\-* #,##0_-;_-* \-??_-;_-@_-">
                  <c:v>1206248.3903999999</c:v>
                </c:pt>
                <c:pt idx="25" formatCode="_-* #,##0_-;\-* #,##0_-;_-* \-??_-;_-@_-">
                  <c:v>4419458.8163999999</c:v>
                </c:pt>
                <c:pt idx="26" formatCode="_-* #,##0_-;\-* #,##0_-;_-* \-??_-;_-@_-">
                  <c:v>9606915.6179000009</c:v>
                </c:pt>
                <c:pt idx="27" formatCode="_-* #,##0_-;\-* #,##0_-;_-* \-??_-;_-@_-">
                  <c:v>17347365.298</c:v>
                </c:pt>
                <c:pt idx="28" formatCode="_-* #,##0_-;\-* #,##0_-;_-* \-??_-;_-@_-">
                  <c:v>31386412.484000001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58-448C-8EB0-873610B6A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5195792"/>
        <c:axId val="30707764"/>
      </c:lineChart>
      <c:catAx>
        <c:axId val="451957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30707764"/>
        <c:crosses val="autoZero"/>
        <c:auto val="1"/>
        <c:lblAlgn val="ctr"/>
        <c:lblOffset val="100"/>
        <c:noMultiLvlLbl val="0"/>
      </c:catAx>
      <c:valAx>
        <c:axId val="307077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45195792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RADL3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RADL3!$M$22</c:f>
              <c:strCache>
                <c:ptCount val="1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RADL3!$N$21:$AP$21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RADL3!$N$22:$AP$22</c:f>
              <c:numCache>
                <c:formatCode>General</c:formatCode>
                <c:ptCount val="29"/>
                <c:pt idx="2" formatCode="_-* #,##0_-;\-* #,##0_-;_-* \-??_-;_-@_-">
                  <c:v>83298</c:v>
                </c:pt>
                <c:pt idx="3" formatCode="_-* #,##0_-;\-* #,##0_-;_-* \-??_-;_-@_-">
                  <c:v>82966</c:v>
                </c:pt>
                <c:pt idx="4" formatCode="_-* #,##0_-;\-* #,##0_-;_-* \-??_-;_-@_-">
                  <c:v>84732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87080</c:v>
                </c:pt>
                <c:pt idx="8" formatCode="_-* #,##0_-;\-* #,##0_-;_-* \-??_-;_-@_-">
                  <c:v>92426</c:v>
                </c:pt>
                <c:pt idx="9" formatCode="_-* #,##0_-;\-* #,##0_-;_-* \-??_-;_-@_-">
                  <c:v>96867</c:v>
                </c:pt>
                <c:pt idx="10" formatCode="_-* #,##0_-;\-* #,##0_-;_-* \-??_-;_-@_-">
                  <c:v>101525</c:v>
                </c:pt>
                <c:pt idx="11" formatCode="_-* #,##0_-;\-* #,##0_-;_-* \-??_-;_-@_-">
                  <c:v>107217</c:v>
                </c:pt>
                <c:pt idx="12" formatCode="_-* #,##0_-;\-* #,##0_-;_-* \-??_-;_-@_-">
                  <c:v>121478</c:v>
                </c:pt>
                <c:pt idx="13" formatCode="_-* #,##0_-;\-* #,##0_-;_-* \-??_-;_-@_-">
                  <c:v>368520</c:v>
                </c:pt>
                <c:pt idx="14" formatCode="_-* #,##0_-;\-* #,##0_-;_-* \-??_-;_-@_-">
                  <c:v>355313</c:v>
                </c:pt>
                <c:pt idx="15" formatCode="_-* #,##0_-;\-* #,##0_-;_-* \-??_-;_-@_-">
                  <c:v>411604</c:v>
                </c:pt>
                <c:pt idx="16" formatCode="_-* #,##0_-;\-* #,##0_-;_-* \-??_-;_-@_-">
                  <c:v>598617</c:v>
                </c:pt>
                <c:pt idx="17" formatCode="_-* #,##0_-;\-* #,##0_-;_-* \-??_-;_-@_-">
                  <c:v>2201174</c:v>
                </c:pt>
                <c:pt idx="18" formatCode="_-* #,##0_-;\-* #,##0_-;_-* \-??_-;_-@_-">
                  <c:v>2264659</c:v>
                </c:pt>
                <c:pt idx="19" formatCode="_-* #,##0_-;\-* #,##0_-;_-* \-??_-;_-@_-">
                  <c:v>2326983</c:v>
                </c:pt>
                <c:pt idx="20" formatCode="_-* #,##0_-;\-* #,##0_-;_-* \-??_-;_-@_-">
                  <c:v>2456937</c:v>
                </c:pt>
                <c:pt idx="21" formatCode="_-* #,##0_-;\-* #,##0_-;_-* \-??_-;_-@_-">
                  <c:v>2633809</c:v>
                </c:pt>
                <c:pt idx="22" formatCode="_-* #,##0_-;\-* #,##0_-;_-* \-??_-;_-@_-">
                  <c:v>2909787</c:v>
                </c:pt>
                <c:pt idx="23" formatCode="_-* #,##0_-;\-* #,##0_-;_-* \-??_-;_-@_-">
                  <c:v>3222513</c:v>
                </c:pt>
                <c:pt idx="24" formatCode="_-* #,##0_-;\-* #,##0_-;_-* \-??_-;_-@_-">
                  <c:v>3499857</c:v>
                </c:pt>
                <c:pt idx="25" formatCode="_-* #,##0_-;\-* #,##0_-;_-* \-??_-;_-@_-">
                  <c:v>4025013</c:v>
                </c:pt>
                <c:pt idx="26" formatCode="_-* #,##0_-;\-* #,##0_-;_-* \-??_-;_-@_-">
                  <c:v>4363126</c:v>
                </c:pt>
                <c:pt idx="27" formatCode="_-* #,##0_-;\-* #,##0_-;_-* \-??_-;_-@_-">
                  <c:v>4677673</c:v>
                </c:pt>
                <c:pt idx="28" formatCode="_-* #,##0_-;\-* #,##0_-;_-* \-??_-;_-@_-">
                  <c:v>5340862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B-4371-BAC8-5FA1A04703B4}"/>
            </c:ext>
          </c:extLst>
        </c:ser>
        <c:ser>
          <c:idx val="1"/>
          <c:order val="1"/>
          <c:tx>
            <c:strRef>
              <c:f>RADL3!$M$23</c:f>
              <c:strCache>
                <c:ptCount val="1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RADL3!$N$21:$AP$21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RADL3!$N$23:$AP$23</c:f>
              <c:numCache>
                <c:formatCode>General</c:formatCode>
                <c:ptCount val="29"/>
                <c:pt idx="2" formatCode="_-* #,##0_-;\-* #,##0_-;_-* \-??_-;_-@_-">
                  <c:v>83298</c:v>
                </c:pt>
                <c:pt idx="3" formatCode="_-* #,##0_-;\-* #,##0_-;_-* \-??_-;_-@_-">
                  <c:v>82966</c:v>
                </c:pt>
                <c:pt idx="4" formatCode="_-* #,##0_-;\-* #,##0_-;_-* \-??_-;_-@_-">
                  <c:v>84732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87080</c:v>
                </c:pt>
                <c:pt idx="8" formatCode="_-* #,##0_-;\-* #,##0_-;_-* \-??_-;_-@_-">
                  <c:v>92426</c:v>
                </c:pt>
                <c:pt idx="9" formatCode="_-* #,##0_-;\-* #,##0_-;_-* \-??_-;_-@_-">
                  <c:v>96867</c:v>
                </c:pt>
                <c:pt idx="10" formatCode="_-* #,##0_-;\-* #,##0_-;_-* \-??_-;_-@_-">
                  <c:v>101525</c:v>
                </c:pt>
                <c:pt idx="11" formatCode="_-* #,##0_-;\-* #,##0_-;_-* \-??_-;_-@_-">
                  <c:v>107216.99999999999</c:v>
                </c:pt>
                <c:pt idx="12" formatCode="_-* #,##0_-;\-* #,##0_-;_-* \-??_-;_-@_-">
                  <c:v>121478</c:v>
                </c:pt>
                <c:pt idx="13" formatCode="_-* #,##0_-;\-* #,##0_-;_-* \-??_-;_-@_-">
                  <c:v>368520</c:v>
                </c:pt>
                <c:pt idx="14" formatCode="_-* #,##0_-;\-* #,##0_-;_-* \-??_-;_-@_-">
                  <c:v>355313</c:v>
                </c:pt>
                <c:pt idx="15" formatCode="_-* #,##0_-;\-* #,##0_-;_-* \-??_-;_-@_-">
                  <c:v>414101.90360000002</c:v>
                </c:pt>
                <c:pt idx="16" formatCode="_-* #,##0_-;\-* #,##0_-;_-* \-??_-;_-@_-">
                  <c:v>609018.95829069836</c:v>
                </c:pt>
                <c:pt idx="17" formatCode="_-* #,##0_-;\-* #,##0_-;_-* \-??_-;_-@_-">
                  <c:v>2216328.4385089083</c:v>
                </c:pt>
                <c:pt idx="18" formatCode="_-* #,##0_-;\-* #,##0_-;_-* \-??_-;_-@_-">
                  <c:v>2301347.9673320963</c:v>
                </c:pt>
                <c:pt idx="19" formatCode="_-* #,##0_-;\-* #,##0_-;_-* \-??_-;_-@_-">
                  <c:v>2391236.8292281684</c:v>
                </c:pt>
                <c:pt idx="20" formatCode="_-* #,##0_-;\-* #,##0_-;_-* \-??_-;_-@_-">
                  <c:v>2551155.5637672762</c:v>
                </c:pt>
                <c:pt idx="21" formatCode="_-* #,##0_-;\-* #,##0_-;_-* \-??_-;_-@_-">
                  <c:v>2798035.9905962804</c:v>
                </c:pt>
                <c:pt idx="22" formatCode="_-* #,##0_-;\-* #,##0_-;_-* \-??_-;_-@_-">
                  <c:v>3069162.4601327651</c:v>
                </c:pt>
                <c:pt idx="23" formatCode="_-* #,##0_-;\-* #,##0_-;_-* \-??_-;_-@_-">
                  <c:v>3371799.8038216266</c:v>
                </c:pt>
                <c:pt idx="24" formatCode="_-* #,##0_-;\-* #,##0_-;_-* \-??_-;_-@_-">
                  <c:v>3721920.4980785544</c:v>
                </c:pt>
                <c:pt idx="25" formatCode="_-* #,##0_-;\-* #,##0_-;_-* \-??_-;_-@_-">
                  <c:v>4340788.158502968</c:v>
                </c:pt>
                <c:pt idx="26" formatCode="_-* #,##0_-;\-* #,##0_-;_-* \-??_-;_-@_-">
                  <c:v>4631925.9742794475</c:v>
                </c:pt>
                <c:pt idx="27" formatCode="_-* #,##0_-;\-* #,##0_-;_-* \-??_-;_-@_-">
                  <c:v>4941586.3133194074</c:v>
                </c:pt>
                <c:pt idx="28" formatCode="_-* #,##0_-;\-* #,##0_-;_-* \-??_-;_-@_-">
                  <c:v>5549010.0180759355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AB-4371-BAC8-5FA1A04703B4}"/>
            </c:ext>
          </c:extLst>
        </c:ser>
        <c:ser>
          <c:idx val="2"/>
          <c:order val="2"/>
          <c:tx>
            <c:strRef>
              <c:f>RADL3!$M$24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RADL3!$N$21:$AP$21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RADL3!$N$24:$AP$24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17428087.655999999</c:v>
                </c:pt>
                <c:pt idx="6" formatCode="_-* #,##0_-;\-* #,##0_-;_-* \-??_-;_-@_-">
                  <c:v>16748049.408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45342.31</c:v>
                </c:pt>
                <c:pt idx="11" formatCode="_-* #,##0_-;\-* #,##0_-;_-* \-??_-;_-@_-">
                  <c:v>38871.56</c:v>
                </c:pt>
                <c:pt idx="12" formatCode="_-* #,##0_-;\-* #,##0_-;_-* \-??_-;_-@_-">
                  <c:v>233958.79</c:v>
                </c:pt>
                <c:pt idx="13" formatCode="_-* #,##0_-;\-* #,##0_-;_-* \-??_-;_-@_-">
                  <c:v>900692.1</c:v>
                </c:pt>
                <c:pt idx="14" formatCode="_-* #,##0_-;\-* #,##0_-;_-* \-??_-;_-@_-">
                  <c:v>590600</c:v>
                </c:pt>
                <c:pt idx="15" formatCode="_-* #,##0_-;\-* #,##0_-;_-* \-??_-;_-@_-">
                  <c:v>1660988</c:v>
                </c:pt>
                <c:pt idx="16" formatCode="_-* #,##0_-;\-* #,##0_-;_-* \-??_-;_-@_-">
                  <c:v>2531744.7480000001</c:v>
                </c:pt>
                <c:pt idx="17" formatCode="_-* #,##0_-;\-* #,##0_-;_-* \-??_-;_-@_-">
                  <c:v>4285106.42</c:v>
                </c:pt>
                <c:pt idx="18" formatCode="_-* #,##0_-;\-* #,##0_-;_-* \-??_-;_-@_-">
                  <c:v>7622005.0199999996</c:v>
                </c:pt>
                <c:pt idx="19" formatCode="_-* #,##0_-;\-* #,##0_-;_-* \-??_-;_-@_-">
                  <c:v>4883105.08</c:v>
                </c:pt>
                <c:pt idx="20" formatCode="_-* #,##0_-;\-* #,##0_-;_-* \-??_-;_-@_-">
                  <c:v>8347400.0999999996</c:v>
                </c:pt>
                <c:pt idx="21" formatCode="_-* #,##0_-;\-* #,##0_-;_-* \-??_-;_-@_-">
                  <c:v>11683067.279999999</c:v>
                </c:pt>
                <c:pt idx="22" formatCode="_-* #,##0_-;\-* #,##0_-;_-* \-??_-;_-@_-">
                  <c:v>20163856.013</c:v>
                </c:pt>
                <c:pt idx="23" formatCode="_-* #,##0_-;\-* #,##0_-;_-* \-??_-;_-@_-">
                  <c:v>30267547.463</c:v>
                </c:pt>
                <c:pt idx="24" formatCode="_-* #,##0_-;\-* #,##0_-;_-* \-??_-;_-@_-">
                  <c:v>18821748.309999999</c:v>
                </c:pt>
                <c:pt idx="25" formatCode="_-* #,##0_-;\-* #,##0_-;_-* \-??_-;_-@_-">
                  <c:v>36802859.027999997</c:v>
                </c:pt>
                <c:pt idx="26" formatCode="_-* #,##0_-;\-* #,##0_-;_-* \-??_-;_-@_-">
                  <c:v>41302241.020999998</c:v>
                </c:pt>
                <c:pt idx="27" formatCode="_-* #,##0_-;\-* #,##0_-;_-* \-??_-;_-@_-">
                  <c:v>40025978.887999997</c:v>
                </c:pt>
                <c:pt idx="28" formatCode="_-* #,##0_-;\-* #,##0_-;_-* \-??_-;_-@_-">
                  <c:v>39084634.458999999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AB-4371-BAC8-5FA1A0470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2711740"/>
        <c:axId val="32384240"/>
      </c:lineChart>
      <c:catAx>
        <c:axId val="527117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32384240"/>
        <c:crosses val="autoZero"/>
        <c:auto val="1"/>
        <c:lblAlgn val="ctr"/>
        <c:lblOffset val="100"/>
        <c:noMultiLvlLbl val="0"/>
      </c:catAx>
      <c:valAx>
        <c:axId val="323842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52711740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RDOR3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RDOR3!$M$22</c:f>
              <c:strCache>
                <c:ptCount val="1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RDOR3!$N$21:$AP$21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RDOR3!$N$22:$AP$22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0</c:v>
                </c:pt>
                <c:pt idx="11" formatCode="_-* #,##0_-;\-* #,##0_-;_-* \-??_-;_-@_-">
                  <c:v>0</c:v>
                </c:pt>
                <c:pt idx="12" formatCode="_-* #,##0_-;\-* #,##0_-;_-* \-??_-;_-@_-">
                  <c:v>0</c:v>
                </c:pt>
                <c:pt idx="13" formatCode="_-* #,##0_-;\-* #,##0_-;_-* \-??_-;_-@_-">
                  <c:v>73492</c:v>
                </c:pt>
                <c:pt idx="14" formatCode="_-* #,##0_-;\-* #,##0_-;_-* \-??_-;_-@_-">
                  <c:v>71065</c:v>
                </c:pt>
                <c:pt idx="15" formatCode="_-* #,##0_-;\-* #,##0_-;_-* \-??_-;_-@_-">
                  <c:v>88784</c:v>
                </c:pt>
                <c:pt idx="16" formatCode="_-* #,##0_-;\-* #,##0_-;_-* \-??_-;_-@_-">
                  <c:v>893056</c:v>
                </c:pt>
                <c:pt idx="17" formatCode="_-* #,##0_-;\-* #,##0_-;_-* \-??_-;_-@_-">
                  <c:v>941594</c:v>
                </c:pt>
                <c:pt idx="18" formatCode="_-* #,##0_-;\-* #,##0_-;_-* \-??_-;_-@_-">
                  <c:v>898668</c:v>
                </c:pt>
                <c:pt idx="19" formatCode="_-* #,##0_-;\-* #,##0_-;_-* \-??_-;_-@_-">
                  <c:v>1170486</c:v>
                </c:pt>
                <c:pt idx="20" formatCode="_-* #,##0_-;\-* #,##0_-;_-* \-??_-;_-@_-">
                  <c:v>1470270</c:v>
                </c:pt>
                <c:pt idx="21" formatCode="_-* #,##0_-;\-* #,##0_-;_-* \-??_-;_-@_-">
                  <c:v>3900083</c:v>
                </c:pt>
                <c:pt idx="22" formatCode="_-* #,##0_-;\-* #,##0_-;_-* \-??_-;_-@_-">
                  <c:v>4466732</c:v>
                </c:pt>
                <c:pt idx="23" formatCode="_-* #,##0_-;\-* #,##0_-;_-* \-??_-;_-@_-">
                  <c:v>4481144</c:v>
                </c:pt>
                <c:pt idx="24" formatCode="_-* #,##0_-;\-* #,##0_-;_-* \-??_-;_-@_-">
                  <c:v>4335519</c:v>
                </c:pt>
                <c:pt idx="25" formatCode="_-* #,##0_-;\-* #,##0_-;_-* \-??_-;_-@_-">
                  <c:v>5210130</c:v>
                </c:pt>
                <c:pt idx="26" formatCode="_-* #,##0_-;\-* #,##0_-;_-* \-??_-;_-@_-">
                  <c:v>13613122</c:v>
                </c:pt>
                <c:pt idx="27" formatCode="_-* #,##0_-;\-* #,##0_-;_-* \-??_-;_-@_-">
                  <c:v>13583378</c:v>
                </c:pt>
                <c:pt idx="28" formatCode="_-* #,##0_-;\-* #,##0_-;_-* \-??_-;_-@_-">
                  <c:v>21812039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8-4D20-BCBA-C3583ED9D31B}"/>
            </c:ext>
          </c:extLst>
        </c:ser>
        <c:ser>
          <c:idx val="1"/>
          <c:order val="1"/>
          <c:tx>
            <c:strRef>
              <c:f>RDOR3!$M$23</c:f>
              <c:strCache>
                <c:ptCount val="1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RDOR3!$N$21:$AP$21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RDOR3!$N$23:$AP$23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0</c:v>
                </c:pt>
                <c:pt idx="11" formatCode="_-* #,##0_-;\-* #,##0_-;_-* \-??_-;_-@_-">
                  <c:v>0</c:v>
                </c:pt>
                <c:pt idx="12" formatCode="_-* #,##0_-;\-* #,##0_-;_-* \-??_-;_-@_-">
                  <c:v>0</c:v>
                </c:pt>
                <c:pt idx="13" formatCode="_-* #,##0_-;\-* #,##0_-;_-* \-??_-;_-@_-">
                  <c:v>73492</c:v>
                </c:pt>
                <c:pt idx="14" formatCode="_-* #,##0_-;\-* #,##0_-;_-* \-??_-;_-@_-">
                  <c:v>78033.873500000002</c:v>
                </c:pt>
                <c:pt idx="15" formatCode="_-* #,##0_-;\-* #,##0_-;_-* \-??_-;_-@_-">
                  <c:v>107932.48134765563</c:v>
                </c:pt>
                <c:pt idx="16" formatCode="_-* #,##0_-;\-* #,##0_-;_-* \-??_-;_-@_-">
                  <c:v>937341.68477291055</c:v>
                </c:pt>
                <c:pt idx="17" formatCode="_-* #,##0_-;\-* #,##0_-;_-* \-??_-;_-@_-">
                  <c:v>1028630.3021168172</c:v>
                </c:pt>
                <c:pt idx="18" formatCode="_-* #,##0_-;\-* #,##0_-;_-* \-??_-;_-@_-">
                  <c:v>1036020.5727980746</c:v>
                </c:pt>
                <c:pt idx="19" formatCode="_-* #,##0_-;\-* #,##0_-;_-* \-??_-;_-@_-">
                  <c:v>1391773.3905736546</c:v>
                </c:pt>
                <c:pt idx="20" formatCode="_-* #,##0_-;\-* #,##0_-;_-* \-??_-;_-@_-">
                  <c:v>1797388.3197409865</c:v>
                </c:pt>
                <c:pt idx="21" formatCode="_-* #,##0_-;\-* #,##0_-;_-* \-??_-;_-@_-">
                  <c:v>4342927.3241563877</c:v>
                </c:pt>
                <c:pt idx="22" formatCode="_-* #,##0_-;\-* #,##0_-;_-* \-??_-;_-@_-">
                  <c:v>4958424.2813420789</c:v>
                </c:pt>
                <c:pt idx="23" formatCode="_-* #,##0_-;\-* #,##0_-;_-* \-??_-;_-@_-">
                  <c:v>5005198.1134984158</c:v>
                </c:pt>
                <c:pt idx="24" formatCode="_-* #,##0_-;\-* #,##0_-;_-* \-??_-;_-@_-">
                  <c:v>5132031.0092781149</c:v>
                </c:pt>
                <c:pt idx="25" formatCode="_-* #,##0_-;\-* #,##0_-;_-* \-??_-;_-@_-">
                  <c:v>6303162.3344936324</c:v>
                </c:pt>
                <c:pt idx="26" formatCode="_-* #,##0_-;\-* #,##0_-;_-* \-??_-;_-@_-">
                  <c:v>14801256.521309394</c:v>
                </c:pt>
                <c:pt idx="27" formatCode="_-* #,##0_-;\-* #,##0_-;_-* \-??_-;_-@_-">
                  <c:v>15087651.819359971</c:v>
                </c:pt>
                <c:pt idx="28" formatCode="_-* #,##0_-;\-* #,##0_-;_-* \-??_-;_-@_-">
                  <c:v>23309894.936887443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98-4D20-BCBA-C3583ED9D31B}"/>
            </c:ext>
          </c:extLst>
        </c:ser>
        <c:ser>
          <c:idx val="2"/>
          <c:order val="2"/>
          <c:tx>
            <c:strRef>
              <c:f>RDOR3!$M$24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RDOR3!$N$21:$AP$21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RDOR3!$N$24:$AP$24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17428087.655999999</c:v>
                </c:pt>
                <c:pt idx="6" formatCode="_-* #,##0_-;\-* #,##0_-;_-* \-??_-;_-@_-">
                  <c:v>16748049.408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0</c:v>
                </c:pt>
                <c:pt idx="11" formatCode="_-* #,##0_-;\-* #,##0_-;_-* \-??_-;_-@_-">
                  <c:v>0</c:v>
                </c:pt>
                <c:pt idx="12" formatCode="_-* #,##0_-;\-* #,##0_-;_-* \-??_-;_-@_-">
                  <c:v>0</c:v>
                </c:pt>
                <c:pt idx="13" formatCode="_-* #,##0_-;\-* #,##0_-;_-* \-??_-;_-@_-">
                  <c:v>0</c:v>
                </c:pt>
                <c:pt idx="14" formatCode="_-* #,##0_-;\-* #,##0_-;_-* \-??_-;_-@_-">
                  <c:v>0</c:v>
                </c:pt>
                <c:pt idx="15" formatCode="_-* #,##0_-;\-* #,##0_-;_-* \-??_-;_-@_-">
                  <c:v>0</c:v>
                </c:pt>
                <c:pt idx="16" formatCode="_-* #,##0_-;\-* #,##0_-;_-* \-??_-;_-@_-">
                  <c:v>0</c:v>
                </c:pt>
                <c:pt idx="17" formatCode="_-* #,##0_-;\-* #,##0_-;_-* \-??_-;_-@_-">
                  <c:v>0</c:v>
                </c:pt>
                <c:pt idx="18" formatCode="_-* #,##0_-;\-* #,##0_-;_-* \-??_-;_-@_-">
                  <c:v>0</c:v>
                </c:pt>
                <c:pt idx="19" formatCode="_-* #,##0_-;\-* #,##0_-;_-* \-??_-;_-@_-">
                  <c:v>0</c:v>
                </c:pt>
                <c:pt idx="20" formatCode="_-* #,##0_-;\-* #,##0_-;_-* \-??_-;_-@_-">
                  <c:v>0</c:v>
                </c:pt>
                <c:pt idx="21" formatCode="_-* #,##0_-;\-* #,##0_-;_-* \-??_-;_-@_-">
                  <c:v>0</c:v>
                </c:pt>
                <c:pt idx="22" formatCode="_-* #,##0_-;\-* #,##0_-;_-* \-??_-;_-@_-">
                  <c:v>0</c:v>
                </c:pt>
                <c:pt idx="23" formatCode="_-* #,##0_-;\-* #,##0_-;_-* \-??_-;_-@_-">
                  <c:v>0</c:v>
                </c:pt>
                <c:pt idx="24" formatCode="_-* #,##0_-;\-* #,##0_-;_-* \-??_-;_-@_-">
                  <c:v>0</c:v>
                </c:pt>
                <c:pt idx="25" formatCode="_-* #,##0_-;\-* #,##0_-;_-* \-??_-;_-@_-">
                  <c:v>0</c:v>
                </c:pt>
                <c:pt idx="26" formatCode="_-* #,##0_-;\-* #,##0_-;_-* \-??_-;_-@_-">
                  <c:v>132674559.33</c:v>
                </c:pt>
                <c:pt idx="27" formatCode="_-* #,##0_-;\-* #,##0_-;_-* \-??_-;_-@_-">
                  <c:v>88380248.525000006</c:v>
                </c:pt>
                <c:pt idx="28" formatCode="_-* #,##0_-;\-* #,##0_-;_-* \-??_-;_-@_-">
                  <c:v>66642510.478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98-4D20-BCBA-C3583ED9D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4950926"/>
        <c:axId val="53706379"/>
      </c:lineChart>
      <c:catAx>
        <c:axId val="249509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53706379"/>
        <c:crosses val="autoZero"/>
        <c:auto val="1"/>
        <c:lblAlgn val="ctr"/>
        <c:lblOffset val="100"/>
        <c:noMultiLvlLbl val="0"/>
      </c:catAx>
      <c:valAx>
        <c:axId val="537063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24950926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RAIL3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RAIL3!$M$22</c:f>
              <c:strCache>
                <c:ptCount val="1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RAIL3!$N$21:$AP$21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RAIL3!$N$22:$AP$22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4289</c:v>
                </c:pt>
                <c:pt idx="4" formatCode="_-* #,##0_-;\-* #,##0_-;_-* \-??_-;_-@_-">
                  <c:v>40691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233531</c:v>
                </c:pt>
                <c:pt idx="8" formatCode="_-* #,##0_-;\-* #,##0_-;_-* \-??_-;_-@_-">
                  <c:v>264287</c:v>
                </c:pt>
                <c:pt idx="9" formatCode="_-* #,##0_-;\-* #,##0_-;_-* \-??_-;_-@_-">
                  <c:v>331242</c:v>
                </c:pt>
                <c:pt idx="10" formatCode="_-* #,##0_-;\-* #,##0_-;_-* \-??_-;_-@_-">
                  <c:v>738844</c:v>
                </c:pt>
                <c:pt idx="11" formatCode="_-* #,##0_-;\-* #,##0_-;_-* \-??_-;_-@_-">
                  <c:v>934778</c:v>
                </c:pt>
                <c:pt idx="12" formatCode="_-* #,##0_-;\-* #,##0_-;_-* \-??_-;_-@_-">
                  <c:v>2441320</c:v>
                </c:pt>
                <c:pt idx="13" formatCode="_-* #,##0_-;\-* #,##0_-;_-* \-??_-;_-@_-">
                  <c:v>2538710</c:v>
                </c:pt>
                <c:pt idx="14" formatCode="_-* #,##0_-;\-* #,##0_-;_-* \-??_-;_-@_-">
                  <c:v>2495533</c:v>
                </c:pt>
                <c:pt idx="15" formatCode="_-* #,##0_-;\-* #,##0_-;_-* \-??_-;_-@_-">
                  <c:v>3816229</c:v>
                </c:pt>
                <c:pt idx="16" formatCode="_-* #,##0_-;\-* #,##0_-;_-* \-??_-;_-@_-">
                  <c:v>3808632</c:v>
                </c:pt>
                <c:pt idx="17" formatCode="_-* #,##0_-;\-* #,##0_-;_-* \-??_-;_-@_-">
                  <c:v>4020305</c:v>
                </c:pt>
                <c:pt idx="18" formatCode="_-* #,##0_-;\-* #,##0_-;_-* \-??_-;_-@_-">
                  <c:v>4203748</c:v>
                </c:pt>
                <c:pt idx="19" formatCode="_-* #,##0_-;\-* #,##0_-;_-* \-??_-;_-@_-">
                  <c:v>4351743</c:v>
                </c:pt>
                <c:pt idx="20" formatCode="_-* #,##0_-;\-* #,##0_-;_-* \-??_-;_-@_-">
                  <c:v>1885039</c:v>
                </c:pt>
                <c:pt idx="21" formatCode="_-* #,##0_-;\-* #,##0_-;_-* \-??_-;_-@_-">
                  <c:v>2039028</c:v>
                </c:pt>
                <c:pt idx="22" formatCode="_-* #,##0_-;\-* #,##0_-;_-* \-??_-;_-@_-">
                  <c:v>5404695</c:v>
                </c:pt>
                <c:pt idx="23" formatCode="_-* #,##0_-;\-* #,##0_-;_-* \-??_-;_-@_-">
                  <c:v>7751460</c:v>
                </c:pt>
                <c:pt idx="24" formatCode="_-* #,##0_-;\-* #,##0_-;_-* \-??_-;_-@_-">
                  <c:v>8028200</c:v>
                </c:pt>
                <c:pt idx="25" formatCode="_-* #,##0_-;\-* #,##0_-;_-* \-??_-;_-@_-">
                  <c:v>8344276</c:v>
                </c:pt>
                <c:pt idx="26" formatCode="_-* #,##0_-;\-* #,##0_-;_-* \-??_-;_-@_-">
                  <c:v>14983606</c:v>
                </c:pt>
                <c:pt idx="27" formatCode="_-* #,##0_-;\-* #,##0_-;_-* \-??_-;_-@_-">
                  <c:v>14795421</c:v>
                </c:pt>
                <c:pt idx="28" formatCode="_-* #,##0_-;\-* #,##0_-;_-* \-??_-;_-@_-">
                  <c:v>15191169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7-4CE9-A220-8B27FA874ECE}"/>
            </c:ext>
          </c:extLst>
        </c:ser>
        <c:ser>
          <c:idx val="1"/>
          <c:order val="1"/>
          <c:tx>
            <c:strRef>
              <c:f>RAIL3!$M$23</c:f>
              <c:strCache>
                <c:ptCount val="1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RAIL3!$N$21:$AP$21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RAIL3!$N$23:$AP$23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4289</c:v>
                </c:pt>
                <c:pt idx="4" formatCode="_-* #,##0_-;\-* #,##0_-;_-* \-??_-;_-@_-">
                  <c:v>40690.999999999993</c:v>
                </c:pt>
                <c:pt idx="5" formatCode="_-* #,##0_-;\-* #,##0_-;_-* \-??_-;_-@_-">
                  <c:v>10513592.3971</c:v>
                </c:pt>
                <c:pt idx="6" formatCode="_-* #,##0_-;\-* #,##0_-;_-* \-??_-;_-@_-">
                  <c:v>10596671.5757208</c:v>
                </c:pt>
                <c:pt idx="7" formatCode="_-* #,##0_-;\-* #,##0_-;_-* \-??_-;_-@_-">
                  <c:v>294003.58443218918</c:v>
                </c:pt>
                <c:pt idx="8" formatCode="_-* #,##0_-;\-* #,##0_-;_-* \-??_-;_-@_-">
                  <c:v>379249.67835329135</c:v>
                </c:pt>
                <c:pt idx="9" formatCode="_-* #,##0_-;\-* #,##0_-;_-* \-??_-;_-@_-">
                  <c:v>504213.52764747676</c:v>
                </c:pt>
                <c:pt idx="10" formatCode="_-* #,##0_-;\-* #,##0_-;_-* \-??_-;_-@_-">
                  <c:v>975719.89478332293</c:v>
                </c:pt>
                <c:pt idx="11" formatCode="_-* #,##0_-;\-* #,##0_-;_-* \-??_-;_-@_-">
                  <c:v>1229939.1483981649</c:v>
                </c:pt>
                <c:pt idx="12" formatCode="_-* #,##0_-;\-* #,##0_-;_-* \-??_-;_-@_-">
                  <c:v>2764592.3417284391</c:v>
                </c:pt>
                <c:pt idx="13" formatCode="_-* #,##0_-;\-* #,##0_-;_-* \-??_-;_-@_-">
                  <c:v>3016110.5851007053</c:v>
                </c:pt>
                <c:pt idx="14" formatCode="_-* #,##0_-;\-* #,##0_-;_-* \-??_-;_-@_-">
                  <c:v>3248110.8775219233</c:v>
                </c:pt>
                <c:pt idx="15" formatCode="_-* #,##0_-;\-* #,##0_-;_-* \-??_-;_-@_-">
                  <c:v>4812022.1414465914</c:v>
                </c:pt>
                <c:pt idx="16" formatCode="_-* #,##0_-;\-* #,##0_-;_-* \-??_-;_-@_-">
                  <c:v>5280397.1863153502</c:v>
                </c:pt>
                <c:pt idx="17" formatCode="_-* #,##0_-;\-* #,##0_-;_-* \-??_-;_-@_-">
                  <c:v>6205488.819887911</c:v>
                </c:pt>
                <c:pt idx="18" formatCode="_-* #,##0_-;\-* #,##0_-;_-* \-??_-;_-@_-">
                  <c:v>6906043.809776633</c:v>
                </c:pt>
                <c:pt idx="19" formatCode="_-* #,##0_-;\-* #,##0_-;_-* \-??_-;_-@_-">
                  <c:v>7868578.9355966793</c:v>
                </c:pt>
                <c:pt idx="20" formatCode="_-* #,##0_-;\-* #,##0_-;_-* \-??_-;_-@_-">
                  <c:v>6305217.5568453604</c:v>
                </c:pt>
                <c:pt idx="21" formatCode="_-* #,##0_-;\-* #,##0_-;_-* \-??_-;_-@_-">
                  <c:v>7385892.4782999009</c:v>
                </c:pt>
                <c:pt idx="22" formatCode="_-* #,##0_-;\-* #,##0_-;_-* \-??_-;_-@_-">
                  <c:v>11334504.107192291</c:v>
                </c:pt>
                <c:pt idx="23" formatCode="_-* #,##0_-;\-* #,##0_-;_-* \-??_-;_-@_-">
                  <c:v>13741535.527501054</c:v>
                </c:pt>
                <c:pt idx="24" formatCode="_-* #,##0_-;\-* #,##0_-;_-* \-??_-;_-@_-">
                  <c:v>14846586.104881562</c:v>
                </c:pt>
                <c:pt idx="25" formatCode="_-* #,##0_-;\-* #,##0_-;_-* \-??_-;_-@_-">
                  <c:v>15842090.254726695</c:v>
                </c:pt>
                <c:pt idx="26" formatCode="_-* #,##0_-;\-* #,##0_-;_-* \-??_-;_-@_-">
                  <c:v>22764248.115649723</c:v>
                </c:pt>
                <c:pt idx="27" formatCode="_-* #,##0_-;\-* #,##0_-;_-* \-??_-;_-@_-">
                  <c:v>23758617.847170923</c:v>
                </c:pt>
                <c:pt idx="28" formatCode="_-* #,##0_-;\-* #,##0_-;_-* \-??_-;_-@_-">
                  <c:v>24949731.626195047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F7-4CE9-A220-8B27FA874ECE}"/>
            </c:ext>
          </c:extLst>
        </c:ser>
        <c:ser>
          <c:idx val="2"/>
          <c:order val="2"/>
          <c:tx>
            <c:strRef>
              <c:f>RAIL3!$M$24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RAIL3!$N$21:$AP$21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RAIL3!$N$24:$AP$24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17428087.655999999</c:v>
                </c:pt>
                <c:pt idx="6" formatCode="_-* #,##0_-;\-* #,##0_-;_-* \-??_-;_-@_-">
                  <c:v>16748049.408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3238260.9742000001</c:v>
                </c:pt>
                <c:pt idx="11" formatCode="_-* #,##0_-;\-* #,##0_-;_-* \-??_-;_-@_-">
                  <c:v>4240517.835</c:v>
                </c:pt>
                <c:pt idx="12" formatCode="_-* #,##0_-;\-* #,##0_-;_-* \-??_-;_-@_-">
                  <c:v>13743487.619999999</c:v>
                </c:pt>
                <c:pt idx="13" formatCode="_-* #,##0_-;\-* #,##0_-;_-* \-??_-;_-@_-">
                  <c:v>14589883.859999999</c:v>
                </c:pt>
                <c:pt idx="14" formatCode="_-* #,##0_-;\-* #,##0_-;_-* \-??_-;_-@_-">
                  <c:v>6702784.2400000002</c:v>
                </c:pt>
                <c:pt idx="15" formatCode="_-* #,##0_-;\-* #,##0_-;_-* \-??_-;_-@_-">
                  <c:v>13244743.800000001</c:v>
                </c:pt>
                <c:pt idx="16" formatCode="_-* #,##0_-;\-* #,##0_-;_-* \-??_-;_-@_-">
                  <c:v>10328267.52</c:v>
                </c:pt>
                <c:pt idx="17" formatCode="_-* #,##0_-;\-* #,##0_-;_-* \-??_-;_-@_-">
                  <c:v>6330368.9934</c:v>
                </c:pt>
                <c:pt idx="18" formatCode="_-* #,##0_-;\-* #,##0_-;_-* \-??_-;_-@_-">
                  <c:v>5656491.0038000001</c:v>
                </c:pt>
                <c:pt idx="19" formatCode="_-* #,##0_-;\-* #,##0_-;_-* \-??_-;_-@_-">
                  <c:v>4482508.6210000003</c:v>
                </c:pt>
                <c:pt idx="20" formatCode="_-* #,##0_-;\-* #,##0_-;_-* \-??_-;_-@_-">
                  <c:v>3450912.2329000002</c:v>
                </c:pt>
                <c:pt idx="21" formatCode="_-* #,##0_-;\-* #,##0_-;_-* \-??_-;_-@_-">
                  <c:v>0</c:v>
                </c:pt>
                <c:pt idx="22" formatCode="_-* #,##0_-;\-* #,##0_-;_-* \-??_-;_-@_-">
                  <c:v>0</c:v>
                </c:pt>
                <c:pt idx="23" formatCode="_-* #,##0_-;\-* #,##0_-;_-* \-??_-;_-@_-">
                  <c:v>20220436.197000001</c:v>
                </c:pt>
                <c:pt idx="24" formatCode="_-* #,##0_-;\-* #,##0_-;_-* \-??_-;_-@_-">
                  <c:v>26503270.265999999</c:v>
                </c:pt>
                <c:pt idx="25" formatCode="_-* #,##0_-;\-* #,##0_-;_-* \-??_-;_-@_-">
                  <c:v>40690314.938000001</c:v>
                </c:pt>
                <c:pt idx="26" formatCode="_-* #,##0_-;\-* #,##0_-;_-* \-??_-;_-@_-">
                  <c:v>35646655.493000001</c:v>
                </c:pt>
                <c:pt idx="27" formatCode="_-* #,##0_-;\-* #,##0_-;_-* \-??_-;_-@_-">
                  <c:v>32914947.535999998</c:v>
                </c:pt>
                <c:pt idx="28" formatCode="_-* #,##0_-;\-* #,##0_-;_-* \-??_-;_-@_-">
                  <c:v>34472760.795999996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F7-4CE9-A220-8B27FA874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3542688"/>
        <c:axId val="36077114"/>
      </c:lineChart>
      <c:catAx>
        <c:axId val="73542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36077114"/>
        <c:crosses val="autoZero"/>
        <c:auto val="1"/>
        <c:lblAlgn val="ctr"/>
        <c:lblOffset val="100"/>
        <c:noMultiLvlLbl val="0"/>
      </c:catAx>
      <c:valAx>
        <c:axId val="360771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73542688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GGBR4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GGBR4!$M$22</c:f>
              <c:strCache>
                <c:ptCount val="1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GGBR4!$N$21:$AP$21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GGBR4!$N$22:$AP$22</c:f>
              <c:numCache>
                <c:formatCode>General</c:formatCode>
                <c:ptCount val="29"/>
                <c:pt idx="2" formatCode="_-* #,##0_-;\-* #,##0_-;_-* \-??_-;_-@_-">
                  <c:v>1218194</c:v>
                </c:pt>
                <c:pt idx="3" formatCode="_-* #,##0_-;\-* #,##0_-;_-* \-??_-;_-@_-">
                  <c:v>1662464</c:v>
                </c:pt>
                <c:pt idx="4" formatCode="_-* #,##0_-;\-* #,##0_-;_-* \-??_-;_-@_-">
                  <c:v>1812259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2685759</c:v>
                </c:pt>
                <c:pt idx="8" formatCode="_-* #,##0_-;\-* #,##0_-;_-* \-??_-;_-@_-">
                  <c:v>3293226</c:v>
                </c:pt>
                <c:pt idx="9" formatCode="_-* #,##0_-;\-* #,##0_-;_-* \-??_-;_-@_-">
                  <c:v>4128396</c:v>
                </c:pt>
                <c:pt idx="10" formatCode="_-* #,##0_-;\-* #,##0_-;_-* \-??_-;_-@_-">
                  <c:v>6073856</c:v>
                </c:pt>
                <c:pt idx="11" formatCode="_-* #,##0_-;\-* #,##0_-;_-* \-??_-;_-@_-">
                  <c:v>8042186</c:v>
                </c:pt>
                <c:pt idx="12" formatCode="_-* #,##0_-;\-* #,##0_-;_-* \-??_-;_-@_-">
                  <c:v>9964638</c:v>
                </c:pt>
                <c:pt idx="13" formatCode="_-* #,##0_-;\-* #,##0_-;_-* \-??_-;_-@_-">
                  <c:v>12712505</c:v>
                </c:pt>
                <c:pt idx="14" formatCode="_-* #,##0_-;\-* #,##0_-;_-* \-??_-;_-@_-">
                  <c:v>20166502</c:v>
                </c:pt>
                <c:pt idx="15" formatCode="_-* #,##0_-;\-* #,##0_-;_-* \-??_-;_-@_-">
                  <c:v>18507473</c:v>
                </c:pt>
                <c:pt idx="16" formatCode="_-* #,##0_-;\-* #,##0_-;_-* \-??_-;_-@_-">
                  <c:v>19470442</c:v>
                </c:pt>
                <c:pt idx="17" formatCode="_-* #,##0_-;\-* #,##0_-;_-* \-??_-;_-@_-">
                  <c:v>24997469</c:v>
                </c:pt>
                <c:pt idx="18" formatCode="_-* #,##0_-;\-* #,##0_-;_-* \-??_-;_-@_-">
                  <c:v>27245604</c:v>
                </c:pt>
                <c:pt idx="19" formatCode="_-* #,##0_-;\-* #,##0_-;_-* \-??_-;_-@_-">
                  <c:v>30339079</c:v>
                </c:pt>
                <c:pt idx="20" formatCode="_-* #,##0_-;\-* #,##0_-;_-* \-??_-;_-@_-">
                  <c:v>32200819</c:v>
                </c:pt>
                <c:pt idx="21" formatCode="_-* #,##0_-;\-* #,##0_-;_-* \-??_-;_-@_-">
                  <c:v>31685801</c:v>
                </c:pt>
                <c:pt idx="22" formatCode="_-* #,##0_-;\-* #,##0_-;_-* \-??_-;_-@_-">
                  <c:v>24028136</c:v>
                </c:pt>
                <c:pt idx="23" formatCode="_-* #,##0_-;\-* #,##0_-;_-* \-??_-;_-@_-">
                  <c:v>23645201</c:v>
                </c:pt>
                <c:pt idx="24" formatCode="_-* #,##0_-;\-* #,##0_-;_-* \-??_-;_-@_-">
                  <c:v>25730604</c:v>
                </c:pt>
                <c:pt idx="25" formatCode="_-* #,##0_-;\-* #,##0_-;_-* \-??_-;_-@_-">
                  <c:v>26955701</c:v>
                </c:pt>
                <c:pt idx="26" formatCode="_-* #,##0_-;\-* #,##0_-;_-* \-??_-;_-@_-">
                  <c:v>30860271</c:v>
                </c:pt>
                <c:pt idx="27" formatCode="_-* #,##0_-;\-* #,##0_-;_-* \-??_-;_-@_-">
                  <c:v>42604282</c:v>
                </c:pt>
                <c:pt idx="28" formatCode="_-* #,##0_-;\-* #,##0_-;_-* \-??_-;_-@_-">
                  <c:v>46116194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DA-45BD-B844-C01BC4EDBE5B}"/>
            </c:ext>
          </c:extLst>
        </c:ser>
        <c:ser>
          <c:idx val="1"/>
          <c:order val="1"/>
          <c:tx>
            <c:strRef>
              <c:f>GGBR4!$M$23</c:f>
              <c:strCache>
                <c:ptCount val="1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GGBR4!$N$21:$AP$21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GGBR4!$N$23:$AP$23</c:f>
              <c:numCache>
                <c:formatCode>General</c:formatCode>
                <c:ptCount val="29"/>
                <c:pt idx="2" formatCode="_-* #,##0_-;\-* #,##0_-;_-* \-??_-;_-@_-">
                  <c:v>1288518.9374000002</c:v>
                </c:pt>
                <c:pt idx="3" formatCode="_-* #,##0_-;\-* #,##0_-;_-* \-??_-;_-@_-">
                  <c:v>1814975.4419692282</c:v>
                </c:pt>
                <c:pt idx="4" formatCode="_-* #,##0_-;\-* #,##0_-;_-* \-??_-;_-@_-">
                  <c:v>1982132.6150703195</c:v>
                </c:pt>
                <c:pt idx="5" formatCode="_-* #,##0_-;\-* #,##0_-;_-* \-??_-;_-@_-">
                  <c:v>10928612.617676385</c:v>
                </c:pt>
                <c:pt idx="6" formatCode="_-* #,##0_-;\-* #,##0_-;_-* \-??_-;_-@_-">
                  <c:v>11212818.385879248</c:v>
                </c:pt>
                <c:pt idx="7" formatCode="_-* #,##0_-;\-* #,##0_-;_-* \-??_-;_-@_-">
                  <c:v>3718071.4578341213</c:v>
                </c:pt>
                <c:pt idx="8" formatCode="_-* #,##0_-;\-* #,##0_-;_-* \-??_-;_-@_-">
                  <c:v>5284015.1993563557</c:v>
                </c:pt>
                <c:pt idx="9" formatCode="_-* #,##0_-;\-* #,##0_-;_-* \-??_-;_-@_-">
                  <c:v>6913623.344205047</c:v>
                </c:pt>
                <c:pt idx="10" formatCode="_-* #,##0_-;\-* #,##0_-;_-* \-??_-;_-@_-">
                  <c:v>9470936.3021717574</c:v>
                </c:pt>
                <c:pt idx="11" formatCode="_-* #,##0_-;\-* #,##0_-;_-* \-??_-;_-@_-">
                  <c:v>11795991.817004133</c:v>
                </c:pt>
                <c:pt idx="12" formatCode="_-* #,##0_-;\-* #,##0_-;_-* \-??_-;_-@_-">
                  <c:v>13618103.576006979</c:v>
                </c:pt>
                <c:pt idx="13" formatCode="_-* #,##0_-;\-* #,##0_-;_-* \-??_-;_-@_-">
                  <c:v>16655969.797779072</c:v>
                </c:pt>
                <c:pt idx="14" formatCode="_-* #,##0_-;\-* #,##0_-;_-* \-??_-;_-@_-">
                  <c:v>24909127.422499284</c:v>
                </c:pt>
                <c:pt idx="15" formatCode="_-* #,##0_-;\-* #,##0_-;_-* \-??_-;_-@_-">
                  <c:v>23529650.890743762</c:v>
                </c:pt>
                <c:pt idx="16" formatCode="_-* #,##0_-;\-* #,##0_-;_-* \-??_-;_-@_-">
                  <c:v>25311296.008503586</c:v>
                </c:pt>
                <c:pt idx="17" formatCode="_-* #,##0_-;\-* #,##0_-;_-* \-??_-;_-@_-">
                  <c:v>32102682.230898786</c:v>
                </c:pt>
                <c:pt idx="18" formatCode="_-* #,##0_-;\-* #,##0_-;_-* \-??_-;_-@_-">
                  <c:v>34749501.182819992</c:v>
                </c:pt>
                <c:pt idx="19" formatCode="_-* #,##0_-;\-* #,##0_-;_-* \-??_-;_-@_-">
                  <c:v>38879246.562304355</c:v>
                </c:pt>
                <c:pt idx="20" formatCode="_-* #,##0_-;\-* #,##0_-;_-* \-??_-;_-@_-">
                  <c:v>41154829.84763667</c:v>
                </c:pt>
                <c:pt idx="21" formatCode="_-* #,##0_-;\-* #,##0_-;_-* \-??_-;_-@_-">
                  <c:v>40734470.132451564</c:v>
                </c:pt>
                <c:pt idx="22" formatCode="_-* #,##0_-;\-* #,##0_-;_-* \-??_-;_-@_-">
                  <c:v>30995097.110403288</c:v>
                </c:pt>
                <c:pt idx="23" formatCode="_-* #,##0_-;\-* #,##0_-;_-* \-??_-;_-@_-">
                  <c:v>27549860.155095696</c:v>
                </c:pt>
                <c:pt idx="24" formatCode="_-* #,##0_-;\-* #,##0_-;_-* \-??_-;_-@_-">
                  <c:v>27482268.902922772</c:v>
                </c:pt>
                <c:pt idx="25" formatCode="_-* #,##0_-;\-* #,##0_-;_-* \-??_-;_-@_-">
                  <c:v>26148610.03889497</c:v>
                </c:pt>
                <c:pt idx="26" formatCode="_-* #,##0_-;\-* #,##0_-;_-* \-??_-;_-@_-">
                  <c:v>26450234.951927796</c:v>
                </c:pt>
                <c:pt idx="27" formatCode="_-* #,##0_-;\-* #,##0_-;_-* \-??_-;_-@_-">
                  <c:v>35107175.371103331</c:v>
                </c:pt>
                <c:pt idx="28" formatCode="_-* #,##0_-;\-* #,##0_-;_-* \-??_-;_-@_-">
                  <c:v>33533143.213661019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DA-45BD-B844-C01BC4EDBE5B}"/>
            </c:ext>
          </c:extLst>
        </c:ser>
        <c:ser>
          <c:idx val="2"/>
          <c:order val="2"/>
          <c:tx>
            <c:strRef>
              <c:f>GGBR4!$M$24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GGBR4!$N$21:$AP$21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GGBR4!$N$24:$AP$24</c:f>
              <c:numCache>
                <c:formatCode>General</c:formatCode>
                <c:ptCount val="29"/>
                <c:pt idx="2" formatCode="_-* #,##0_-;\-* #,##0_-;_-* \-??_-;_-@_-">
                  <c:v>377166.18703999999</c:v>
                </c:pt>
                <c:pt idx="3" formatCode="_-* #,##0_-;\-* #,##0_-;_-* \-??_-;_-@_-">
                  <c:v>828018.59149999998</c:v>
                </c:pt>
                <c:pt idx="4" formatCode="_-* #,##0_-;\-* #,##0_-;_-* \-??_-;_-@_-">
                  <c:v>536181.91628999996</c:v>
                </c:pt>
                <c:pt idx="5" formatCode="_-* #,##0_-;\-* #,##0_-;_-* \-??_-;_-@_-">
                  <c:v>17428087.655999999</c:v>
                </c:pt>
                <c:pt idx="6" formatCode="_-* #,##0_-;\-* #,##0_-;_-* \-??_-;_-@_-">
                  <c:v>16748049.408</c:v>
                </c:pt>
                <c:pt idx="7" formatCode="_-* #,##0_-;\-* #,##0_-;_-* \-??_-;_-@_-">
                  <c:v>2198448.1589000002</c:v>
                </c:pt>
                <c:pt idx="8" formatCode="_-* #,##0_-;\-* #,##0_-;_-* \-??_-;_-@_-">
                  <c:v>3438305.6164000002</c:v>
                </c:pt>
                <c:pt idx="9" formatCode="_-* #,##0_-;\-* #,##0_-;_-* \-??_-;_-@_-">
                  <c:v>8393780.6199999992</c:v>
                </c:pt>
                <c:pt idx="10" formatCode="_-* #,##0_-;\-* #,##0_-;_-* \-??_-;_-@_-">
                  <c:v>13401296.5</c:v>
                </c:pt>
                <c:pt idx="11" formatCode="_-* #,##0_-;\-* #,##0_-;_-* \-??_-;_-@_-">
                  <c:v>15885852.699999999</c:v>
                </c:pt>
                <c:pt idx="12" formatCode="_-* #,##0_-;\-* #,##0_-;_-* \-??_-;_-@_-">
                  <c:v>22256683.579999998</c:v>
                </c:pt>
                <c:pt idx="13" formatCode="_-* #,##0_-;\-* #,##0_-;_-* \-??_-;_-@_-">
                  <c:v>32239044.739999998</c:v>
                </c:pt>
                <c:pt idx="14" formatCode="_-* #,##0_-;\-* #,##0_-;_-* \-??_-;_-@_-">
                  <c:v>19901731.600000001</c:v>
                </c:pt>
                <c:pt idx="15" formatCode="_-* #,##0_-;\-* #,##0_-;_-* \-??_-;_-@_-">
                  <c:v>37941907.479999997</c:v>
                </c:pt>
                <c:pt idx="16" formatCode="_-* #,##0_-;\-* #,##0_-;_-* \-??_-;_-@_-">
                  <c:v>31141151.02</c:v>
                </c:pt>
                <c:pt idx="17" formatCode="_-* #,##0_-;\-* #,##0_-;_-* \-??_-;_-@_-">
                  <c:v>23434183.785999998</c:v>
                </c:pt>
                <c:pt idx="18" formatCode="_-* #,##0_-;\-* #,##0_-;_-* \-??_-;_-@_-">
                  <c:v>29048061.258000001</c:v>
                </c:pt>
                <c:pt idx="19" formatCode="_-* #,##0_-;\-* #,##0_-;_-* \-??_-;_-@_-">
                  <c:v>29396537.142999999</c:v>
                </c:pt>
                <c:pt idx="20" formatCode="_-* #,##0_-;\-* #,##0_-;_-* \-??_-;_-@_-">
                  <c:v>15448754.681</c:v>
                </c:pt>
                <c:pt idx="21" formatCode="_-* #,##0_-;\-* #,##0_-;_-* \-??_-;_-@_-">
                  <c:v>7173878.3103</c:v>
                </c:pt>
                <c:pt idx="22" formatCode="_-* #,##0_-;\-* #,##0_-;_-* \-??_-;_-@_-">
                  <c:v>16798047.122000001</c:v>
                </c:pt>
                <c:pt idx="23" formatCode="_-* #,##0_-;\-* #,##0_-;_-* \-??_-;_-@_-">
                  <c:v>20011024.068</c:v>
                </c:pt>
                <c:pt idx="24" formatCode="_-* #,##0_-;\-* #,##0_-;_-* \-??_-;_-@_-">
                  <c:v>23661566.776000001</c:v>
                </c:pt>
                <c:pt idx="25" formatCode="_-* #,##0_-;\-* #,##0_-;_-* \-??_-;_-@_-">
                  <c:v>32325937.899</c:v>
                </c:pt>
                <c:pt idx="26" formatCode="_-* #,##0_-;\-* #,##0_-;_-* \-??_-;_-@_-">
                  <c:v>39208449.141999997</c:v>
                </c:pt>
                <c:pt idx="27" formatCode="_-* #,##0_-;\-* #,##0_-;_-* \-??_-;_-@_-">
                  <c:v>43759114.585000001</c:v>
                </c:pt>
                <c:pt idx="28" formatCode="_-* #,##0_-;\-* #,##0_-;_-* \-??_-;_-@_-">
                  <c:v>46079187.652999997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DA-45BD-B844-C01BC4EDB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8048197"/>
        <c:axId val="22164312"/>
      </c:lineChart>
      <c:catAx>
        <c:axId val="380481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22164312"/>
        <c:crosses val="autoZero"/>
        <c:auto val="1"/>
        <c:lblAlgn val="ctr"/>
        <c:lblOffset val="100"/>
        <c:noMultiLvlLbl val="0"/>
      </c:catAx>
      <c:valAx>
        <c:axId val="221643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38048197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UGPA3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UGPA3!$M$22</c:f>
              <c:strCache>
                <c:ptCount val="1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UGPA3!$N$21:$AP$21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UGPA3!$N$22:$AP$22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787799</c:v>
                </c:pt>
                <c:pt idx="4" formatCode="_-* #,##0_-;\-* #,##0_-;_-* \-??_-;_-@_-">
                  <c:v>474065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799893</c:v>
                </c:pt>
                <c:pt idx="8" formatCode="_-* #,##0_-;\-* #,##0_-;_-* \-??_-;_-@_-">
                  <c:v>1191084</c:v>
                </c:pt>
                <c:pt idx="9" formatCode="_-* #,##0_-;\-* #,##0_-;_-* \-??_-;_-@_-">
                  <c:v>1356693</c:v>
                </c:pt>
                <c:pt idx="10" formatCode="_-* #,##0_-;\-* #,##0_-;_-* \-??_-;_-@_-">
                  <c:v>1600502</c:v>
                </c:pt>
                <c:pt idx="11" formatCode="_-* #,##0_-;\-* #,##0_-;_-* \-??_-;_-@_-">
                  <c:v>1790165</c:v>
                </c:pt>
                <c:pt idx="12" formatCode="_-* #,##0_-;\-* #,##0_-;_-* \-??_-;_-@_-">
                  <c:v>1933511</c:v>
                </c:pt>
                <c:pt idx="13" formatCode="_-* #,##0_-;\-* #,##0_-;_-* \-??_-;_-@_-">
                  <c:v>4600785</c:v>
                </c:pt>
                <c:pt idx="14" formatCode="_-* #,##0_-;\-* #,##0_-;_-* \-??_-;_-@_-">
                  <c:v>4650076</c:v>
                </c:pt>
                <c:pt idx="15" formatCode="_-* #,##0_-;\-* #,##0_-;_-* \-??_-;_-@_-">
                  <c:v>4829274</c:v>
                </c:pt>
                <c:pt idx="16" formatCode="_-* #,##0_-;\-* #,##0_-;_-* \-??_-;_-@_-">
                  <c:v>5153330</c:v>
                </c:pt>
                <c:pt idx="17" formatCode="_-* #,##0_-;\-* #,##0_-;_-* \-??_-;_-@_-">
                  <c:v>5551067</c:v>
                </c:pt>
                <c:pt idx="18" formatCode="_-* #,##0_-;\-* #,##0_-;_-* \-??_-;_-@_-">
                  <c:v>5990241</c:v>
                </c:pt>
                <c:pt idx="19" formatCode="_-* #,##0_-;\-* #,##0_-;_-* \-??_-;_-@_-">
                  <c:v>6519961</c:v>
                </c:pt>
                <c:pt idx="20" formatCode="_-* #,##0_-;\-* #,##0_-;_-* \-??_-;_-@_-">
                  <c:v>7697999</c:v>
                </c:pt>
                <c:pt idx="21" formatCode="_-* #,##0_-;\-* #,##0_-;_-* \-??_-;_-@_-">
                  <c:v>7945041</c:v>
                </c:pt>
                <c:pt idx="22" formatCode="_-* #,##0_-;\-* #,##0_-;_-* \-??_-;_-@_-">
                  <c:v>8527623</c:v>
                </c:pt>
                <c:pt idx="23" formatCode="_-* #,##0_-;\-* #,##0_-;_-* \-??_-;_-@_-">
                  <c:v>9381261</c:v>
                </c:pt>
                <c:pt idx="24" formatCode="_-* #,##0_-;\-* #,##0_-;_-* \-??_-;_-@_-">
                  <c:v>9448105</c:v>
                </c:pt>
                <c:pt idx="25" formatCode="_-* #,##0_-;\-* #,##0_-;_-* \-??_-;_-@_-">
                  <c:v>9458255</c:v>
                </c:pt>
                <c:pt idx="26" formatCode="_-* #,##0_-;\-* #,##0_-;_-* \-??_-;_-@_-">
                  <c:v>9533746</c:v>
                </c:pt>
                <c:pt idx="27" formatCode="_-* #,##0_-;\-* #,##0_-;_-* \-??_-;_-@_-">
                  <c:v>10066921</c:v>
                </c:pt>
                <c:pt idx="28" formatCode="_-* #,##0_-;\-* #,##0_-;_-* \-??_-;_-@_-">
                  <c:v>11708741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AD-4B56-80B8-DA0464582D85}"/>
            </c:ext>
          </c:extLst>
        </c:ser>
        <c:ser>
          <c:idx val="1"/>
          <c:order val="1"/>
          <c:tx>
            <c:strRef>
              <c:f>UGPA3!$M$23</c:f>
              <c:strCache>
                <c:ptCount val="1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UGPA3!$N$21:$AP$21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UGPA3!$N$23:$AP$23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787799</c:v>
                </c:pt>
                <c:pt idx="4" formatCode="_-* #,##0_-;\-* #,##0_-;_-* \-??_-;_-@_-">
                  <c:v>480064.43090000004</c:v>
                </c:pt>
                <c:pt idx="5" formatCode="_-* #,##0_-;\-* #,##0_-;_-* \-??_-;_-@_-">
                  <c:v>10570490.344066691</c:v>
                </c:pt>
                <c:pt idx="6" formatCode="_-* #,##0_-;\-* #,##0_-;_-* \-??_-;_-@_-">
                  <c:v>10674444.345432399</c:v>
                </c:pt>
                <c:pt idx="7" formatCode="_-* #,##0_-;\-* #,##0_-;_-* \-??_-;_-@_-">
                  <c:v>965524.21350889804</c:v>
                </c:pt>
                <c:pt idx="8" formatCode="_-* #,##0_-;\-* #,##0_-;_-* \-??_-;_-@_-">
                  <c:v>1471495.2906720436</c:v>
                </c:pt>
                <c:pt idx="9" formatCode="_-* #,##0_-;\-* #,##0_-;_-* \-??_-;_-@_-">
                  <c:v>1736011.1455261307</c:v>
                </c:pt>
                <c:pt idx="10" formatCode="_-* #,##0_-;\-* #,##0_-;_-* \-??_-;_-@_-">
                  <c:v>2065907.7890400263</c:v>
                </c:pt>
                <c:pt idx="11" formatCode="_-* #,##0_-;\-* #,##0_-;_-* \-??_-;_-@_-">
                  <c:v>2307530.8087666896</c:v>
                </c:pt>
                <c:pt idx="12" formatCode="_-* #,##0_-;\-* #,##0_-;_-* \-??_-;_-@_-">
                  <c:v>2444452.3437754265</c:v>
                </c:pt>
                <c:pt idx="13" formatCode="_-* #,##0_-;\-* #,##0_-;_-* \-??_-;_-@_-">
                  <c:v>5155370.4917005841</c:v>
                </c:pt>
                <c:pt idx="14" formatCode="_-* #,##0_-;\-* #,##0_-;_-* \-??_-;_-@_-">
                  <c:v>5341722.4060524721</c:v>
                </c:pt>
                <c:pt idx="15" formatCode="_-* #,##0_-;\-* #,##0_-;_-* \-??_-;_-@_-">
                  <c:v>5616507.6766836774</c:v>
                </c:pt>
                <c:pt idx="16" formatCode="_-* #,##0_-;\-* #,##0_-;_-* \-??_-;_-@_-">
                  <c:v>6172908.0297098653</c:v>
                </c:pt>
                <c:pt idx="17" formatCode="_-* #,##0_-;\-* #,##0_-;_-* \-??_-;_-@_-">
                  <c:v>6898723.2034562379</c:v>
                </c:pt>
                <c:pt idx="18" formatCode="_-* #,##0_-;\-* #,##0_-;_-* \-??_-;_-@_-">
                  <c:v>7532380.3561909273</c:v>
                </c:pt>
                <c:pt idx="19" formatCode="_-* #,##0_-;\-* #,##0_-;_-* \-??_-;_-@_-">
                  <c:v>8383280.2695795326</c:v>
                </c:pt>
                <c:pt idx="20" formatCode="_-* #,##0_-;\-* #,##0_-;_-* \-??_-;_-@_-">
                  <c:v>9816635.1278857924</c:v>
                </c:pt>
                <c:pt idx="21" formatCode="_-* #,##0_-;\-* #,##0_-;_-* \-??_-;_-@_-">
                  <c:v>10131422.885735001</c:v>
                </c:pt>
                <c:pt idx="22" formatCode="_-* #,##0_-;\-* #,##0_-;_-* \-??_-;_-@_-">
                  <c:v>10511857.646334635</c:v>
                </c:pt>
                <c:pt idx="23" formatCode="_-* #,##0_-;\-* #,##0_-;_-* \-??_-;_-@_-">
                  <c:v>10982111.439312613</c:v>
                </c:pt>
                <c:pt idx="24" formatCode="_-* #,##0_-;\-* #,##0_-;_-* \-??_-;_-@_-">
                  <c:v>11009294.249393487</c:v>
                </c:pt>
                <c:pt idx="25" formatCode="_-* #,##0_-;\-* #,##0_-;_-* \-??_-;_-@_-">
                  <c:v>10903613.678926708</c:v>
                </c:pt>
                <c:pt idx="26" formatCode="_-* #,##0_-;\-* #,##0_-;_-* \-??_-;_-@_-">
                  <c:v>10459054.648607302</c:v>
                </c:pt>
                <c:pt idx="27" formatCode="_-* #,##0_-;\-* #,##0_-;_-* \-??_-;_-@_-">
                  <c:v>10464179.22612381</c:v>
                </c:pt>
                <c:pt idx="28" formatCode="_-* #,##0_-;\-* #,##0_-;_-* \-??_-;_-@_-">
                  <c:v>11505968.424048303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AD-4B56-80B8-DA0464582D85}"/>
            </c:ext>
          </c:extLst>
        </c:ser>
        <c:ser>
          <c:idx val="2"/>
          <c:order val="2"/>
          <c:tx>
            <c:strRef>
              <c:f>UGPA3!$M$24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UGPA3!$N$21:$AP$21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UGPA3!$N$24:$AP$24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17428087.655999999</c:v>
                </c:pt>
                <c:pt idx="6" formatCode="_-* #,##0_-;\-* #,##0_-;_-* \-??_-;_-@_-">
                  <c:v>16748049.408</c:v>
                </c:pt>
                <c:pt idx="7" formatCode="_-* #,##0_-;\-* #,##0_-;_-* \-??_-;_-@_-">
                  <c:v>991099.99462999997</c:v>
                </c:pt>
                <c:pt idx="8" formatCode="_-* #,##0_-;\-* #,##0_-;_-* \-??_-;_-@_-">
                  <c:v>1483612.9802999999</c:v>
                </c:pt>
                <c:pt idx="9" formatCode="_-* #,##0_-;\-* #,##0_-;_-* \-??_-;_-@_-">
                  <c:v>2358206.8108999999</c:v>
                </c:pt>
                <c:pt idx="10" formatCode="_-* #,##0_-;\-* #,##0_-;_-* \-??_-;_-@_-">
                  <c:v>3544599.6030000001</c:v>
                </c:pt>
                <c:pt idx="11" formatCode="_-* #,##0_-;\-* #,##0_-;_-* \-??_-;_-@_-">
                  <c:v>2636920</c:v>
                </c:pt>
                <c:pt idx="12" formatCode="_-* #,##0_-;\-* #,##0_-;_-* \-??_-;_-@_-">
                  <c:v>3975881.43</c:v>
                </c:pt>
                <c:pt idx="13" formatCode="_-* #,##0_-;\-* #,##0_-;_-* \-??_-;_-@_-">
                  <c:v>5086494</c:v>
                </c:pt>
                <c:pt idx="14" formatCode="_-* #,##0_-;\-* #,##0_-;_-* \-??_-;_-@_-">
                  <c:v>6804188.1600000001</c:v>
                </c:pt>
                <c:pt idx="15" formatCode="_-* #,##0_-;\-* #,##0_-;_-* \-??_-;_-@_-">
                  <c:v>10730814.609999999</c:v>
                </c:pt>
                <c:pt idx="16" formatCode="_-* #,##0_-;\-* #,##0_-;_-* \-??_-;_-@_-">
                  <c:v>14078250.1</c:v>
                </c:pt>
                <c:pt idx="17" formatCode="_-* #,##0_-;\-* #,##0_-;_-* \-??_-;_-@_-">
                  <c:v>17163199.903999999</c:v>
                </c:pt>
                <c:pt idx="18" formatCode="_-* #,##0_-;\-* #,##0_-;_-* \-??_-;_-@_-">
                  <c:v>24830531.848000001</c:v>
                </c:pt>
                <c:pt idx="19" formatCode="_-* #,##0_-;\-* #,##0_-;_-* \-??_-;_-@_-">
                  <c:v>30012276.017999999</c:v>
                </c:pt>
                <c:pt idx="20" formatCode="_-* #,##0_-;\-* #,##0_-;_-* \-??_-;_-@_-">
                  <c:v>28259269.563000001</c:v>
                </c:pt>
                <c:pt idx="21" formatCode="_-* #,##0_-;\-* #,##0_-;_-* \-??_-;_-@_-">
                  <c:v>32829412.083000001</c:v>
                </c:pt>
                <c:pt idx="22" formatCode="_-* #,##0_-;\-* #,##0_-;_-* \-??_-;_-@_-">
                  <c:v>37187087.502999999</c:v>
                </c:pt>
                <c:pt idx="23" formatCode="_-* #,##0_-;\-* #,##0_-;_-* \-??_-;_-@_-">
                  <c:v>40752280.5</c:v>
                </c:pt>
                <c:pt idx="24" formatCode="_-* #,##0_-;\-* #,##0_-;_-* \-??_-;_-@_-">
                  <c:v>28888395.18</c:v>
                </c:pt>
                <c:pt idx="25" formatCode="_-* #,##0_-;\-* #,##0_-;_-* \-??_-;_-@_-">
                  <c:v>27672041.699000001</c:v>
                </c:pt>
                <c:pt idx="26" formatCode="_-* #,##0_-;\-* #,##0_-;_-* \-??_-;_-@_-">
                  <c:v>25882916.881999999</c:v>
                </c:pt>
                <c:pt idx="27" formatCode="_-* #,##0_-;\-* #,##0_-;_-* \-??_-;_-@_-">
                  <c:v>15868247.755999999</c:v>
                </c:pt>
                <c:pt idx="28" formatCode="_-* #,##0_-;\-* #,##0_-;_-* \-??_-;_-@_-">
                  <c:v>13810453.387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AD-4B56-80B8-DA0464582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89343736"/>
        <c:axId val="37846392"/>
      </c:lineChart>
      <c:catAx>
        <c:axId val="89343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37846392"/>
        <c:crosses val="autoZero"/>
        <c:auto val="1"/>
        <c:lblAlgn val="ctr"/>
        <c:lblOffset val="100"/>
        <c:noMultiLvlLbl val="0"/>
      </c:catAx>
      <c:valAx>
        <c:axId val="378463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89343736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JBSS3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JBSS3!$M$22</c:f>
              <c:strCache>
                <c:ptCount val="1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JBSS3!$N$21:$AP$21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JBSS3!$N$22:$AP$22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344781</c:v>
                </c:pt>
                <c:pt idx="11" formatCode="_-* #,##0_-;\-* #,##0_-;_-* \-??_-;_-@_-">
                  <c:v>395052</c:v>
                </c:pt>
                <c:pt idx="12" formatCode="_-* #,##0_-;\-* #,##0_-;_-* \-??_-;_-@_-">
                  <c:v>183045</c:v>
                </c:pt>
                <c:pt idx="13" formatCode="_-* #,##0_-;\-* #,##0_-;_-* \-??_-;_-@_-">
                  <c:v>3054588</c:v>
                </c:pt>
                <c:pt idx="14" formatCode="_-* #,##0_-;\-* #,##0_-;_-* \-??_-;_-@_-">
                  <c:v>6134411</c:v>
                </c:pt>
                <c:pt idx="15" formatCode="_-* #,##0_-;\-* #,##0_-;_-* \-??_-;_-@_-">
                  <c:v>16728086</c:v>
                </c:pt>
                <c:pt idx="16" formatCode="_-* #,##0_-;\-* #,##0_-;_-* \-??_-;_-@_-">
                  <c:v>17594371</c:v>
                </c:pt>
                <c:pt idx="17" formatCode="_-* #,##0_-;\-* #,##0_-;_-* \-??_-;_-@_-">
                  <c:v>20663822</c:v>
                </c:pt>
                <c:pt idx="18" formatCode="_-* #,##0_-;\-* #,##0_-;_-* \-??_-;_-@_-">
                  <c:v>20610547</c:v>
                </c:pt>
                <c:pt idx="19" formatCode="_-* #,##0_-;\-* #,##0_-;_-* \-??_-;_-@_-">
                  <c:v>21951788</c:v>
                </c:pt>
                <c:pt idx="20" formatCode="_-* #,##0_-;\-* #,##0_-;_-* \-??_-;_-@_-">
                  <c:v>24104328</c:v>
                </c:pt>
                <c:pt idx="21" formatCode="_-* #,##0_-;\-* #,##0_-;_-* \-??_-;_-@_-">
                  <c:v>28029243</c:v>
                </c:pt>
                <c:pt idx="22" formatCode="_-* #,##0_-;\-* #,##0_-;_-* \-??_-;_-@_-">
                  <c:v>23771325</c:v>
                </c:pt>
                <c:pt idx="23" formatCode="_-* #,##0_-;\-* #,##0_-;_-* \-??_-;_-@_-">
                  <c:v>24287612</c:v>
                </c:pt>
                <c:pt idx="24" formatCode="_-* #,##0_-;\-* #,##0_-;_-* \-??_-;_-@_-">
                  <c:v>25646996</c:v>
                </c:pt>
                <c:pt idx="25" formatCode="_-* #,##0_-;\-* #,##0_-;_-* \-??_-;_-@_-">
                  <c:v>29636966</c:v>
                </c:pt>
                <c:pt idx="26" formatCode="_-* #,##0_-;\-* #,##0_-;_-* \-??_-;_-@_-">
                  <c:v>40119322</c:v>
                </c:pt>
                <c:pt idx="27" formatCode="_-* #,##0_-;\-* #,##0_-;_-* \-??_-;_-@_-">
                  <c:v>44119292</c:v>
                </c:pt>
                <c:pt idx="28" formatCode="_-* #,##0_-;\-* #,##0_-;_-* \-??_-;_-@_-">
                  <c:v>46344166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48-44B8-A402-71E90247B979}"/>
            </c:ext>
          </c:extLst>
        </c:ser>
        <c:ser>
          <c:idx val="1"/>
          <c:order val="1"/>
          <c:tx>
            <c:strRef>
              <c:f>JBSS3!$M$23</c:f>
              <c:strCache>
                <c:ptCount val="1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JBSS3!$N$21:$AP$21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JBSS3!$N$23:$AP$23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354917.158</c:v>
                </c:pt>
                <c:pt idx="11" formatCode="_-* #,##0_-;\-* #,##0_-;_-* \-??_-;_-@_-">
                  <c:v>422335.06194098614</c:v>
                </c:pt>
                <c:pt idx="12" formatCode="_-* #,##0_-;\-* #,##0_-;_-* \-??_-;_-@_-">
                  <c:v>219166.54417152156</c:v>
                </c:pt>
                <c:pt idx="13" formatCode="_-* #,##0_-;\-* #,##0_-;_-* \-??_-;_-@_-">
                  <c:v>3172620.6541621666</c:v>
                </c:pt>
                <c:pt idx="14" formatCode="_-* #,##0_-;\-* #,##0_-;_-* \-??_-;_-@_-">
                  <c:v>6476716.8397535123</c:v>
                </c:pt>
                <c:pt idx="15" formatCode="_-* #,##0_-;\-* #,##0_-;_-* \-??_-;_-@_-">
                  <c:v>17464882.78008819</c:v>
                </c:pt>
                <c:pt idx="16" formatCode="_-* #,##0_-;\-* #,##0_-;_-* \-??_-;_-@_-">
                  <c:v>19574875.530561335</c:v>
                </c:pt>
                <c:pt idx="17" formatCode="_-* #,##0_-;\-* #,##0_-;_-* \-??_-;_-@_-">
                  <c:v>24552728.12371606</c:v>
                </c:pt>
                <c:pt idx="18" formatCode="_-* #,##0_-;\-* #,##0_-;_-* \-??_-;_-@_-">
                  <c:v>25520041.56686043</c:v>
                </c:pt>
                <c:pt idx="19" formatCode="_-* #,##0_-;\-* #,##0_-;_-* \-??_-;_-@_-">
                  <c:v>28903759.021438513</c:v>
                </c:pt>
                <c:pt idx="20" formatCode="_-* #,##0_-;\-* #,##0_-;_-* \-??_-;_-@_-">
                  <c:v>32513516.950892072</c:v>
                </c:pt>
                <c:pt idx="21" formatCode="_-* #,##0_-;\-* #,##0_-;_-* \-??_-;_-@_-">
                  <c:v>38911220.87147218</c:v>
                </c:pt>
                <c:pt idx="22" formatCode="_-* #,##0_-;\-* #,##0_-;_-* \-??_-;_-@_-">
                  <c:v>34761466.962120272</c:v>
                </c:pt>
                <c:pt idx="23" formatCode="_-* #,##0_-;\-* #,##0_-;_-* \-??_-;_-@_-">
                  <c:v>34907304.046311118</c:v>
                </c:pt>
                <c:pt idx="24" formatCode="_-* #,##0_-;\-* #,##0_-;_-* \-??_-;_-@_-">
                  <c:v>38264949.209615774</c:v>
                </c:pt>
                <c:pt idx="25" formatCode="_-* #,##0_-;\-* #,##0_-;_-* \-??_-;_-@_-">
                  <c:v>43484815.448783636</c:v>
                </c:pt>
                <c:pt idx="26" formatCode="_-* #,##0_-;\-* #,##0_-;_-* \-??_-;_-@_-">
                  <c:v>54111331.919489011</c:v>
                </c:pt>
                <c:pt idx="27" formatCode="_-* #,##0_-;\-* #,##0_-;_-* \-??_-;_-@_-">
                  <c:v>60345470.985242628</c:v>
                </c:pt>
                <c:pt idx="28" formatCode="_-* #,##0_-;\-* #,##0_-;_-* \-??_-;_-@_-">
                  <c:v>62612100.110930376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48-44B8-A402-71E90247B979}"/>
            </c:ext>
          </c:extLst>
        </c:ser>
        <c:ser>
          <c:idx val="2"/>
          <c:order val="2"/>
          <c:tx>
            <c:strRef>
              <c:f>JBSS3!$M$24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JBSS3!$N$21:$AP$21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JBSS3!$N$24:$AP$24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17428087.655999999</c:v>
                </c:pt>
                <c:pt idx="6" formatCode="_-* #,##0_-;\-* #,##0_-;_-* \-??_-;_-@_-">
                  <c:v>16748049.408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0</c:v>
                </c:pt>
                <c:pt idx="11" formatCode="_-* #,##0_-;\-* #,##0_-;_-* \-??_-;_-@_-">
                  <c:v>0</c:v>
                </c:pt>
                <c:pt idx="12" formatCode="_-* #,##0_-;\-* #,##0_-;_-* \-??_-;_-@_-">
                  <c:v>0</c:v>
                </c:pt>
                <c:pt idx="13" formatCode="_-* #,##0_-;\-* #,##0_-;_-* \-??_-;_-@_-">
                  <c:v>6464400</c:v>
                </c:pt>
                <c:pt idx="14" formatCode="_-* #,##0_-;\-* #,##0_-;_-* \-??_-;_-@_-">
                  <c:v>6920993.9391999999</c:v>
                </c:pt>
                <c:pt idx="15" formatCode="_-* #,##0_-;\-* #,##0_-;_-* \-??_-;_-@_-">
                  <c:v>21654846.423999999</c:v>
                </c:pt>
                <c:pt idx="16" formatCode="_-* #,##0_-;\-* #,##0_-;_-* \-??_-;_-@_-">
                  <c:v>17872790.039000001</c:v>
                </c:pt>
                <c:pt idx="17" formatCode="_-* #,##0_-;\-* #,##0_-;_-* \-??_-;_-@_-">
                  <c:v>18022684.967999998</c:v>
                </c:pt>
                <c:pt idx="18" formatCode="_-* #,##0_-;\-* #,##0_-;_-* \-??_-;_-@_-">
                  <c:v>17076744.677999999</c:v>
                </c:pt>
                <c:pt idx="19" formatCode="_-* #,##0_-;\-* #,##0_-;_-* \-??_-;_-@_-">
                  <c:v>25156340.079999998</c:v>
                </c:pt>
                <c:pt idx="20" formatCode="_-* #,##0_-;\-* #,##0_-;_-* \-??_-;_-@_-">
                  <c:v>32354722.691</c:v>
                </c:pt>
                <c:pt idx="21" formatCode="_-* #,##0_-;\-* #,##0_-;_-* \-??_-;_-@_-">
                  <c:v>34492401.512000002</c:v>
                </c:pt>
                <c:pt idx="22" formatCode="_-* #,##0_-;\-* #,##0_-;_-* \-??_-;_-@_-">
                  <c:v>31026199.576000001</c:v>
                </c:pt>
                <c:pt idx="23" formatCode="_-* #,##0_-;\-* #,##0_-;_-* \-??_-;_-@_-">
                  <c:v>26581915.370000001</c:v>
                </c:pt>
                <c:pt idx="24" formatCode="_-* #,##0_-;\-* #,##0_-;_-* \-??_-;_-@_-">
                  <c:v>30865422.265000001</c:v>
                </c:pt>
                <c:pt idx="25" formatCode="_-* #,##0_-;\-* #,##0_-;_-* \-??_-;_-@_-">
                  <c:v>68758050.807999998</c:v>
                </c:pt>
                <c:pt idx="26" formatCode="_-* #,##0_-;\-* #,##0_-;_-* \-??_-;_-@_-">
                  <c:v>61765024.954000004</c:v>
                </c:pt>
                <c:pt idx="27" formatCode="_-* #,##0_-;\-* #,##0_-;_-* \-??_-;_-@_-">
                  <c:v>87049860.662</c:v>
                </c:pt>
                <c:pt idx="28" formatCode="_-* #,##0_-;\-* #,##0_-;_-* \-??_-;_-@_-">
                  <c:v>48776378.976000004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48-44B8-A402-71E90247B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3705644"/>
        <c:axId val="82492154"/>
      </c:lineChart>
      <c:catAx>
        <c:axId val="437056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82492154"/>
        <c:crosses val="autoZero"/>
        <c:auto val="1"/>
        <c:lblAlgn val="ctr"/>
        <c:lblOffset val="100"/>
        <c:noMultiLvlLbl val="0"/>
      </c:catAx>
      <c:valAx>
        <c:axId val="8249215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4370564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VBBR3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VBBR3!$M$22</c:f>
              <c:strCache>
                <c:ptCount val="1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VBBR3!$N$21:$AP$21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VBBR3!$N$22:$AP$22</c:f>
              <c:numCache>
                <c:formatCode>General</c:formatCode>
                <c:ptCount val="29"/>
                <c:pt idx="2" formatCode="_-* #,##0_-;\-* #,##0_-;_-* \-??_-;_-@_-">
                  <c:v>1218194</c:v>
                </c:pt>
                <c:pt idx="3" formatCode="_-* #,##0_-;\-* #,##0_-;_-* \-??_-;_-@_-">
                  <c:v>1662464</c:v>
                </c:pt>
                <c:pt idx="4" formatCode="_-* #,##0_-;\-* #,##0_-;_-* \-??_-;_-@_-">
                  <c:v>1812259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2685759</c:v>
                </c:pt>
                <c:pt idx="8" formatCode="_-* #,##0_-;\-* #,##0_-;_-* \-??_-;_-@_-">
                  <c:v>3293226</c:v>
                </c:pt>
                <c:pt idx="9" formatCode="_-* #,##0_-;\-* #,##0_-;_-* \-??_-;_-@_-">
                  <c:v>4128396</c:v>
                </c:pt>
                <c:pt idx="10" formatCode="_-* #,##0_-;\-* #,##0_-;_-* \-??_-;_-@_-">
                  <c:v>6073856</c:v>
                </c:pt>
                <c:pt idx="11" formatCode="_-* #,##0_-;\-* #,##0_-;_-* \-??_-;_-@_-">
                  <c:v>8042186</c:v>
                </c:pt>
                <c:pt idx="12" formatCode="_-* #,##0_-;\-* #,##0_-;_-* \-??_-;_-@_-">
                  <c:v>9964638</c:v>
                </c:pt>
                <c:pt idx="13" formatCode="_-* #,##0_-;\-* #,##0_-;_-* \-??_-;_-@_-">
                  <c:v>12712505</c:v>
                </c:pt>
                <c:pt idx="14" formatCode="_-* #,##0_-;\-* #,##0_-;_-* \-??_-;_-@_-">
                  <c:v>20166502</c:v>
                </c:pt>
                <c:pt idx="15" formatCode="_-* #,##0_-;\-* #,##0_-;_-* \-??_-;_-@_-">
                  <c:v>18507473</c:v>
                </c:pt>
                <c:pt idx="16" formatCode="_-* #,##0_-;\-* #,##0_-;_-* \-??_-;_-@_-">
                  <c:v>19470442</c:v>
                </c:pt>
                <c:pt idx="17" formatCode="_-* #,##0_-;\-* #,##0_-;_-* \-??_-;_-@_-">
                  <c:v>24997469</c:v>
                </c:pt>
                <c:pt idx="18" formatCode="_-* #,##0_-;\-* #,##0_-;_-* \-??_-;_-@_-">
                  <c:v>27245604</c:v>
                </c:pt>
                <c:pt idx="19" formatCode="_-* #,##0_-;\-* #,##0_-;_-* \-??_-;_-@_-">
                  <c:v>30339079</c:v>
                </c:pt>
                <c:pt idx="20" formatCode="_-* #,##0_-;\-* #,##0_-;_-* \-??_-;_-@_-">
                  <c:v>32200819</c:v>
                </c:pt>
                <c:pt idx="21" formatCode="_-* #,##0_-;\-* #,##0_-;_-* \-??_-;_-@_-">
                  <c:v>31685801</c:v>
                </c:pt>
                <c:pt idx="22" formatCode="_-* #,##0_-;\-* #,##0_-;_-* \-??_-;_-@_-">
                  <c:v>24028136</c:v>
                </c:pt>
                <c:pt idx="23" formatCode="_-* #,##0_-;\-* #,##0_-;_-* \-??_-;_-@_-">
                  <c:v>23645201</c:v>
                </c:pt>
                <c:pt idx="24" formatCode="_-* #,##0_-;\-* #,##0_-;_-* \-??_-;_-@_-">
                  <c:v>25730604</c:v>
                </c:pt>
                <c:pt idx="25" formatCode="_-* #,##0_-;\-* #,##0_-;_-* \-??_-;_-@_-">
                  <c:v>26955701</c:v>
                </c:pt>
                <c:pt idx="26" formatCode="_-* #,##0_-;\-* #,##0_-;_-* \-??_-;_-@_-">
                  <c:v>30860271</c:v>
                </c:pt>
                <c:pt idx="27" formatCode="_-* #,##0_-;\-* #,##0_-;_-* \-??_-;_-@_-">
                  <c:v>42604282</c:v>
                </c:pt>
                <c:pt idx="28" formatCode="_-* #,##0_-;\-* #,##0_-;_-* \-??_-;_-@_-">
                  <c:v>46116194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93-42E0-953B-4FA719B8FF18}"/>
            </c:ext>
          </c:extLst>
        </c:ser>
        <c:ser>
          <c:idx val="1"/>
          <c:order val="1"/>
          <c:tx>
            <c:strRef>
              <c:f>VBBR3!$M$23</c:f>
              <c:strCache>
                <c:ptCount val="1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VBBR3!$N$21:$AP$21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VBBR3!$N$23:$AP$23</c:f>
              <c:numCache>
                <c:formatCode>General</c:formatCode>
                <c:ptCount val="29"/>
                <c:pt idx="2" formatCode="_-* #,##0_-;\-* #,##0_-;_-* \-??_-;_-@_-">
                  <c:v>1218194</c:v>
                </c:pt>
                <c:pt idx="3" formatCode="_-* #,##0_-;\-* #,##0_-;_-* \-??_-;_-@_-">
                  <c:v>1662464</c:v>
                </c:pt>
                <c:pt idx="4" formatCode="_-* #,##0_-;\-* #,##0_-;_-* \-??_-;_-@_-">
                  <c:v>1812259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10565590.000000002</c:v>
                </c:pt>
                <c:pt idx="7" formatCode="_-* #,##0_-;\-* #,##0_-;_-* \-??_-;_-@_-">
                  <c:v>2714346.6239999998</c:v>
                </c:pt>
                <c:pt idx="8" formatCode="_-* #,##0_-;\-* #,##0_-;_-* \-??_-;_-@_-">
                  <c:v>3441422.9817038807</c:v>
                </c:pt>
                <c:pt idx="9" formatCode="_-* #,##0_-;\-* #,##0_-;_-* \-??_-;_-@_-">
                  <c:v>4348247.2513907151</c:v>
                </c:pt>
                <c:pt idx="10" formatCode="_-* #,##0_-;\-* #,##0_-;_-* \-??_-;_-@_-">
                  <c:v>6318467.9506537337</c:v>
                </c:pt>
                <c:pt idx="11" formatCode="_-* #,##0_-;\-* #,##0_-;_-* \-??_-;_-@_-">
                  <c:v>8304701.0498567531</c:v>
                </c:pt>
                <c:pt idx="12" formatCode="_-* #,##0_-;\-* #,##0_-;_-* \-??_-;_-@_-">
                  <c:v>10233354.842333112</c:v>
                </c:pt>
                <c:pt idx="13" formatCode="_-* #,##0_-;\-* #,##0_-;_-* \-??_-;_-@_-">
                  <c:v>12993958.139609126</c:v>
                </c:pt>
                <c:pt idx="14" formatCode="_-* #,##0_-;\-* #,##0_-;_-* \-??_-;_-@_-">
                  <c:v>20468511.435005292</c:v>
                </c:pt>
                <c:pt idx="15" formatCode="_-* #,##0_-;\-* #,##0_-;_-* \-??_-;_-@_-">
                  <c:v>18899334.907495681</c:v>
                </c:pt>
                <c:pt idx="16" formatCode="_-* #,##0_-;\-* #,##0_-;_-* \-??_-;_-@_-">
                  <c:v>20115217.850808278</c:v>
                </c:pt>
                <c:pt idx="17" formatCode="_-* #,##0_-;\-* #,##0_-;_-* \-??_-;_-@_-">
                  <c:v>25981614.525879189</c:v>
                </c:pt>
                <c:pt idx="18" formatCode="_-* #,##0_-;\-* #,##0_-;_-* \-??_-;_-@_-">
                  <c:v>28540855.453765418</c:v>
                </c:pt>
                <c:pt idx="19" formatCode="_-* #,##0_-;\-* #,##0_-;_-* \-??_-;_-@_-">
                  <c:v>32038482.155098163</c:v>
                </c:pt>
                <c:pt idx="20" formatCode="_-* #,##0_-;\-* #,##0_-;_-* \-??_-;_-@_-">
                  <c:v>34388207.038917691</c:v>
                </c:pt>
                <c:pt idx="21" formatCode="_-* #,##0_-;\-* #,##0_-;_-* \-??_-;_-@_-">
                  <c:v>34173400.534687221</c:v>
                </c:pt>
                <c:pt idx="22" formatCode="_-* #,##0_-;\-* #,##0_-;_-* \-??_-;_-@_-">
                  <c:v>26674179.257773586</c:v>
                </c:pt>
                <c:pt idx="23" formatCode="_-* #,##0_-;\-* #,##0_-;_-* \-??_-;_-@_-">
                  <c:v>26362898.288053315</c:v>
                </c:pt>
                <c:pt idx="24" formatCode="_-* #,##0_-;\-* #,##0_-;_-* \-??_-;_-@_-">
                  <c:v>28762082.772758417</c:v>
                </c:pt>
                <c:pt idx="25" formatCode="_-* #,##0_-;\-* #,##0_-;_-* \-??_-;_-@_-">
                  <c:v>30378929.377193764</c:v>
                </c:pt>
                <c:pt idx="26" formatCode="_-* #,##0_-;\-* #,##0_-;_-* \-??_-;_-@_-">
                  <c:v>34398591.534982003</c:v>
                </c:pt>
                <c:pt idx="27" formatCode="_-* #,##0_-;\-* #,##0_-;_-* \-??_-;_-@_-">
                  <c:v>46594130.830614604</c:v>
                </c:pt>
                <c:pt idx="28" formatCode="_-* #,##0_-;\-* #,##0_-;_-* \-??_-;_-@_-">
                  <c:v>50438287.073958613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93-42E0-953B-4FA719B8FF18}"/>
            </c:ext>
          </c:extLst>
        </c:ser>
        <c:ser>
          <c:idx val="2"/>
          <c:order val="2"/>
          <c:tx>
            <c:strRef>
              <c:f>VBBR3!$M$24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VBBR3!$N$21:$AP$21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VBBR3!$N$24:$AP$24</c:f>
              <c:numCache>
                <c:formatCode>General</c:formatCode>
                <c:ptCount val="29"/>
                <c:pt idx="2" formatCode="_-* #,##0_-;\-* #,##0_-;_-* \-??_-;_-@_-">
                  <c:v>377166.18703999999</c:v>
                </c:pt>
                <c:pt idx="3" formatCode="_-* #,##0_-;\-* #,##0_-;_-* \-??_-;_-@_-">
                  <c:v>828018.59149999998</c:v>
                </c:pt>
                <c:pt idx="4" formatCode="_-* #,##0_-;\-* #,##0_-;_-* \-??_-;_-@_-">
                  <c:v>536181.91628999996</c:v>
                </c:pt>
                <c:pt idx="5" formatCode="_-* #,##0_-;\-* #,##0_-;_-* \-??_-;_-@_-">
                  <c:v>17428087.655999999</c:v>
                </c:pt>
                <c:pt idx="6" formatCode="_-* #,##0_-;\-* #,##0_-;_-* \-??_-;_-@_-">
                  <c:v>16748049.408</c:v>
                </c:pt>
                <c:pt idx="7" formatCode="_-* #,##0_-;\-* #,##0_-;_-* \-??_-;_-@_-">
                  <c:v>2198448.1589000002</c:v>
                </c:pt>
                <c:pt idx="8" formatCode="_-* #,##0_-;\-* #,##0_-;_-* \-??_-;_-@_-">
                  <c:v>3438305.6164000002</c:v>
                </c:pt>
                <c:pt idx="9" formatCode="_-* #,##0_-;\-* #,##0_-;_-* \-??_-;_-@_-">
                  <c:v>8393780.6199999992</c:v>
                </c:pt>
                <c:pt idx="10" formatCode="_-* #,##0_-;\-* #,##0_-;_-* \-??_-;_-@_-">
                  <c:v>13401296.5</c:v>
                </c:pt>
                <c:pt idx="11" formatCode="_-* #,##0_-;\-* #,##0_-;_-* \-??_-;_-@_-">
                  <c:v>15885852.699999999</c:v>
                </c:pt>
                <c:pt idx="12" formatCode="_-* #,##0_-;\-* #,##0_-;_-* \-??_-;_-@_-">
                  <c:v>22256683.579999998</c:v>
                </c:pt>
                <c:pt idx="13" formatCode="_-* #,##0_-;\-* #,##0_-;_-* \-??_-;_-@_-">
                  <c:v>32239044.739999998</c:v>
                </c:pt>
                <c:pt idx="14" formatCode="_-* #,##0_-;\-* #,##0_-;_-* \-??_-;_-@_-">
                  <c:v>19901731.600000001</c:v>
                </c:pt>
                <c:pt idx="15" formatCode="_-* #,##0_-;\-* #,##0_-;_-* \-??_-;_-@_-">
                  <c:v>37941907.479999997</c:v>
                </c:pt>
                <c:pt idx="16" formatCode="_-* #,##0_-;\-* #,##0_-;_-* \-??_-;_-@_-">
                  <c:v>31141151.02</c:v>
                </c:pt>
                <c:pt idx="17" formatCode="_-* #,##0_-;\-* #,##0_-;_-* \-??_-;_-@_-">
                  <c:v>23434183.785999998</c:v>
                </c:pt>
                <c:pt idx="18" formatCode="_-* #,##0_-;\-* #,##0_-;_-* \-??_-;_-@_-">
                  <c:v>29048061.258000001</c:v>
                </c:pt>
                <c:pt idx="19" formatCode="_-* #,##0_-;\-* #,##0_-;_-* \-??_-;_-@_-">
                  <c:v>29396537.142999999</c:v>
                </c:pt>
                <c:pt idx="20" formatCode="_-* #,##0_-;\-* #,##0_-;_-* \-??_-;_-@_-">
                  <c:v>15448754.681</c:v>
                </c:pt>
                <c:pt idx="21" formatCode="_-* #,##0_-;\-* #,##0_-;_-* \-??_-;_-@_-">
                  <c:v>7173878.3103</c:v>
                </c:pt>
                <c:pt idx="22" formatCode="_-* #,##0_-;\-* #,##0_-;_-* \-??_-;_-@_-">
                  <c:v>16798047.122000001</c:v>
                </c:pt>
                <c:pt idx="23" formatCode="_-* #,##0_-;\-* #,##0_-;_-* \-??_-;_-@_-">
                  <c:v>20011024.068</c:v>
                </c:pt>
                <c:pt idx="24" formatCode="_-* #,##0_-;\-* #,##0_-;_-* \-??_-;_-@_-">
                  <c:v>23661566.776000001</c:v>
                </c:pt>
                <c:pt idx="25" formatCode="_-* #,##0_-;\-* #,##0_-;_-* \-??_-;_-@_-">
                  <c:v>32325937.899</c:v>
                </c:pt>
                <c:pt idx="26" formatCode="_-* #,##0_-;\-* #,##0_-;_-* \-??_-;_-@_-">
                  <c:v>39208449.141999997</c:v>
                </c:pt>
                <c:pt idx="27" formatCode="_-* #,##0_-;\-* #,##0_-;_-* \-??_-;_-@_-">
                  <c:v>43759114.585000001</c:v>
                </c:pt>
                <c:pt idx="28" formatCode="_-* #,##0_-;\-* #,##0_-;_-* \-??_-;_-@_-">
                  <c:v>46079187.652999997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93-42E0-953B-4FA719B8F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2507432"/>
        <c:axId val="23729964"/>
      </c:lineChart>
      <c:catAx>
        <c:axId val="42507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23729964"/>
        <c:crosses val="autoZero"/>
        <c:auto val="1"/>
        <c:lblAlgn val="ctr"/>
        <c:lblOffset val="100"/>
        <c:noMultiLvlLbl val="0"/>
      </c:catAx>
      <c:valAx>
        <c:axId val="237299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42507432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FreeSans"/>
              </a:defRPr>
            </a:pPr>
            <a:r>
              <a:rPr lang="pt-BR" sz="1400" b="0" strike="noStrike">
                <a:solidFill>
                  <a:srgbClr val="595959"/>
                </a:solidFill>
                <a:uFillTx/>
                <a:latin typeface="Calibri"/>
              </a:rPr>
              <a:t>BBSE3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BBSE3!$M$22</c:f>
              <c:strCache>
                <c:ptCount val="1"/>
                <c:pt idx="0">
                  <c:v>PL </c:v>
                </c:pt>
              </c:strCache>
            </c:strRef>
          </c:tx>
          <c:spPr>
            <a:ln w="28440" cap="rnd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BBSE3!$N$21:$AP$21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BBSE3!$N$22:$AP$22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0</c:v>
                </c:pt>
                <c:pt idx="11" formatCode="_-* #,##0_-;\-* #,##0_-;_-* \-??_-;_-@_-">
                  <c:v>0</c:v>
                </c:pt>
                <c:pt idx="12" formatCode="_-* #,##0_-;\-* #,##0_-;_-* \-??_-;_-@_-">
                  <c:v>0</c:v>
                </c:pt>
                <c:pt idx="13" formatCode="_-* #,##0_-;\-* #,##0_-;_-* \-??_-;_-@_-">
                  <c:v>0</c:v>
                </c:pt>
                <c:pt idx="14" formatCode="_-* #,##0_-;\-* #,##0_-;_-* \-??_-;_-@_-">
                  <c:v>0</c:v>
                </c:pt>
                <c:pt idx="15" formatCode="_-* #,##0_-;\-* #,##0_-;_-* \-??_-;_-@_-">
                  <c:v>0</c:v>
                </c:pt>
                <c:pt idx="16" formatCode="_-* #,##0_-;\-* #,##0_-;_-* \-??_-;_-@_-">
                  <c:v>3248163</c:v>
                </c:pt>
                <c:pt idx="17" formatCode="_-* #,##0_-;\-* #,##0_-;_-* \-??_-;_-@_-">
                  <c:v>5015683</c:v>
                </c:pt>
                <c:pt idx="18" formatCode="_-* #,##0_-;\-* #,##0_-;_-* \-??_-;_-@_-">
                  <c:v>5638374</c:v>
                </c:pt>
                <c:pt idx="19" formatCode="_-* #,##0_-;\-* #,##0_-;_-* \-??_-;_-@_-">
                  <c:v>6941273</c:v>
                </c:pt>
                <c:pt idx="20" formatCode="_-* #,##0_-;\-* #,##0_-;_-* \-??_-;_-@_-">
                  <c:v>7923984</c:v>
                </c:pt>
                <c:pt idx="21" formatCode="_-* #,##0_-;\-* #,##0_-;_-* \-??_-;_-@_-">
                  <c:v>7580768</c:v>
                </c:pt>
                <c:pt idx="22" formatCode="_-* #,##0_-;\-* #,##0_-;_-* \-??_-;_-@_-">
                  <c:v>8289065</c:v>
                </c:pt>
                <c:pt idx="23" formatCode="_-* #,##0_-;\-* #,##0_-;_-* \-??_-;_-@_-">
                  <c:v>8898470</c:v>
                </c:pt>
                <c:pt idx="24" formatCode="_-* #,##0_-;\-* #,##0_-;_-* \-??_-;_-@_-">
                  <c:v>6830385</c:v>
                </c:pt>
                <c:pt idx="25" formatCode="_-* #,##0_-;\-* #,##0_-;_-* \-??_-;_-@_-">
                  <c:v>5248754</c:v>
                </c:pt>
                <c:pt idx="26" formatCode="_-* #,##0_-;\-* #,##0_-;_-* \-??_-;_-@_-">
                  <c:v>6389605</c:v>
                </c:pt>
                <c:pt idx="27" formatCode="_-* #,##0_-;\-* #,##0_-;_-* \-??_-;_-@_-">
                  <c:v>7281416</c:v>
                </c:pt>
                <c:pt idx="28" formatCode="_-* #,##0_-;\-* #,##0_-;_-* \-??_-;_-@_-">
                  <c:v>7596101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48-4A01-B478-594DC4163404}"/>
            </c:ext>
          </c:extLst>
        </c:ser>
        <c:ser>
          <c:idx val="1"/>
          <c:order val="1"/>
          <c:tx>
            <c:strRef>
              <c:f>BBSE3!$M$23</c:f>
              <c:strCache>
                <c:ptCount val="1"/>
                <c:pt idx="0">
                  <c:v>PL com inflação (corrigido)</c:v>
                </c:pt>
              </c:strCache>
            </c:strRef>
          </c:tx>
          <c:spPr>
            <a:ln w="28440" cap="rnd">
              <a:solidFill>
                <a:srgbClr val="C0504D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BBSE3!$N$21:$AP$21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BBSE3!$N$23:$AP$23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10502002</c:v>
                </c:pt>
                <c:pt idx="6" formatCode="_-* #,##0_-;\-* #,##0_-;_-* \-??_-;_-@_-">
                  <c:v>10565590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0</c:v>
                </c:pt>
                <c:pt idx="11" formatCode="_-* #,##0_-;\-* #,##0_-;_-* \-??_-;_-@_-">
                  <c:v>0</c:v>
                </c:pt>
                <c:pt idx="12" formatCode="_-* #,##0_-;\-* #,##0_-;_-* \-??_-;_-@_-">
                  <c:v>0</c:v>
                </c:pt>
                <c:pt idx="13" formatCode="_-* #,##0_-;\-* #,##0_-;_-* \-??_-;_-@_-">
                  <c:v>0</c:v>
                </c:pt>
                <c:pt idx="14" formatCode="_-* #,##0_-;\-* #,##0_-;_-* \-??_-;_-@_-">
                  <c:v>0</c:v>
                </c:pt>
                <c:pt idx="15" formatCode="_-* #,##0_-;\-* #,##0_-;_-* \-??_-;_-@_-">
                  <c:v>0</c:v>
                </c:pt>
                <c:pt idx="16" formatCode="_-* #,##0_-;\-* #,##0_-;_-* \-??_-;_-@_-">
                  <c:v>3248163</c:v>
                </c:pt>
                <c:pt idx="17" formatCode="_-* #,##0_-;\-* #,##0_-;_-* \-??_-;_-@_-">
                  <c:v>5015683</c:v>
                </c:pt>
                <c:pt idx="18" formatCode="_-* #,##0_-;\-* #,##0_-;_-* \-??_-;_-@_-">
                  <c:v>5638374</c:v>
                </c:pt>
                <c:pt idx="19" formatCode="_-* #,##0_-;\-* #,##0_-;_-* \-??_-;_-@_-">
                  <c:v>6941273</c:v>
                </c:pt>
                <c:pt idx="20" formatCode="_-* #,##0_-;\-* #,##0_-;_-* \-??_-;_-@_-">
                  <c:v>8269197.3062999994</c:v>
                </c:pt>
                <c:pt idx="21" formatCode="_-* #,##0_-;\-* #,##0_-;_-* \-??_-;_-@_-">
                  <c:v>8534905.4676644206</c:v>
                </c:pt>
                <c:pt idx="22" formatCode="_-* #,##0_-;\-* #,##0_-;_-* \-??_-;_-@_-">
                  <c:v>9337819.3948563021</c:v>
                </c:pt>
                <c:pt idx="23" formatCode="_-* #,##0_-;\-* #,##0_-;_-* \-??_-;_-@_-">
                  <c:v>10020151.454307625</c:v>
                </c:pt>
                <c:pt idx="24" formatCode="_-* #,##0_-;\-* #,##0_-;_-* \-??_-;_-@_-">
                  <c:v>8031609.8660877002</c:v>
                </c:pt>
                <c:pt idx="25" formatCode="_-* #,##0_-;\-* #,##0_-;_-* \-??_-;_-@_-">
                  <c:v>6875207.7940385211</c:v>
                </c:pt>
                <c:pt idx="26" formatCode="_-* #,##0_-;\-* #,##0_-;_-* \-??_-;_-@_-">
                  <c:v>8349580.8695646012</c:v>
                </c:pt>
                <c:pt idx="27" formatCode="_-* #,##0_-;\-* #,##0_-;_-* \-??_-;_-@_-">
                  <c:v>9275488.1444483697</c:v>
                </c:pt>
                <c:pt idx="28" formatCode="_-* #,##0_-;\-* #,##0_-;_-* \-??_-;_-@_-">
                  <c:v>9908159.2575276531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48-4A01-B478-594DC4163404}"/>
            </c:ext>
          </c:extLst>
        </c:ser>
        <c:ser>
          <c:idx val="2"/>
          <c:order val="2"/>
          <c:tx>
            <c:strRef>
              <c:f>BBSE3!$M$24</c:f>
              <c:strCache>
                <c:ptCount val="1"/>
                <c:pt idx="0">
                  <c:v>Valor de Mercado</c:v>
                </c:pt>
              </c:strCache>
            </c:strRef>
          </c:tx>
          <c:spPr>
            <a:ln w="28440" cap="rnd">
              <a:solidFill>
                <a:srgbClr val="9BB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BBSE3!$N$21:$AP$21</c:f>
              <c:numCache>
                <c:formatCode>General</c:formatCode>
                <c:ptCount val="29"/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</c:numCache>
            </c:numRef>
          </c:cat>
          <c:val>
            <c:numRef>
              <c:f>BBSE3!$N$24:$AP$24</c:f>
              <c:numCache>
                <c:formatCode>General</c:formatCode>
                <c:ptCount val="29"/>
                <c:pt idx="2" formatCode="_-* #,##0_-;\-* #,##0_-;_-* \-??_-;_-@_-">
                  <c:v>0</c:v>
                </c:pt>
                <c:pt idx="3" formatCode="_-* #,##0_-;\-* #,##0_-;_-* \-??_-;_-@_-">
                  <c:v>0</c:v>
                </c:pt>
                <c:pt idx="4" formatCode="_-* #,##0_-;\-* #,##0_-;_-* \-??_-;_-@_-">
                  <c:v>0</c:v>
                </c:pt>
                <c:pt idx="5" formatCode="_-* #,##0_-;\-* #,##0_-;_-* \-??_-;_-@_-">
                  <c:v>17428087.655999999</c:v>
                </c:pt>
                <c:pt idx="6" formatCode="_-* #,##0_-;\-* #,##0_-;_-* \-??_-;_-@_-">
                  <c:v>16748049.408</c:v>
                </c:pt>
                <c:pt idx="7" formatCode="_-* #,##0_-;\-* #,##0_-;_-* \-??_-;_-@_-">
                  <c:v>0</c:v>
                </c:pt>
                <c:pt idx="8" formatCode="_-* #,##0_-;\-* #,##0_-;_-* \-??_-;_-@_-">
                  <c:v>0</c:v>
                </c:pt>
                <c:pt idx="9" formatCode="_-* #,##0_-;\-* #,##0_-;_-* \-??_-;_-@_-">
                  <c:v>0</c:v>
                </c:pt>
                <c:pt idx="10" formatCode="_-* #,##0_-;\-* #,##0_-;_-* \-??_-;_-@_-">
                  <c:v>0</c:v>
                </c:pt>
                <c:pt idx="11" formatCode="_-* #,##0_-;\-* #,##0_-;_-* \-??_-;_-@_-">
                  <c:v>0</c:v>
                </c:pt>
                <c:pt idx="12" formatCode="_-* #,##0_-;\-* #,##0_-;_-* \-??_-;_-@_-">
                  <c:v>0</c:v>
                </c:pt>
                <c:pt idx="13" formatCode="_-* #,##0_-;\-* #,##0_-;_-* \-??_-;_-@_-">
                  <c:v>0</c:v>
                </c:pt>
                <c:pt idx="14" formatCode="_-* #,##0_-;\-* #,##0_-;_-* \-??_-;_-@_-">
                  <c:v>0</c:v>
                </c:pt>
                <c:pt idx="15" formatCode="_-* #,##0_-;\-* #,##0_-;_-* \-??_-;_-@_-">
                  <c:v>0</c:v>
                </c:pt>
                <c:pt idx="16" formatCode="_-* #,##0_-;\-* #,##0_-;_-* \-??_-;_-@_-">
                  <c:v>0</c:v>
                </c:pt>
                <c:pt idx="17" formatCode="_-* #,##0_-;\-* #,##0_-;_-* \-??_-;_-@_-">
                  <c:v>0</c:v>
                </c:pt>
                <c:pt idx="18" formatCode="_-* #,##0_-;\-* #,##0_-;_-* \-??_-;_-@_-">
                  <c:v>0</c:v>
                </c:pt>
                <c:pt idx="19" formatCode="_-* #,##0_-;\-* #,##0_-;_-* \-??_-;_-@_-">
                  <c:v>49000000</c:v>
                </c:pt>
                <c:pt idx="20" formatCode="_-* #,##0_-;\-* #,##0_-;_-* \-??_-;_-@_-">
                  <c:v>64319701.329999998</c:v>
                </c:pt>
                <c:pt idx="21" formatCode="_-* #,##0_-;\-* #,##0_-;_-* \-??_-;_-@_-">
                  <c:v>48613688.283</c:v>
                </c:pt>
                <c:pt idx="22" formatCode="_-* #,##0_-;\-* #,##0_-;_-* \-??_-;_-@_-">
                  <c:v>56503965.280000001</c:v>
                </c:pt>
                <c:pt idx="23" formatCode="_-* #,##0_-;\-* #,##0_-;_-* \-??_-;_-@_-">
                  <c:v>56883033.858000003</c:v>
                </c:pt>
                <c:pt idx="24" formatCode="_-* #,##0_-;\-* #,##0_-;_-* \-??_-;_-@_-">
                  <c:v>55086113.520000003</c:v>
                </c:pt>
                <c:pt idx="25" formatCode="_-* #,##0_-;\-* #,##0_-;_-* \-??_-;_-@_-">
                  <c:v>75271863.996000007</c:v>
                </c:pt>
                <c:pt idx="26" formatCode="_-* #,##0_-;\-* #,##0_-;_-* \-??_-;_-@_-">
                  <c:v>59160285.597999997</c:v>
                </c:pt>
                <c:pt idx="27" formatCode="_-* #,##0_-;\-* #,##0_-;_-* \-??_-;_-@_-">
                  <c:v>41431245.476999998</c:v>
                </c:pt>
                <c:pt idx="28" formatCode="_-* #,##0_-;\-* #,##0_-;_-* \-??_-;_-@_-">
                  <c:v>67309648.056999996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48-4A01-B478-594DC4163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8568288"/>
        <c:axId val="57921223"/>
      </c:lineChart>
      <c:catAx>
        <c:axId val="38568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57921223"/>
        <c:crosses val="autoZero"/>
        <c:auto val="1"/>
        <c:lblAlgn val="ctr"/>
        <c:lblOffset val="100"/>
        <c:noMultiLvlLbl val="0"/>
      </c:catAx>
      <c:valAx>
        <c:axId val="5792122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38568288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381000</xdr:colOff>
      <xdr:row>45</xdr:row>
      <xdr:rowOff>176212</xdr:rowOff>
    </xdr:from>
    <xdr:to>
      <xdr:col>42</xdr:col>
      <xdr:colOff>76200</xdr:colOff>
      <xdr:row>60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AC80AD-74A2-1310-F2F0-40365D7C0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85725</xdr:colOff>
      <xdr:row>70</xdr:row>
      <xdr:rowOff>9525</xdr:rowOff>
    </xdr:from>
    <xdr:to>
      <xdr:col>8</xdr:col>
      <xdr:colOff>585787</xdr:colOff>
      <xdr:row>87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7B5C9C-DBFC-60D4-571E-EAAB8874E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152400</xdr:colOff>
      <xdr:row>73</xdr:row>
      <xdr:rowOff>14287</xdr:rowOff>
    </xdr:from>
    <xdr:to>
      <xdr:col>43</xdr:col>
      <xdr:colOff>476250</xdr:colOff>
      <xdr:row>88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95297A-D013-EC3E-CC39-3011F673D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33336</xdr:colOff>
      <xdr:row>99</xdr:row>
      <xdr:rowOff>138112</xdr:rowOff>
    </xdr:from>
    <xdr:to>
      <xdr:col>11</xdr:col>
      <xdr:colOff>809625</xdr:colOff>
      <xdr:row>118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6FA9C93-112F-9F58-97BA-C7F56D1A4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122</xdr:row>
      <xdr:rowOff>0</xdr:rowOff>
    </xdr:from>
    <xdr:to>
      <xdr:col>10</xdr:col>
      <xdr:colOff>937260</xdr:colOff>
      <xdr:row>136</xdr:row>
      <xdr:rowOff>118110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1E8EDDA-CDAC-A14A-4781-668432AA2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582120</xdr:colOff>
      <xdr:row>29</xdr:row>
      <xdr:rowOff>78480</xdr:rowOff>
    </xdr:from>
    <xdr:to>
      <xdr:col>16</xdr:col>
      <xdr:colOff>856800</xdr:colOff>
      <xdr:row>43</xdr:row>
      <xdr:rowOff>154440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530280</xdr:colOff>
      <xdr:row>29</xdr:row>
      <xdr:rowOff>81000</xdr:rowOff>
    </xdr:from>
    <xdr:to>
      <xdr:col>16</xdr:col>
      <xdr:colOff>615600</xdr:colOff>
      <xdr:row>43</xdr:row>
      <xdr:rowOff>156960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545400</xdr:colOff>
      <xdr:row>29</xdr:row>
      <xdr:rowOff>40320</xdr:rowOff>
    </xdr:from>
    <xdr:to>
      <xdr:col>16</xdr:col>
      <xdr:colOff>709200</xdr:colOff>
      <xdr:row>43</xdr:row>
      <xdr:rowOff>116280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2520</xdr:colOff>
      <xdr:row>29</xdr:row>
      <xdr:rowOff>138240</xdr:rowOff>
    </xdr:from>
    <xdr:to>
      <xdr:col>16</xdr:col>
      <xdr:colOff>683280</xdr:colOff>
      <xdr:row>44</xdr:row>
      <xdr:rowOff>23760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29880</xdr:colOff>
      <xdr:row>29</xdr:row>
      <xdr:rowOff>15480</xdr:rowOff>
    </xdr:from>
    <xdr:to>
      <xdr:col>16</xdr:col>
      <xdr:colOff>779760</xdr:colOff>
      <xdr:row>43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557280</xdr:colOff>
      <xdr:row>29</xdr:row>
      <xdr:rowOff>54720</xdr:rowOff>
    </xdr:from>
    <xdr:to>
      <xdr:col>16</xdr:col>
      <xdr:colOff>666360</xdr:colOff>
      <xdr:row>43</xdr:row>
      <xdr:rowOff>130680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743040</xdr:colOff>
      <xdr:row>28</xdr:row>
      <xdr:rowOff>121320</xdr:rowOff>
    </xdr:from>
    <xdr:to>
      <xdr:col>18</xdr:col>
      <xdr:colOff>404640</xdr:colOff>
      <xdr:row>43</xdr:row>
      <xdr:rowOff>6840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45360</xdr:colOff>
      <xdr:row>29</xdr:row>
      <xdr:rowOff>135720</xdr:rowOff>
    </xdr:from>
    <xdr:to>
      <xdr:col>16</xdr:col>
      <xdr:colOff>745200</xdr:colOff>
      <xdr:row>44</xdr:row>
      <xdr:rowOff>21240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557280</xdr:colOff>
      <xdr:row>29</xdr:row>
      <xdr:rowOff>114120</xdr:rowOff>
    </xdr:from>
    <xdr:to>
      <xdr:col>16</xdr:col>
      <xdr:colOff>807120</xdr:colOff>
      <xdr:row>43</xdr:row>
      <xdr:rowOff>190080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61920</xdr:colOff>
      <xdr:row>28</xdr:row>
      <xdr:rowOff>159480</xdr:rowOff>
    </xdr:from>
    <xdr:to>
      <xdr:col>17</xdr:col>
      <xdr:colOff>323640</xdr:colOff>
      <xdr:row>43</xdr:row>
      <xdr:rowOff>45000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1081080</xdr:colOff>
      <xdr:row>29</xdr:row>
      <xdr:rowOff>9360</xdr:rowOff>
    </xdr:from>
    <xdr:to>
      <xdr:col>18</xdr:col>
      <xdr:colOff>16200</xdr:colOff>
      <xdr:row>43</xdr:row>
      <xdr:rowOff>85320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61920</xdr:colOff>
      <xdr:row>30</xdr:row>
      <xdr:rowOff>66600</xdr:rowOff>
    </xdr:from>
    <xdr:to>
      <xdr:col>17</xdr:col>
      <xdr:colOff>90000</xdr:colOff>
      <xdr:row>44</xdr:row>
      <xdr:rowOff>142560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541800</xdr:colOff>
      <xdr:row>28</xdr:row>
      <xdr:rowOff>182160</xdr:rowOff>
    </xdr:from>
    <xdr:to>
      <xdr:col>17</xdr:col>
      <xdr:colOff>208080</xdr:colOff>
      <xdr:row>43</xdr:row>
      <xdr:rowOff>67680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577440</xdr:colOff>
      <xdr:row>28</xdr:row>
      <xdr:rowOff>39240</xdr:rowOff>
    </xdr:from>
    <xdr:to>
      <xdr:col>17</xdr:col>
      <xdr:colOff>243720</xdr:colOff>
      <xdr:row>42</xdr:row>
      <xdr:rowOff>115200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315360</xdr:colOff>
      <xdr:row>29</xdr:row>
      <xdr:rowOff>110880</xdr:rowOff>
    </xdr:from>
    <xdr:to>
      <xdr:col>16</xdr:col>
      <xdr:colOff>541080</xdr:colOff>
      <xdr:row>43</xdr:row>
      <xdr:rowOff>186840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577440</xdr:colOff>
      <xdr:row>28</xdr:row>
      <xdr:rowOff>182160</xdr:rowOff>
    </xdr:from>
    <xdr:to>
      <xdr:col>17</xdr:col>
      <xdr:colOff>208080</xdr:colOff>
      <xdr:row>43</xdr:row>
      <xdr:rowOff>67680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589320</xdr:colOff>
      <xdr:row>28</xdr:row>
      <xdr:rowOff>3600</xdr:rowOff>
    </xdr:from>
    <xdr:to>
      <xdr:col>17</xdr:col>
      <xdr:colOff>148320</xdr:colOff>
      <xdr:row>42</xdr:row>
      <xdr:rowOff>79560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41760</xdr:colOff>
      <xdr:row>28</xdr:row>
      <xdr:rowOff>134640</xdr:rowOff>
    </xdr:from>
    <xdr:to>
      <xdr:col>17</xdr:col>
      <xdr:colOff>279360</xdr:colOff>
      <xdr:row>43</xdr:row>
      <xdr:rowOff>20160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65520</xdr:colOff>
      <xdr:row>29</xdr:row>
      <xdr:rowOff>15480</xdr:rowOff>
    </xdr:from>
    <xdr:to>
      <xdr:col>17</xdr:col>
      <xdr:colOff>219960</xdr:colOff>
      <xdr:row>43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529920</xdr:colOff>
      <xdr:row>28</xdr:row>
      <xdr:rowOff>182160</xdr:rowOff>
    </xdr:from>
    <xdr:to>
      <xdr:col>16</xdr:col>
      <xdr:colOff>684360</xdr:colOff>
      <xdr:row>43</xdr:row>
      <xdr:rowOff>67680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77400</xdr:colOff>
      <xdr:row>28</xdr:row>
      <xdr:rowOff>170280</xdr:rowOff>
    </xdr:from>
    <xdr:to>
      <xdr:col>17</xdr:col>
      <xdr:colOff>339120</xdr:colOff>
      <xdr:row>43</xdr:row>
      <xdr:rowOff>55800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18000</xdr:colOff>
      <xdr:row>28</xdr:row>
      <xdr:rowOff>134640</xdr:rowOff>
    </xdr:from>
    <xdr:to>
      <xdr:col>17</xdr:col>
      <xdr:colOff>279720</xdr:colOff>
      <xdr:row>43</xdr:row>
      <xdr:rowOff>20160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559440</xdr:colOff>
      <xdr:row>27</xdr:row>
      <xdr:rowOff>170280</xdr:rowOff>
    </xdr:from>
    <xdr:to>
      <xdr:col>17</xdr:col>
      <xdr:colOff>201960</xdr:colOff>
      <xdr:row>42</xdr:row>
      <xdr:rowOff>55800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559440</xdr:colOff>
      <xdr:row>28</xdr:row>
      <xdr:rowOff>63000</xdr:rowOff>
    </xdr:from>
    <xdr:to>
      <xdr:col>17</xdr:col>
      <xdr:colOff>225720</xdr:colOff>
      <xdr:row>42</xdr:row>
      <xdr:rowOff>138960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E:\Backup\nova%20unidade%20t\Unidade%20t\Rogerio%20Ramires\USP%20Doutorado\%23ISCTE\%23ISCTE%20-%20Trabalho%20em%20Portugal\%23%23Arquivos%20Finais%202025\Artigos%20finais_2025\%23Vers&#245;es%20Finais\Final_03.11.2025\Revis&#227;o%20B_Salotti\%23Revis&#227;o%20Jorge_Luiz\Artigo%201\Gr&#225;f_PL_BR.xlsx" TargetMode="External"/><Relationship Id="rId2" Type="http://schemas.microsoft.com/office/2019/04/relationships/externalLinkLongPath" Target="/Backup/nova%20unidade%20t/Unidade%20t/Rogerio%20Ramires/USP%20Doutorado/#ISCTE\#ISCTE - Trabalho em Portugal\##Arquivos Finais 2025\Artigos finais_2025\#Vers&#245;es Finais\Final_03.11.2025\Revis&#227;o B_Salotti\#Revis&#227;o Jorge_Luiz\Artigo 1\Gr&#225;f_PL_BR.xlsx?DCBF4CDB" TargetMode="External"/><Relationship Id="rId1" Type="http://schemas.openxmlformats.org/officeDocument/2006/relationships/externalLinkPath" Target="file:///\\DCBF4CDB\Gr&#225;f_PL_B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R_PL"/>
      <sheetName val="PT_PL"/>
      <sheetName val="Planilha1"/>
    </sheetNames>
    <sheetDataSet>
      <sheetData sheetId="0">
        <row r="1">
          <cell r="H1" t="str">
            <v>valor_mercado</v>
          </cell>
          <cell r="I1" t="str">
            <v>pl_histórico</v>
          </cell>
          <cell r="J1" t="str">
            <v>pl_corrigido</v>
          </cell>
        </row>
        <row r="2">
          <cell r="G2">
            <v>1995</v>
          </cell>
          <cell r="H2">
            <v>12436408.737658121</v>
          </cell>
          <cell r="I2">
            <v>32158789.281388003</v>
          </cell>
          <cell r="J2">
            <v>33899923.871268064</v>
          </cell>
        </row>
        <row r="3">
          <cell r="G3">
            <v>1996</v>
          </cell>
          <cell r="H3">
            <v>18859714.549327489</v>
          </cell>
          <cell r="I3">
            <v>28523403.806713387</v>
          </cell>
          <cell r="J3">
            <v>30941880.130766749</v>
          </cell>
        </row>
        <row r="4">
          <cell r="G4">
            <v>1997</v>
          </cell>
          <cell r="H4">
            <v>24014677.895500943</v>
          </cell>
          <cell r="I4">
            <v>28335324.963292494</v>
          </cell>
          <cell r="J4">
            <v>31946829.734630991</v>
          </cell>
        </row>
        <row r="5">
          <cell r="G5">
            <v>1998</v>
          </cell>
          <cell r="H5">
            <v>12819773.629845401</v>
          </cell>
          <cell r="I5">
            <v>28563392.876126599</v>
          </cell>
          <cell r="J5">
            <v>31959434.446691569</v>
          </cell>
        </row>
        <row r="6">
          <cell r="G6">
            <v>1999</v>
          </cell>
          <cell r="H6">
            <v>34799689.414309353</v>
          </cell>
          <cell r="I6">
            <v>25386196.158133533</v>
          </cell>
          <cell r="J6">
            <v>52327441.66345273</v>
          </cell>
        </row>
        <row r="7">
          <cell r="G7">
            <v>2000</v>
          </cell>
          <cell r="H7">
            <v>37147737.701203428</v>
          </cell>
          <cell r="I7">
            <v>28118820.314661663</v>
          </cell>
          <cell r="J7">
            <v>51040981.530624934</v>
          </cell>
        </row>
        <row r="8">
          <cell r="G8">
            <v>2001</v>
          </cell>
          <cell r="H8">
            <v>36750892.812096573</v>
          </cell>
          <cell r="I8">
            <v>28714352.88772523</v>
          </cell>
          <cell r="J8">
            <v>36889683.521485351</v>
          </cell>
        </row>
        <row r="9">
          <cell r="G9">
            <v>2002</v>
          </cell>
          <cell r="H9">
            <v>34131826.660956889</v>
          </cell>
          <cell r="I9">
            <v>28590413.940562293</v>
          </cell>
          <cell r="J9">
            <v>39919767.746785223</v>
          </cell>
        </row>
        <row r="10">
          <cell r="G10">
            <v>2003</v>
          </cell>
          <cell r="H10">
            <v>54006415.449351393</v>
          </cell>
          <cell r="I10">
            <v>33300127.635771088</v>
          </cell>
          <cell r="J10">
            <v>47177430.118396871</v>
          </cell>
        </row>
        <row r="11">
          <cell r="G11">
            <v>2004</v>
          </cell>
          <cell r="H11">
            <v>67422984.496523261</v>
          </cell>
          <cell r="I11">
            <v>38088084.457658403</v>
          </cell>
          <cell r="J11">
            <v>53505048.748493545</v>
          </cell>
        </row>
        <row r="12">
          <cell r="G12">
            <v>2005</v>
          </cell>
          <cell r="H12">
            <v>89443186.341072291</v>
          </cell>
          <cell r="I12">
            <v>43382241.387965843</v>
          </cell>
          <cell r="J12">
            <v>59420370.100953281</v>
          </cell>
        </row>
        <row r="13">
          <cell r="G13">
            <v>2006</v>
          </cell>
          <cell r="H13">
            <v>119721343.16331534</v>
          </cell>
          <cell r="I13">
            <v>51553847.017321505</v>
          </cell>
          <cell r="J13">
            <v>66530225.889835887</v>
          </cell>
        </row>
        <row r="14">
          <cell r="G14">
            <v>2007</v>
          </cell>
          <cell r="H14">
            <v>187759195.06727105</v>
          </cell>
          <cell r="I14">
            <v>58474912.436624207</v>
          </cell>
          <cell r="J14">
            <v>73653774.996593222</v>
          </cell>
        </row>
        <row r="15">
          <cell r="G15">
            <v>2008</v>
          </cell>
          <cell r="H15">
            <v>99494561.160260424</v>
          </cell>
          <cell r="I15">
            <v>68766813.935519889</v>
          </cell>
          <cell r="J15">
            <v>86177478.467112094</v>
          </cell>
        </row>
        <row r="16">
          <cell r="G16">
            <v>2009</v>
          </cell>
          <cell r="H16">
            <v>156647706.3717106</v>
          </cell>
          <cell r="I16">
            <v>73078884.265321746</v>
          </cell>
          <cell r="J16">
            <v>90678178.788378745</v>
          </cell>
        </row>
        <row r="17">
          <cell r="G17">
            <v>2010</v>
          </cell>
          <cell r="H17">
            <v>162963514.27001691</v>
          </cell>
          <cell r="I17">
            <v>102572127.25941372</v>
          </cell>
          <cell r="J17">
            <v>122826523.56703337</v>
          </cell>
        </row>
        <row r="18">
          <cell r="G18">
            <v>2011</v>
          </cell>
          <cell r="H18">
            <v>128196723.75011219</v>
          </cell>
          <cell r="I18">
            <v>107681211.32735547</v>
          </cell>
          <cell r="J18">
            <v>132613458.90044424</v>
          </cell>
        </row>
        <row r="19">
          <cell r="G19">
            <v>2012</v>
          </cell>
          <cell r="H19">
            <v>127573551.00929496</v>
          </cell>
          <cell r="I19">
            <v>107009236.61491106</v>
          </cell>
          <cell r="J19">
            <v>133996818.93313935</v>
          </cell>
        </row>
        <row r="20">
          <cell r="G20">
            <v>2013</v>
          </cell>
          <cell r="H20">
            <v>116053858.35728219</v>
          </cell>
          <cell r="I20">
            <v>103883579.67184807</v>
          </cell>
          <cell r="J20">
            <v>134932471.08578536</v>
          </cell>
        </row>
        <row r="21">
          <cell r="G21">
            <v>2014</v>
          </cell>
          <cell r="H21">
            <v>94674712.498602957</v>
          </cell>
          <cell r="I21">
            <v>94822901.229224086</v>
          </cell>
          <cell r="J21">
            <v>129004816.59346819</v>
          </cell>
        </row>
        <row r="22">
          <cell r="G22">
            <v>2015</v>
          </cell>
          <cell r="H22">
            <v>72614408.161312133</v>
          </cell>
          <cell r="I22">
            <v>79226082.009498551</v>
          </cell>
          <cell r="J22">
            <v>112860210.07071877</v>
          </cell>
        </row>
        <row r="23">
          <cell r="G23">
            <v>2016</v>
          </cell>
          <cell r="H23">
            <v>98676468.567149445</v>
          </cell>
          <cell r="I23">
            <v>75121771.40178813</v>
          </cell>
          <cell r="J23">
            <v>104390828.15601265</v>
          </cell>
        </row>
        <row r="24">
          <cell r="G24">
            <v>2017</v>
          </cell>
          <cell r="H24">
            <v>120355235.19243242</v>
          </cell>
          <cell r="I24">
            <v>78799323.094806805</v>
          </cell>
          <cell r="J24">
            <v>102757140.21692748</v>
          </cell>
        </row>
        <row r="25">
          <cell r="G25">
            <v>2018</v>
          </cell>
          <cell r="H25">
            <v>137376077.09155282</v>
          </cell>
          <cell r="I25">
            <v>81995383.59192951</v>
          </cell>
          <cell r="J25">
            <v>104745867.22568877</v>
          </cell>
        </row>
        <row r="26">
          <cell r="G26">
            <v>2019</v>
          </cell>
          <cell r="H26">
            <v>167033066.07028455</v>
          </cell>
          <cell r="I26">
            <v>83371446.243848249</v>
          </cell>
          <cell r="J26">
            <v>105566044.66252741</v>
          </cell>
        </row>
        <row r="27">
          <cell r="G27">
            <v>2020</v>
          </cell>
          <cell r="H27">
            <v>170353676.00821027</v>
          </cell>
          <cell r="I27">
            <v>86929864.821456775</v>
          </cell>
          <cell r="J27">
            <v>104322970.76781435</v>
          </cell>
        </row>
        <row r="28">
          <cell r="G28">
            <v>2021</v>
          </cell>
          <cell r="H28">
            <v>137034873.11379841</v>
          </cell>
          <cell r="I28">
            <v>91381795.483656406</v>
          </cell>
          <cell r="J28">
            <v>106875627.39937079</v>
          </cell>
        </row>
        <row r="29">
          <cell r="G29">
            <v>2022</v>
          </cell>
          <cell r="H29">
            <v>99159933.152589858</v>
          </cell>
          <cell r="I29">
            <v>57227875.536555082</v>
          </cell>
          <cell r="J29">
            <v>99483872.666826159</v>
          </cell>
        </row>
        <row r="30">
          <cell r="G30">
            <v>2023</v>
          </cell>
          <cell r="H30">
            <v>123831203.62501322</v>
          </cell>
          <cell r="I30">
            <v>60206853.7835695</v>
          </cell>
          <cell r="J30">
            <v>89597386.240157649</v>
          </cell>
        </row>
        <row r="31">
          <cell r="G31">
            <v>2024</v>
          </cell>
          <cell r="H31">
            <v>119259307.171857</v>
          </cell>
          <cell r="I31">
            <v>59975533.565217301</v>
          </cell>
          <cell r="J31">
            <v>83017683.008653596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410F-9B00-4E83-801D-2EEBD49FCDAA}">
  <dimension ref="B1:AH67"/>
  <sheetViews>
    <sheetView showGridLines="0" tabSelected="1" topLeftCell="A49" workbookViewId="0">
      <selection activeCell="B75" sqref="B75"/>
    </sheetView>
  </sheetViews>
  <sheetFormatPr defaultRowHeight="15" x14ac:dyDescent="0.25"/>
  <cols>
    <col min="2" max="2" width="17.85546875" customWidth="1"/>
    <col min="3" max="3" width="28.85546875" customWidth="1"/>
    <col min="4" max="4" width="1.28515625" customWidth="1"/>
    <col min="5" max="5" width="1.5703125" customWidth="1"/>
    <col min="6" max="12" width="14.28515625" bestFit="1" customWidth="1"/>
    <col min="13" max="30" width="15.28515625" bestFit="1" customWidth="1"/>
    <col min="31" max="31" width="16.28515625" bestFit="1" customWidth="1"/>
    <col min="32" max="33" width="15.28515625" bestFit="1" customWidth="1"/>
    <col min="34" max="34" width="16.28515625" bestFit="1" customWidth="1"/>
  </cols>
  <sheetData>
    <row r="1" spans="2:34" x14ac:dyDescent="0.25">
      <c r="B1" s="52" t="s">
        <v>111</v>
      </c>
      <c r="C1" s="53" t="s">
        <v>14</v>
      </c>
      <c r="D1" s="52"/>
      <c r="E1" s="54"/>
      <c r="F1" s="55">
        <v>1996</v>
      </c>
      <c r="G1" s="55">
        <v>1997</v>
      </c>
      <c r="H1" s="55">
        <v>1998</v>
      </c>
      <c r="I1" s="55">
        <v>1999</v>
      </c>
      <c r="J1" s="55">
        <v>2000</v>
      </c>
      <c r="K1" s="55">
        <v>2001</v>
      </c>
      <c r="L1" s="55">
        <v>2002</v>
      </c>
      <c r="M1" s="55">
        <v>2003</v>
      </c>
      <c r="N1" s="55">
        <v>2004</v>
      </c>
      <c r="O1" s="55">
        <v>2005</v>
      </c>
      <c r="P1" s="55">
        <v>2006</v>
      </c>
      <c r="Q1" s="55">
        <v>2007</v>
      </c>
      <c r="R1" s="55">
        <v>2008</v>
      </c>
      <c r="S1" s="55">
        <v>2009</v>
      </c>
      <c r="T1" s="55">
        <v>2010</v>
      </c>
      <c r="U1" s="55">
        <v>2011</v>
      </c>
      <c r="V1" s="55">
        <v>2012</v>
      </c>
      <c r="W1" s="55">
        <v>2013</v>
      </c>
      <c r="X1" s="55">
        <v>2014</v>
      </c>
      <c r="Y1" s="55">
        <v>2015</v>
      </c>
      <c r="Z1" s="55">
        <v>2016</v>
      </c>
      <c r="AA1" s="55">
        <v>2017</v>
      </c>
      <c r="AB1" s="55">
        <v>2018</v>
      </c>
      <c r="AC1" s="55">
        <v>2019</v>
      </c>
      <c r="AD1" s="55">
        <v>2020</v>
      </c>
      <c r="AE1" s="55">
        <v>2021</v>
      </c>
      <c r="AF1" s="55">
        <v>2022</v>
      </c>
      <c r="AG1" s="55">
        <v>2023</v>
      </c>
      <c r="AH1" s="55">
        <v>2024</v>
      </c>
    </row>
    <row r="2" spans="2:34" x14ac:dyDescent="0.25">
      <c r="B2" t="str" cm="1">
        <f t="array" ref="B2:AH25">_xlfn.VSTACK(VALE3:BBSE3!L17:AR17)</f>
        <v>Vale ON</v>
      </c>
      <c r="C2" t="str">
        <v xml:space="preserve">Lucro Líquido Contábil </v>
      </c>
      <c r="D2">
        <v>0</v>
      </c>
      <c r="E2" s="59">
        <v>0</v>
      </c>
      <c r="F2" s="56">
        <v>516990</v>
      </c>
      <c r="G2" s="56">
        <v>756000</v>
      </c>
      <c r="H2" s="56">
        <v>1029400</v>
      </c>
      <c r="I2" s="56">
        <v>1251199</v>
      </c>
      <c r="J2" s="56">
        <v>2132657</v>
      </c>
      <c r="K2" s="56">
        <v>3050710</v>
      </c>
      <c r="L2" s="56">
        <v>2043256</v>
      </c>
      <c r="M2" s="56">
        <v>4508850</v>
      </c>
      <c r="N2" s="56">
        <v>6459519</v>
      </c>
      <c r="O2" s="56">
        <v>10442986</v>
      </c>
      <c r="P2" s="56">
        <v>13431005</v>
      </c>
      <c r="Q2" s="56">
        <v>20005562</v>
      </c>
      <c r="R2" s="56">
        <v>21279629</v>
      </c>
      <c r="S2" s="56">
        <v>10248950</v>
      </c>
      <c r="T2" s="56">
        <v>30070051</v>
      </c>
      <c r="U2" s="56">
        <v>37813723</v>
      </c>
      <c r="V2" s="56">
        <v>9733696</v>
      </c>
      <c r="W2" s="56">
        <v>115091</v>
      </c>
      <c r="X2" s="56">
        <v>954384</v>
      </c>
      <c r="Y2" s="56">
        <v>-44212187</v>
      </c>
      <c r="Z2" s="56">
        <v>13311455</v>
      </c>
      <c r="AA2" s="56">
        <v>17627201</v>
      </c>
      <c r="AB2" s="56">
        <v>25656526</v>
      </c>
      <c r="AC2" s="56">
        <v>-6671445</v>
      </c>
      <c r="AD2" s="56">
        <v>26712713</v>
      </c>
      <c r="AE2" s="56">
        <v>121228000</v>
      </c>
      <c r="AF2" s="56">
        <v>18788000</v>
      </c>
      <c r="AG2" s="56">
        <v>7049000</v>
      </c>
      <c r="AH2" s="56">
        <v>44938000</v>
      </c>
    </row>
    <row r="3" spans="2:34" x14ac:dyDescent="0.25">
      <c r="B3" t="str">
        <v>Petrobras PN</v>
      </c>
      <c r="C3" t="str">
        <v xml:space="preserve">Lucro Líquido Contábil </v>
      </c>
      <c r="D3">
        <v>0</v>
      </c>
      <c r="E3" s="59">
        <v>0</v>
      </c>
      <c r="F3" s="56">
        <v>668609</v>
      </c>
      <c r="G3" s="56">
        <v>1510983</v>
      </c>
      <c r="H3" s="56">
        <v>1388629</v>
      </c>
      <c r="I3" s="56">
        <v>1756652</v>
      </c>
      <c r="J3" s="56">
        <v>9942392</v>
      </c>
      <c r="K3" s="56">
        <v>9867038</v>
      </c>
      <c r="L3" s="56">
        <v>8097791</v>
      </c>
      <c r="M3" s="56">
        <v>17794669</v>
      </c>
      <c r="N3" s="56">
        <v>17860754</v>
      </c>
      <c r="O3" s="56">
        <v>23724723</v>
      </c>
      <c r="P3" s="56">
        <v>25918920</v>
      </c>
      <c r="Q3" s="56">
        <v>21511789</v>
      </c>
      <c r="R3" s="56">
        <v>32987792</v>
      </c>
      <c r="S3" s="56">
        <v>28981708</v>
      </c>
      <c r="T3" s="56">
        <v>35189366</v>
      </c>
      <c r="U3" s="56">
        <v>33313097</v>
      </c>
      <c r="V3" s="56">
        <v>21182442</v>
      </c>
      <c r="W3" s="56">
        <v>23570367</v>
      </c>
      <c r="X3" s="56">
        <v>-21587000</v>
      </c>
      <c r="Y3" s="56">
        <v>-34836000</v>
      </c>
      <c r="Z3" s="56">
        <v>-14824000</v>
      </c>
      <c r="AA3" s="56">
        <v>-446000</v>
      </c>
      <c r="AB3" s="56">
        <v>25779000</v>
      </c>
      <c r="AC3" s="56">
        <v>40137000</v>
      </c>
      <c r="AD3" s="56">
        <v>7108000</v>
      </c>
      <c r="AE3" s="56">
        <v>106668000</v>
      </c>
      <c r="AF3" s="56">
        <v>36623000</v>
      </c>
      <c r="AG3" s="56">
        <v>2962000</v>
      </c>
      <c r="AH3" s="56">
        <v>130169000</v>
      </c>
    </row>
    <row r="4" spans="2:34" x14ac:dyDescent="0.25">
      <c r="B4" t="str">
        <v>ItauUnibanco PN</v>
      </c>
      <c r="C4" t="str">
        <v xml:space="preserve">Lucro Líquido Contábil </v>
      </c>
      <c r="D4">
        <v>0</v>
      </c>
      <c r="E4" s="59">
        <v>0</v>
      </c>
      <c r="F4" s="56">
        <v>592097</v>
      </c>
      <c r="G4" s="56">
        <v>720780</v>
      </c>
      <c r="H4" s="56">
        <v>879921</v>
      </c>
      <c r="I4" s="56">
        <v>1869363</v>
      </c>
      <c r="J4" s="56">
        <v>1840568</v>
      </c>
      <c r="K4" s="56">
        <v>2389468</v>
      </c>
      <c r="L4" s="56">
        <v>2376723</v>
      </c>
      <c r="M4" s="56">
        <v>3151820</v>
      </c>
      <c r="N4" s="56">
        <v>3775616</v>
      </c>
      <c r="O4" s="56">
        <v>5251334</v>
      </c>
      <c r="P4" s="56">
        <v>4308927</v>
      </c>
      <c r="Q4" s="56">
        <v>8473604</v>
      </c>
      <c r="R4" s="56">
        <v>7803483</v>
      </c>
      <c r="S4" s="56">
        <v>10066608</v>
      </c>
      <c r="T4" s="56">
        <v>13322963</v>
      </c>
      <c r="U4" s="56">
        <v>14620621</v>
      </c>
      <c r="V4" s="56">
        <v>13593940</v>
      </c>
      <c r="W4" s="56">
        <v>15695749</v>
      </c>
      <c r="X4" s="56">
        <v>20241564</v>
      </c>
      <c r="Y4" s="56">
        <v>23359834</v>
      </c>
      <c r="Z4" s="56">
        <v>21639125</v>
      </c>
      <c r="AA4" s="56">
        <v>23964551</v>
      </c>
      <c r="AB4" s="56">
        <v>24977422</v>
      </c>
      <c r="AC4" s="56">
        <v>26582639</v>
      </c>
      <c r="AD4" s="56">
        <v>18909000</v>
      </c>
      <c r="AE4" s="56">
        <v>24988000</v>
      </c>
      <c r="AF4" s="56">
        <v>29207000</v>
      </c>
      <c r="AG4" s="56">
        <v>15564000</v>
      </c>
      <c r="AH4" s="56">
        <v>11630000</v>
      </c>
    </row>
    <row r="5" spans="2:34" x14ac:dyDescent="0.25">
      <c r="B5" t="str">
        <v>Petrobras ON</v>
      </c>
      <c r="C5" t="str">
        <v xml:space="preserve">Lucro Líquido Contábil </v>
      </c>
      <c r="D5">
        <v>0</v>
      </c>
      <c r="E5" s="59">
        <v>0</v>
      </c>
      <c r="F5" s="56">
        <v>668609</v>
      </c>
      <c r="G5" s="56">
        <v>1510983</v>
      </c>
      <c r="H5" s="56">
        <v>1388629</v>
      </c>
      <c r="I5" s="56">
        <v>1756652</v>
      </c>
      <c r="J5" s="56">
        <v>9942392</v>
      </c>
      <c r="K5" s="56">
        <v>9867038</v>
      </c>
      <c r="L5" s="56">
        <v>8097791</v>
      </c>
      <c r="M5" s="56">
        <v>17794669</v>
      </c>
      <c r="N5" s="56">
        <v>17860754</v>
      </c>
      <c r="O5" s="56">
        <v>23724723</v>
      </c>
      <c r="P5" s="56">
        <v>25918920</v>
      </c>
      <c r="Q5" s="56">
        <v>21511789</v>
      </c>
      <c r="R5" s="56">
        <v>32987792</v>
      </c>
      <c r="S5" s="56">
        <v>28981708</v>
      </c>
      <c r="T5" s="56">
        <v>35189366</v>
      </c>
      <c r="U5" s="56">
        <v>33313097</v>
      </c>
      <c r="V5" s="56">
        <v>21182442</v>
      </c>
      <c r="W5" s="56">
        <v>23570367</v>
      </c>
      <c r="X5" s="56">
        <v>-21587000</v>
      </c>
      <c r="Y5" s="56">
        <v>-34836000</v>
      </c>
      <c r="Z5" s="56">
        <v>-14824000</v>
      </c>
      <c r="AA5" s="56">
        <v>-446000</v>
      </c>
      <c r="AB5" s="56">
        <v>25779000</v>
      </c>
      <c r="AC5" s="56">
        <v>40137000</v>
      </c>
      <c r="AD5" s="56">
        <v>7108000</v>
      </c>
      <c r="AE5" s="56">
        <v>106668000</v>
      </c>
      <c r="AF5" s="56">
        <v>36623000</v>
      </c>
      <c r="AG5" s="56">
        <v>2962000</v>
      </c>
      <c r="AH5" s="56">
        <v>130169000</v>
      </c>
    </row>
    <row r="6" spans="2:34" x14ac:dyDescent="0.25">
      <c r="B6" t="str">
        <v>Eletrobras ON</v>
      </c>
      <c r="C6" t="str">
        <v xml:space="preserve">Lucro Líquido Contábil </v>
      </c>
      <c r="D6">
        <v>0</v>
      </c>
      <c r="E6" s="59">
        <v>0</v>
      </c>
      <c r="F6" s="56">
        <v>2393485</v>
      </c>
      <c r="G6" s="56">
        <v>3378212</v>
      </c>
      <c r="H6" s="56">
        <v>1994178</v>
      </c>
      <c r="I6" s="56">
        <v>580589</v>
      </c>
      <c r="J6" s="56">
        <v>2455813</v>
      </c>
      <c r="K6" s="56">
        <v>3251336</v>
      </c>
      <c r="L6" s="56">
        <v>1100340</v>
      </c>
      <c r="M6" s="56">
        <v>323125</v>
      </c>
      <c r="N6" s="56">
        <v>1293314</v>
      </c>
      <c r="O6" s="56">
        <v>974589</v>
      </c>
      <c r="P6" s="56">
        <v>1161318</v>
      </c>
      <c r="Q6" s="56">
        <v>1547857</v>
      </c>
      <c r="R6" s="56">
        <v>6136497</v>
      </c>
      <c r="S6" s="56">
        <v>170526</v>
      </c>
      <c r="T6" s="56">
        <v>2247913</v>
      </c>
      <c r="U6" s="56">
        <v>3732565</v>
      </c>
      <c r="V6" s="56">
        <v>-6878915</v>
      </c>
      <c r="W6" s="56">
        <v>-6286663</v>
      </c>
      <c r="X6" s="56">
        <v>-3031055</v>
      </c>
      <c r="Y6" s="56">
        <v>-14441607</v>
      </c>
      <c r="Z6" s="56">
        <v>3425899</v>
      </c>
      <c r="AA6" s="56">
        <v>-1763805</v>
      </c>
      <c r="AB6" s="56">
        <v>13262378</v>
      </c>
      <c r="AC6" s="56">
        <v>10697124</v>
      </c>
      <c r="AD6" s="56">
        <v>6338688</v>
      </c>
      <c r="AE6" s="56">
        <v>5646141</v>
      </c>
      <c r="AF6" s="56">
        <v>3635377</v>
      </c>
      <c r="AG6" s="56">
        <v>79980581</v>
      </c>
      <c r="AH6" s="56">
        <v>34739705</v>
      </c>
    </row>
    <row r="7" spans="2:34" x14ac:dyDescent="0.25">
      <c r="B7" t="str">
        <v>Bradesco PN</v>
      </c>
      <c r="C7" t="str">
        <v xml:space="preserve">Lucro Líquido Contábil </v>
      </c>
      <c r="D7">
        <v>0</v>
      </c>
      <c r="E7" s="59">
        <v>0</v>
      </c>
      <c r="F7" s="56">
        <v>824493</v>
      </c>
      <c r="G7" s="56">
        <v>830512</v>
      </c>
      <c r="H7" s="56">
        <v>1012420</v>
      </c>
      <c r="I7" s="56">
        <v>1104806</v>
      </c>
      <c r="J7" s="56">
        <v>1740165</v>
      </c>
      <c r="K7" s="56">
        <v>2170130</v>
      </c>
      <c r="L7" s="56">
        <v>2022588</v>
      </c>
      <c r="M7" s="56">
        <v>2306339</v>
      </c>
      <c r="N7" s="56">
        <v>3060151</v>
      </c>
      <c r="O7" s="56">
        <v>5514074</v>
      </c>
      <c r="P7" s="56">
        <v>5054040</v>
      </c>
      <c r="Q7" s="56">
        <v>8009724</v>
      </c>
      <c r="R7" s="56">
        <v>7620238</v>
      </c>
      <c r="S7" s="56">
        <v>8012282</v>
      </c>
      <c r="T7" s="56">
        <v>10021673</v>
      </c>
      <c r="U7" s="56">
        <v>11028266</v>
      </c>
      <c r="V7" s="56">
        <v>11381244</v>
      </c>
      <c r="W7" s="56">
        <v>12011028</v>
      </c>
      <c r="X7" s="56">
        <v>15088818</v>
      </c>
      <c r="Y7" s="56">
        <v>17189635</v>
      </c>
      <c r="Z7" s="56">
        <v>15083578</v>
      </c>
      <c r="AA7" s="56">
        <v>14657755</v>
      </c>
      <c r="AB7" s="56">
        <v>19084953</v>
      </c>
      <c r="AC7" s="56">
        <v>22582615</v>
      </c>
      <c r="AD7" s="56">
        <v>16546577</v>
      </c>
      <c r="AE7" s="56">
        <v>21945688</v>
      </c>
      <c r="AF7" s="56">
        <v>21223264</v>
      </c>
      <c r="AG7" s="56">
        <v>12257722</v>
      </c>
      <c r="AH7" s="56">
        <v>11971122</v>
      </c>
    </row>
    <row r="8" spans="2:34" x14ac:dyDescent="0.25">
      <c r="B8" t="str">
        <v>B3 ON</v>
      </c>
      <c r="C8" t="str">
        <v xml:space="preserve">Lucro Líquido Contábil </v>
      </c>
      <c r="D8">
        <v>0</v>
      </c>
      <c r="E8" s="59">
        <v>0</v>
      </c>
      <c r="F8" s="56">
        <v>0</v>
      </c>
      <c r="G8" s="56">
        <v>0</v>
      </c>
      <c r="H8" s="56">
        <v>0</v>
      </c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56">
        <v>0</v>
      </c>
      <c r="O8" s="56">
        <v>0</v>
      </c>
      <c r="P8" s="56">
        <v>0</v>
      </c>
      <c r="Q8" s="56">
        <v>0</v>
      </c>
      <c r="R8" s="56">
        <v>645596</v>
      </c>
      <c r="S8" s="56">
        <v>881050</v>
      </c>
      <c r="T8" s="56">
        <v>1144561</v>
      </c>
      <c r="U8" s="56">
        <v>1047999</v>
      </c>
      <c r="V8" s="56">
        <v>1074290</v>
      </c>
      <c r="W8" s="56">
        <v>1081516</v>
      </c>
      <c r="X8" s="56">
        <v>977053</v>
      </c>
      <c r="Y8" s="56">
        <v>2202238</v>
      </c>
      <c r="Z8" s="56">
        <v>1446263</v>
      </c>
      <c r="AA8" s="56">
        <v>1296240</v>
      </c>
      <c r="AB8" s="56">
        <v>2087444</v>
      </c>
      <c r="AC8" s="56">
        <v>2714166</v>
      </c>
      <c r="AD8" s="56">
        <v>4152304</v>
      </c>
      <c r="AE8" s="56">
        <v>4717097</v>
      </c>
      <c r="AF8" s="56">
        <v>4226057</v>
      </c>
      <c r="AG8" s="56">
        <v>2097613</v>
      </c>
      <c r="AH8" s="56">
        <v>920622</v>
      </c>
    </row>
    <row r="9" spans="2:34" x14ac:dyDescent="0.25">
      <c r="B9" t="str">
        <v>Brasil ON</v>
      </c>
      <c r="C9" t="str">
        <v xml:space="preserve">Lucro Líquido Contábil </v>
      </c>
      <c r="D9">
        <v>0</v>
      </c>
      <c r="E9" s="59">
        <v>0</v>
      </c>
      <c r="F9" s="56">
        <v>-7525817</v>
      </c>
      <c r="G9" s="56">
        <v>573819</v>
      </c>
      <c r="H9" s="56">
        <v>869893</v>
      </c>
      <c r="I9" s="56">
        <v>843050</v>
      </c>
      <c r="J9" s="56">
        <v>974211</v>
      </c>
      <c r="K9" s="56">
        <v>1081952</v>
      </c>
      <c r="L9" s="56">
        <v>2027676</v>
      </c>
      <c r="M9" s="56">
        <v>2380982</v>
      </c>
      <c r="N9" s="56">
        <v>3024006</v>
      </c>
      <c r="O9" s="56">
        <v>4153602</v>
      </c>
      <c r="P9" s="56">
        <v>6043777</v>
      </c>
      <c r="Q9" s="56">
        <v>5058119</v>
      </c>
      <c r="R9" s="56">
        <v>8802869</v>
      </c>
      <c r="S9" s="56">
        <v>10147522</v>
      </c>
      <c r="T9" s="56">
        <v>11703165</v>
      </c>
      <c r="U9" s="56">
        <v>12125990</v>
      </c>
      <c r="V9" s="56">
        <v>12205120</v>
      </c>
      <c r="W9" s="56">
        <v>15757937</v>
      </c>
      <c r="X9" s="56">
        <v>11245814</v>
      </c>
      <c r="Y9" s="56">
        <v>14399559</v>
      </c>
      <c r="Z9" s="56">
        <v>8033556</v>
      </c>
      <c r="AA9" s="56">
        <v>11010776</v>
      </c>
      <c r="AB9" s="56">
        <v>12862026</v>
      </c>
      <c r="AC9" s="56">
        <v>18162067</v>
      </c>
      <c r="AD9" s="56">
        <v>12697385</v>
      </c>
      <c r="AE9" s="56">
        <v>19710402</v>
      </c>
      <c r="AF9" s="56">
        <v>31112242</v>
      </c>
      <c r="AG9" s="56">
        <v>11014625</v>
      </c>
      <c r="AH9" s="56">
        <v>8825918</v>
      </c>
    </row>
    <row r="10" spans="2:34" x14ac:dyDescent="0.25">
      <c r="B10" t="str">
        <v>Ambev S/A ON</v>
      </c>
      <c r="C10" t="str">
        <v xml:space="preserve">Lucro Líquido Contábil </v>
      </c>
      <c r="D10">
        <v>0</v>
      </c>
      <c r="E10" s="59">
        <v>0</v>
      </c>
      <c r="F10" s="56">
        <v>324894</v>
      </c>
      <c r="G10" s="56">
        <v>456323</v>
      </c>
      <c r="H10" s="56">
        <v>329098</v>
      </c>
      <c r="I10" s="56">
        <v>-310682</v>
      </c>
      <c r="J10" s="56">
        <v>470182</v>
      </c>
      <c r="K10" s="56">
        <v>784568</v>
      </c>
      <c r="L10" s="56">
        <v>1510313</v>
      </c>
      <c r="M10" s="56">
        <v>1411570</v>
      </c>
      <c r="N10" s="56">
        <v>1161533</v>
      </c>
      <c r="O10" s="56">
        <v>1545728</v>
      </c>
      <c r="P10" s="56">
        <v>2806256</v>
      </c>
      <c r="Q10" s="56">
        <v>2816407</v>
      </c>
      <c r="R10" s="56">
        <v>3059478</v>
      </c>
      <c r="S10" s="56">
        <v>5986050</v>
      </c>
      <c r="T10" s="56">
        <v>7561383</v>
      </c>
      <c r="U10" s="56">
        <v>8640976</v>
      </c>
      <c r="V10" s="56">
        <v>10508066</v>
      </c>
      <c r="W10" s="56">
        <v>9534969</v>
      </c>
      <c r="X10" s="56">
        <v>12065512</v>
      </c>
      <c r="Y10" s="56">
        <v>12423771</v>
      </c>
      <c r="Z10" s="56">
        <v>12546610</v>
      </c>
      <c r="AA10" s="56">
        <v>7331968</v>
      </c>
      <c r="AB10" s="56">
        <v>11024678</v>
      </c>
      <c r="AC10" s="56">
        <v>11779965</v>
      </c>
      <c r="AD10" s="56">
        <v>11379394</v>
      </c>
      <c r="AE10" s="56">
        <v>12670968</v>
      </c>
      <c r="AF10" s="56">
        <v>14457900</v>
      </c>
      <c r="AG10" s="56">
        <v>9222200</v>
      </c>
      <c r="AH10" s="56">
        <v>30055700</v>
      </c>
    </row>
    <row r="11" spans="2:34" x14ac:dyDescent="0.25">
      <c r="B11" t="str">
        <v>Localiza ON</v>
      </c>
      <c r="C11" t="str">
        <v xml:space="preserve">Lucro Líquido Contábil </v>
      </c>
      <c r="D11">
        <v>0</v>
      </c>
      <c r="E11" s="59">
        <v>0</v>
      </c>
      <c r="F11" s="56">
        <v>0</v>
      </c>
      <c r="G11" s="56">
        <v>0</v>
      </c>
      <c r="H11" s="56">
        <v>0</v>
      </c>
      <c r="I11" s="56">
        <v>19931</v>
      </c>
      <c r="J11" s="56">
        <v>44655</v>
      </c>
      <c r="K11" s="56">
        <v>42981</v>
      </c>
      <c r="L11" s="56">
        <v>0</v>
      </c>
      <c r="M11" s="56">
        <v>0</v>
      </c>
      <c r="N11" s="56">
        <v>102343</v>
      </c>
      <c r="O11" s="56">
        <v>96720</v>
      </c>
      <c r="P11" s="56">
        <v>118411</v>
      </c>
      <c r="Q11" s="56">
        <v>156992</v>
      </c>
      <c r="R11" s="56">
        <v>136517</v>
      </c>
      <c r="S11" s="56">
        <v>102030</v>
      </c>
      <c r="T11" s="56">
        <v>255892</v>
      </c>
      <c r="U11" s="56">
        <v>291642</v>
      </c>
      <c r="V11" s="56">
        <v>240936</v>
      </c>
      <c r="W11" s="56">
        <v>384344</v>
      </c>
      <c r="X11" s="56">
        <v>410589</v>
      </c>
      <c r="Y11" s="56">
        <v>402427</v>
      </c>
      <c r="Z11" s="56">
        <v>409315</v>
      </c>
      <c r="AA11" s="56">
        <v>505676</v>
      </c>
      <c r="AB11" s="56">
        <v>659208</v>
      </c>
      <c r="AC11" s="56">
        <v>833938</v>
      </c>
      <c r="AD11" s="56">
        <v>1048180</v>
      </c>
      <c r="AE11" s="56">
        <v>2043677</v>
      </c>
      <c r="AF11" s="56">
        <v>1844306</v>
      </c>
      <c r="AG11" s="56">
        <v>373785</v>
      </c>
      <c r="AH11" s="56">
        <v>43020498</v>
      </c>
    </row>
    <row r="12" spans="2:34" x14ac:dyDescent="0.25">
      <c r="B12" t="str">
        <v>Itausa PN</v>
      </c>
      <c r="C12" t="str">
        <v xml:space="preserve">Lucro Líquido Contábil </v>
      </c>
      <c r="D12">
        <v>0</v>
      </c>
      <c r="E12" s="59">
        <v>0</v>
      </c>
      <c r="F12" s="56">
        <v>295722</v>
      </c>
      <c r="G12" s="56">
        <v>465634</v>
      </c>
      <c r="H12" s="56">
        <v>468922</v>
      </c>
      <c r="I12" s="56">
        <v>951105</v>
      </c>
      <c r="J12" s="56">
        <v>882455</v>
      </c>
      <c r="K12" s="56">
        <v>1182829</v>
      </c>
      <c r="L12" s="56">
        <v>1537264</v>
      </c>
      <c r="M12" s="56">
        <v>1561263</v>
      </c>
      <c r="N12" s="56">
        <v>1962392</v>
      </c>
      <c r="O12" s="56">
        <v>2297173</v>
      </c>
      <c r="P12" s="56">
        <v>4485631</v>
      </c>
      <c r="Q12" s="56">
        <v>3988482</v>
      </c>
      <c r="R12" s="56">
        <v>2699680</v>
      </c>
      <c r="S12" s="56">
        <v>3930204</v>
      </c>
      <c r="T12" s="56">
        <v>4417000</v>
      </c>
      <c r="U12" s="56">
        <v>4837000</v>
      </c>
      <c r="V12" s="56">
        <v>4539000</v>
      </c>
      <c r="W12" s="56">
        <v>5698000</v>
      </c>
      <c r="X12" s="56">
        <v>7911000</v>
      </c>
      <c r="Y12" s="56">
        <v>8868000</v>
      </c>
      <c r="Z12" s="56">
        <v>8211000</v>
      </c>
      <c r="AA12" s="56">
        <v>8403000</v>
      </c>
      <c r="AB12" s="56">
        <v>9436000</v>
      </c>
      <c r="AC12" s="56">
        <v>10312000</v>
      </c>
      <c r="AD12" s="56">
        <v>7056000</v>
      </c>
      <c r="AE12" s="56">
        <v>12200000</v>
      </c>
      <c r="AF12" s="56">
        <v>13674000</v>
      </c>
      <c r="AG12" s="56">
        <v>450000</v>
      </c>
      <c r="AH12" s="56">
        <v>4620000</v>
      </c>
    </row>
    <row r="13" spans="2:34" x14ac:dyDescent="0.25">
      <c r="B13" t="str">
        <v>Weg ON</v>
      </c>
      <c r="C13" t="str">
        <v xml:space="preserve">Lucro Líquido Contábil </v>
      </c>
      <c r="D13">
        <v>0</v>
      </c>
      <c r="E13" s="59">
        <v>0</v>
      </c>
      <c r="F13" s="56">
        <v>40660</v>
      </c>
      <c r="G13" s="56">
        <v>58494</v>
      </c>
      <c r="H13" s="56">
        <v>97531</v>
      </c>
      <c r="I13" s="56">
        <v>81997</v>
      </c>
      <c r="J13" s="56">
        <v>125426</v>
      </c>
      <c r="K13" s="56">
        <v>175683</v>
      </c>
      <c r="L13" s="56">
        <v>220326</v>
      </c>
      <c r="M13" s="56">
        <v>307809</v>
      </c>
      <c r="N13" s="56">
        <v>402654</v>
      </c>
      <c r="O13" s="56">
        <v>374812</v>
      </c>
      <c r="P13" s="56">
        <v>502831</v>
      </c>
      <c r="Q13" s="56">
        <v>574984</v>
      </c>
      <c r="R13" s="56">
        <v>560401</v>
      </c>
      <c r="S13" s="56">
        <v>548392</v>
      </c>
      <c r="T13" s="56">
        <v>519782</v>
      </c>
      <c r="U13" s="56">
        <v>586936</v>
      </c>
      <c r="V13" s="56">
        <v>655979</v>
      </c>
      <c r="W13" s="56">
        <v>843467</v>
      </c>
      <c r="X13" s="56">
        <v>954726</v>
      </c>
      <c r="Y13" s="56">
        <v>1156065</v>
      </c>
      <c r="Z13" s="56">
        <v>1117624</v>
      </c>
      <c r="AA13" s="56">
        <v>1142149</v>
      </c>
      <c r="AB13" s="56">
        <v>1338319</v>
      </c>
      <c r="AC13" s="56">
        <v>1614581</v>
      </c>
      <c r="AD13" s="56">
        <v>2340873</v>
      </c>
      <c r="AE13" s="56">
        <v>3585947</v>
      </c>
      <c r="AF13" s="56">
        <v>4208084</v>
      </c>
      <c r="AG13" s="56">
        <v>238820</v>
      </c>
      <c r="AH13" s="56">
        <v>6282653</v>
      </c>
    </row>
    <row r="14" spans="2:34" x14ac:dyDescent="0.25">
      <c r="B14" t="str">
        <v>Btgp Banco UNT</v>
      </c>
      <c r="C14" t="str">
        <v xml:space="preserve">Lucro Líquido Contábil </v>
      </c>
      <c r="D14">
        <v>0</v>
      </c>
      <c r="E14" s="59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1477020</v>
      </c>
      <c r="V14" s="56">
        <v>2061237</v>
      </c>
      <c r="W14" s="56">
        <v>2669689</v>
      </c>
      <c r="X14" s="56">
        <v>3369246</v>
      </c>
      <c r="Y14" s="56">
        <v>5623498</v>
      </c>
      <c r="Z14" s="56">
        <v>3408583</v>
      </c>
      <c r="AA14" s="56">
        <v>2383863</v>
      </c>
      <c r="AB14" s="56">
        <v>2360784</v>
      </c>
      <c r="AC14" s="56">
        <v>3828312</v>
      </c>
      <c r="AD14" s="56">
        <v>3976382</v>
      </c>
      <c r="AE14" s="56">
        <v>6342155</v>
      </c>
      <c r="AF14" s="56">
        <v>7841837</v>
      </c>
      <c r="AG14" s="56">
        <v>4703387</v>
      </c>
      <c r="AH14" s="56">
        <v>508618</v>
      </c>
    </row>
    <row r="15" spans="2:34" x14ac:dyDescent="0.25">
      <c r="B15" t="str">
        <v>Equatorial ON</v>
      </c>
      <c r="C15" t="str">
        <v xml:space="preserve">Lucro Líquido Contábil </v>
      </c>
      <c r="D15">
        <v>0</v>
      </c>
      <c r="E15" s="59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56">
        <v>0</v>
      </c>
      <c r="O15" s="56">
        <v>228844</v>
      </c>
      <c r="P15" s="56">
        <v>125410</v>
      </c>
      <c r="Q15" s="56">
        <v>154444</v>
      </c>
      <c r="R15" s="56">
        <v>300114</v>
      </c>
      <c r="S15" s="56">
        <v>207283</v>
      </c>
      <c r="T15" s="56">
        <v>188871</v>
      </c>
      <c r="U15" s="56">
        <v>159996</v>
      </c>
      <c r="V15" s="56">
        <v>140995</v>
      </c>
      <c r="W15" s="56">
        <v>68637</v>
      </c>
      <c r="X15" s="56">
        <v>637756</v>
      </c>
      <c r="Y15" s="56">
        <v>808482</v>
      </c>
      <c r="Z15" s="56">
        <v>712217</v>
      </c>
      <c r="AA15" s="56">
        <v>997263</v>
      </c>
      <c r="AB15" s="56">
        <v>917935</v>
      </c>
      <c r="AC15" s="56">
        <v>2415630</v>
      </c>
      <c r="AD15" s="56">
        <v>2975089</v>
      </c>
      <c r="AE15" s="56">
        <v>3694527</v>
      </c>
      <c r="AF15" s="56">
        <v>1373938</v>
      </c>
      <c r="AG15" s="56">
        <v>29245320</v>
      </c>
      <c r="AH15" s="56">
        <v>5139309</v>
      </c>
    </row>
    <row r="16" spans="2:34" x14ac:dyDescent="0.25">
      <c r="B16" t="str">
        <v>Suzano S.A. ON</v>
      </c>
      <c r="C16" t="str">
        <v xml:space="preserve">Lucro Líquido Contábil </v>
      </c>
      <c r="D16">
        <v>0</v>
      </c>
      <c r="E16" s="59">
        <v>0</v>
      </c>
      <c r="F16" s="56">
        <v>6831</v>
      </c>
      <c r="G16" s="56">
        <v>4641</v>
      </c>
      <c r="H16" s="56">
        <v>-46038</v>
      </c>
      <c r="I16" s="56">
        <v>89494</v>
      </c>
      <c r="J16" s="56">
        <v>499009</v>
      </c>
      <c r="K16" s="56">
        <v>305300</v>
      </c>
      <c r="L16" s="56">
        <v>55078</v>
      </c>
      <c r="M16" s="56">
        <v>586518</v>
      </c>
      <c r="N16" s="56">
        <v>602959</v>
      </c>
      <c r="O16" s="56">
        <v>499649</v>
      </c>
      <c r="P16" s="56">
        <v>443690</v>
      </c>
      <c r="Q16" s="56">
        <v>539353</v>
      </c>
      <c r="R16" s="56">
        <v>-451308</v>
      </c>
      <c r="S16" s="56">
        <v>877932</v>
      </c>
      <c r="T16" s="56">
        <v>768997</v>
      </c>
      <c r="U16" s="56">
        <v>29891</v>
      </c>
      <c r="V16" s="56">
        <v>-182126</v>
      </c>
      <c r="W16" s="56">
        <v>-220459</v>
      </c>
      <c r="X16" s="56">
        <v>-261506</v>
      </c>
      <c r="Y16" s="56">
        <v>-925354</v>
      </c>
      <c r="Z16" s="56">
        <v>1691998</v>
      </c>
      <c r="AA16" s="56">
        <v>1807433</v>
      </c>
      <c r="AB16" s="56">
        <v>318339</v>
      </c>
      <c r="AC16" s="56">
        <v>-2817518</v>
      </c>
      <c r="AD16" s="56">
        <v>-10724828</v>
      </c>
      <c r="AE16" s="56">
        <v>8626386</v>
      </c>
      <c r="AF16" s="56">
        <v>23381617</v>
      </c>
      <c r="AG16" s="56">
        <v>7173183</v>
      </c>
      <c r="AH16" s="56">
        <v>55765860</v>
      </c>
    </row>
    <row r="17" spans="2:34" x14ac:dyDescent="0.25">
      <c r="B17" t="str">
        <v>Petrorio ON</v>
      </c>
      <c r="C17" t="str">
        <v xml:space="preserve">Lucro Líquido Contábil </v>
      </c>
      <c r="D17">
        <v>0</v>
      </c>
      <c r="E17" s="59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-12635</v>
      </c>
      <c r="T17" s="56">
        <v>-142370</v>
      </c>
      <c r="U17" s="56">
        <v>-304035</v>
      </c>
      <c r="V17" s="56">
        <v>-277566</v>
      </c>
      <c r="W17" s="56">
        <v>-2237870</v>
      </c>
      <c r="X17" s="56">
        <v>-1003073</v>
      </c>
      <c r="Y17" s="56">
        <v>110421</v>
      </c>
      <c r="Z17" s="56">
        <v>241622</v>
      </c>
      <c r="AA17" s="56">
        <v>30627</v>
      </c>
      <c r="AB17" s="56">
        <v>204875</v>
      </c>
      <c r="AC17" s="56">
        <v>842346</v>
      </c>
      <c r="AD17" s="56">
        <v>452766</v>
      </c>
      <c r="AE17" s="56">
        <v>1333046</v>
      </c>
      <c r="AF17" s="56">
        <v>3427072</v>
      </c>
      <c r="AG17" s="56">
        <v>2833955</v>
      </c>
      <c r="AH17" s="56">
        <v>6136179</v>
      </c>
    </row>
    <row r="18" spans="2:34" x14ac:dyDescent="0.25">
      <c r="B18" t="str">
        <v>RaiaDrogasil ON</v>
      </c>
      <c r="C18" t="str">
        <v xml:space="preserve">Lucro Líquido Contábil </v>
      </c>
      <c r="D18">
        <v>0</v>
      </c>
      <c r="E18" s="59">
        <v>0</v>
      </c>
      <c r="F18" s="56">
        <v>1891</v>
      </c>
      <c r="G18" s="56">
        <v>155</v>
      </c>
      <c r="H18" s="56">
        <v>2344</v>
      </c>
      <c r="I18" s="56">
        <v>2866</v>
      </c>
      <c r="J18" s="56">
        <v>1931</v>
      </c>
      <c r="K18" s="56">
        <v>5040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56">
        <v>0</v>
      </c>
      <c r="V18" s="56">
        <v>104855</v>
      </c>
      <c r="W18" s="56">
        <v>100985</v>
      </c>
      <c r="X18" s="56">
        <v>0</v>
      </c>
      <c r="Y18" s="56">
        <v>340206</v>
      </c>
      <c r="Z18" s="56">
        <v>447685</v>
      </c>
      <c r="AA18" s="56">
        <v>511163</v>
      </c>
      <c r="AB18" s="56">
        <v>502447</v>
      </c>
      <c r="AC18" s="56">
        <v>772240</v>
      </c>
      <c r="AD18" s="56">
        <v>484444</v>
      </c>
      <c r="AE18" s="56">
        <v>751934</v>
      </c>
      <c r="AF18" s="56">
        <v>996112</v>
      </c>
      <c r="AG18" s="56">
        <v>652825</v>
      </c>
      <c r="AH18" s="56">
        <v>5574857</v>
      </c>
    </row>
    <row r="19" spans="2:34" x14ac:dyDescent="0.25">
      <c r="B19" t="str">
        <v>Rede D Or ON</v>
      </c>
      <c r="C19" t="str">
        <v xml:space="preserve">Lucro Líquido Contábil </v>
      </c>
      <c r="D19">
        <v>0</v>
      </c>
      <c r="E19" s="59">
        <v>0</v>
      </c>
      <c r="F19" s="56">
        <v>0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6">
        <v>0</v>
      </c>
      <c r="V19" s="56">
        <v>125982</v>
      </c>
      <c r="W19" s="56">
        <v>208294</v>
      </c>
      <c r="X19" s="56">
        <v>0</v>
      </c>
      <c r="Y19" s="56">
        <v>724733</v>
      </c>
      <c r="Z19" s="56">
        <v>0</v>
      </c>
      <c r="AA19" s="56">
        <v>0</v>
      </c>
      <c r="AB19" s="56">
        <v>1169964</v>
      </c>
      <c r="AC19" s="56">
        <v>1167071</v>
      </c>
      <c r="AD19" s="56">
        <v>428329</v>
      </c>
      <c r="AE19" s="56">
        <v>1575306</v>
      </c>
      <c r="AF19" s="56">
        <v>1194966</v>
      </c>
      <c r="AG19" s="56">
        <v>3547537</v>
      </c>
      <c r="AH19" s="56">
        <v>13940886</v>
      </c>
    </row>
    <row r="20" spans="2:34" x14ac:dyDescent="0.25">
      <c r="B20" t="str">
        <v>Rumo S.A. ON</v>
      </c>
      <c r="C20" t="str">
        <v xml:space="preserve">Lucro Líquido Contábil </v>
      </c>
      <c r="D20">
        <v>0</v>
      </c>
      <c r="E20" s="59">
        <v>0</v>
      </c>
      <c r="F20" s="56">
        <v>0</v>
      </c>
      <c r="G20" s="56">
        <v>-2844</v>
      </c>
      <c r="H20" s="56">
        <v>0</v>
      </c>
      <c r="I20" s="56">
        <v>-9311</v>
      </c>
      <c r="J20" s="56">
        <v>-1647</v>
      </c>
      <c r="K20" s="56">
        <v>9714</v>
      </c>
      <c r="L20" s="56">
        <v>5343</v>
      </c>
      <c r="M20" s="56">
        <v>10154</v>
      </c>
      <c r="N20" s="56">
        <v>150605</v>
      </c>
      <c r="O20" s="56">
        <v>171198</v>
      </c>
      <c r="P20" s="56">
        <v>76060</v>
      </c>
      <c r="Q20" s="56">
        <v>216803</v>
      </c>
      <c r="R20" s="56">
        <v>176726</v>
      </c>
      <c r="S20" s="56">
        <v>31653</v>
      </c>
      <c r="T20" s="56">
        <v>245861</v>
      </c>
      <c r="U20" s="56">
        <v>244945</v>
      </c>
      <c r="V20" s="56">
        <v>237315</v>
      </c>
      <c r="W20" s="56">
        <v>13029</v>
      </c>
      <c r="X20" s="56">
        <v>-2037140</v>
      </c>
      <c r="Y20" s="56">
        <v>-1176643</v>
      </c>
      <c r="Z20" s="56">
        <v>-1063230</v>
      </c>
      <c r="AA20" s="56">
        <v>-260807</v>
      </c>
      <c r="AB20" s="56">
        <v>264357</v>
      </c>
      <c r="AC20" s="56">
        <v>778237</v>
      </c>
      <c r="AD20" s="56">
        <v>297163</v>
      </c>
      <c r="AE20" s="56">
        <v>150538</v>
      </c>
      <c r="AF20" s="56">
        <v>514940</v>
      </c>
      <c r="AG20" s="56">
        <v>6736777</v>
      </c>
      <c r="AH20" s="56">
        <v>24781472</v>
      </c>
    </row>
    <row r="21" spans="2:34" x14ac:dyDescent="0.25">
      <c r="B21" t="str">
        <v>Gerdau PN</v>
      </c>
      <c r="C21" t="str">
        <v xml:space="preserve">Lucro Líquido Contábil </v>
      </c>
      <c r="D21">
        <v>0</v>
      </c>
      <c r="E21" s="59">
        <v>0</v>
      </c>
      <c r="F21" s="56">
        <v>62478</v>
      </c>
      <c r="G21" s="56">
        <v>134996</v>
      </c>
      <c r="H21" s="56">
        <v>190293</v>
      </c>
      <c r="I21" s="56">
        <v>352751</v>
      </c>
      <c r="J21" s="56">
        <v>392942</v>
      </c>
      <c r="K21" s="56">
        <v>464006</v>
      </c>
      <c r="L21" s="56">
        <v>798688</v>
      </c>
      <c r="M21" s="56">
        <v>1137216</v>
      </c>
      <c r="N21" s="56">
        <v>2831339</v>
      </c>
      <c r="O21" s="56">
        <v>2781340</v>
      </c>
      <c r="P21" s="56">
        <v>2880922</v>
      </c>
      <c r="Q21" s="56">
        <v>3552751</v>
      </c>
      <c r="R21" s="56">
        <v>3940505</v>
      </c>
      <c r="S21" s="56">
        <v>1121966</v>
      </c>
      <c r="T21" s="56">
        <v>2142488</v>
      </c>
      <c r="U21" s="56">
        <v>2005727</v>
      </c>
      <c r="V21" s="56">
        <v>1425633</v>
      </c>
      <c r="W21" s="56">
        <v>1583731</v>
      </c>
      <c r="X21" s="56">
        <v>1402873</v>
      </c>
      <c r="Y21" s="56">
        <v>-4551438</v>
      </c>
      <c r="Z21" s="56">
        <v>-2890811</v>
      </c>
      <c r="AA21" s="56">
        <v>-359360</v>
      </c>
      <c r="AB21" s="56">
        <v>2303868</v>
      </c>
      <c r="AC21" s="56">
        <v>1203736</v>
      </c>
      <c r="AD21" s="56">
        <v>2365763</v>
      </c>
      <c r="AE21" s="56">
        <v>15494111</v>
      </c>
      <c r="AF21" s="56">
        <v>11425512</v>
      </c>
      <c r="AG21" s="56">
        <v>415159</v>
      </c>
      <c r="AH21" s="56">
        <v>21383610</v>
      </c>
    </row>
    <row r="22" spans="2:34" x14ac:dyDescent="0.25">
      <c r="B22" t="str">
        <v>Ultrapar ON</v>
      </c>
      <c r="C22" t="str">
        <v xml:space="preserve">Lucro Líquido Contábil </v>
      </c>
      <c r="D22">
        <v>0</v>
      </c>
      <c r="E22" s="59">
        <v>0</v>
      </c>
      <c r="F22" s="56">
        <v>0</v>
      </c>
      <c r="G22" s="56">
        <v>35111</v>
      </c>
      <c r="H22" s="56">
        <v>44472</v>
      </c>
      <c r="I22" s="56">
        <v>87922</v>
      </c>
      <c r="J22" s="56">
        <v>128497</v>
      </c>
      <c r="K22" s="56">
        <v>132201</v>
      </c>
      <c r="L22" s="56">
        <v>222300</v>
      </c>
      <c r="M22" s="56">
        <v>246379</v>
      </c>
      <c r="N22" s="56">
        <v>414479</v>
      </c>
      <c r="O22" s="56">
        <v>299178</v>
      </c>
      <c r="P22" s="56">
        <v>282064</v>
      </c>
      <c r="Q22" s="56">
        <v>181893</v>
      </c>
      <c r="R22" s="56">
        <v>390269</v>
      </c>
      <c r="S22" s="56">
        <v>466748</v>
      </c>
      <c r="T22" s="56">
        <v>765303</v>
      </c>
      <c r="U22" s="56">
        <v>848764</v>
      </c>
      <c r="V22" s="56">
        <v>1011009</v>
      </c>
      <c r="W22" s="56">
        <v>1225143</v>
      </c>
      <c r="X22" s="56">
        <v>1241563</v>
      </c>
      <c r="Y22" s="56">
        <v>1503466</v>
      </c>
      <c r="Z22" s="56">
        <v>1561585</v>
      </c>
      <c r="AA22" s="56">
        <v>1574306</v>
      </c>
      <c r="AB22" s="56">
        <v>1150421</v>
      </c>
      <c r="AC22" s="56">
        <v>373526</v>
      </c>
      <c r="AD22" s="56">
        <v>893383</v>
      </c>
      <c r="AE22" s="56">
        <v>850463</v>
      </c>
      <c r="AF22" s="56">
        <v>1800839</v>
      </c>
      <c r="AG22" s="56">
        <v>1000574</v>
      </c>
      <c r="AH22" s="56">
        <v>7653790</v>
      </c>
    </row>
    <row r="23" spans="2:34" x14ac:dyDescent="0.25">
      <c r="B23" t="str">
        <v>JBS ON</v>
      </c>
      <c r="C23" t="str">
        <v xml:space="preserve">Lucro Líquido Contábil </v>
      </c>
      <c r="D23">
        <v>0</v>
      </c>
      <c r="E23" s="59">
        <v>0</v>
      </c>
      <c r="F23" s="56">
        <v>0</v>
      </c>
      <c r="G23" s="56">
        <v>0</v>
      </c>
      <c r="H23" s="56">
        <v>0</v>
      </c>
      <c r="I23" s="56">
        <v>0</v>
      </c>
      <c r="J23" s="56">
        <v>0</v>
      </c>
      <c r="K23" s="56">
        <v>0</v>
      </c>
      <c r="L23" s="56">
        <v>0</v>
      </c>
      <c r="M23" s="56">
        <v>0</v>
      </c>
      <c r="N23" s="56">
        <v>124963</v>
      </c>
      <c r="O23" s="56">
        <v>84266</v>
      </c>
      <c r="P23" s="56">
        <v>158878</v>
      </c>
      <c r="Q23" s="56">
        <v>-165032</v>
      </c>
      <c r="R23" s="56">
        <v>25939</v>
      </c>
      <c r="S23" s="56">
        <v>129424</v>
      </c>
      <c r="T23" s="56">
        <v>-302748</v>
      </c>
      <c r="U23" s="56">
        <v>-75705</v>
      </c>
      <c r="V23" s="56">
        <v>718938</v>
      </c>
      <c r="W23" s="56">
        <v>926907</v>
      </c>
      <c r="X23" s="56">
        <v>2035910</v>
      </c>
      <c r="Y23" s="56">
        <v>4640114</v>
      </c>
      <c r="Z23" s="56">
        <v>375973</v>
      </c>
      <c r="AA23" s="56">
        <v>534202</v>
      </c>
      <c r="AB23" s="56">
        <v>25199</v>
      </c>
      <c r="AC23" s="56">
        <v>6068368</v>
      </c>
      <c r="AD23" s="56">
        <v>4598311</v>
      </c>
      <c r="AE23" s="56">
        <v>20486561</v>
      </c>
      <c r="AF23" s="56">
        <v>15457836</v>
      </c>
      <c r="AG23" s="56">
        <v>40740751</v>
      </c>
      <c r="AH23" s="56">
        <v>70545684</v>
      </c>
    </row>
    <row r="24" spans="2:34" x14ac:dyDescent="0.25">
      <c r="B24" t="str">
        <v>Vibra ON</v>
      </c>
      <c r="C24" t="str">
        <v xml:space="preserve">Lucro Líquido Contábil </v>
      </c>
      <c r="D24">
        <v>0</v>
      </c>
      <c r="E24" s="59">
        <v>0</v>
      </c>
      <c r="F24" s="56">
        <v>0</v>
      </c>
      <c r="G24" s="56">
        <v>0</v>
      </c>
      <c r="H24" s="56">
        <v>241558</v>
      </c>
      <c r="I24" s="56">
        <v>-73050</v>
      </c>
      <c r="J24" s="56">
        <v>278211</v>
      </c>
      <c r="K24" s="56">
        <v>374092</v>
      </c>
      <c r="L24" s="56">
        <v>675516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1289192</v>
      </c>
      <c r="S24" s="56">
        <v>1461661</v>
      </c>
      <c r="T24" s="56">
        <v>1407000</v>
      </c>
      <c r="U24" s="56">
        <v>1267000</v>
      </c>
      <c r="V24" s="56">
        <v>1891000</v>
      </c>
      <c r="W24" s="56">
        <v>2132000</v>
      </c>
      <c r="X24" s="56">
        <v>1123000</v>
      </c>
      <c r="Y24" s="56">
        <v>-1161000</v>
      </c>
      <c r="Z24" s="56">
        <v>-315000</v>
      </c>
      <c r="AA24" s="56">
        <v>1151000</v>
      </c>
      <c r="AB24" s="56">
        <v>3193000</v>
      </c>
      <c r="AC24" s="56">
        <v>2211000</v>
      </c>
      <c r="AD24" s="56">
        <v>3905000</v>
      </c>
      <c r="AE24" s="56">
        <v>2497000</v>
      </c>
      <c r="AF24" s="56">
        <v>1537000</v>
      </c>
      <c r="AG24" s="56">
        <v>865000</v>
      </c>
      <c r="AH24" s="56">
        <v>6944000</v>
      </c>
    </row>
    <row r="25" spans="2:34" x14ac:dyDescent="0.25">
      <c r="B25" t="str">
        <v>BBSeguridade ON</v>
      </c>
      <c r="C25" t="str">
        <v xml:space="preserve">Lucro Líquido Contábil </v>
      </c>
      <c r="D25">
        <v>0</v>
      </c>
      <c r="E25" s="59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1240112</v>
      </c>
      <c r="W25" s="56">
        <v>2473752</v>
      </c>
      <c r="X25" s="56">
        <v>3456683</v>
      </c>
      <c r="Y25" s="56">
        <v>4207432</v>
      </c>
      <c r="Z25" s="56">
        <v>4013852</v>
      </c>
      <c r="AA25" s="56">
        <v>4049245</v>
      </c>
      <c r="AB25" s="56">
        <v>3539553</v>
      </c>
      <c r="AC25" s="56">
        <v>6658781</v>
      </c>
      <c r="AD25" s="56">
        <v>3850771</v>
      </c>
      <c r="AE25" s="56">
        <v>3933217</v>
      </c>
      <c r="AF25" s="56">
        <v>6196415</v>
      </c>
      <c r="AG25" s="56">
        <v>4021</v>
      </c>
      <c r="AH25" s="56">
        <v>47</v>
      </c>
    </row>
    <row r="26" spans="2:34" x14ac:dyDescent="0.25">
      <c r="C26" s="52" t="s">
        <v>112</v>
      </c>
      <c r="D26" s="54"/>
      <c r="E26" s="60"/>
      <c r="F26" s="57">
        <f>+ AVERAGEIF(F2:F25, "&lt;&gt;",F2:F25)</f>
        <v>-47044.083333333336</v>
      </c>
      <c r="G26" s="57">
        <f t="shared" ref="G26:AH26" si="0">+ AVERAGEIF(G2:G25, "&lt;&gt;",G2:G25)</f>
        <v>434741.625</v>
      </c>
      <c r="H26" s="57">
        <f t="shared" si="0"/>
        <v>412135.41666666669</v>
      </c>
      <c r="I26" s="57">
        <f t="shared" si="0"/>
        <v>431472.25</v>
      </c>
      <c r="J26" s="57">
        <f t="shared" si="0"/>
        <v>1327077.4583333333</v>
      </c>
      <c r="K26" s="57">
        <f t="shared" si="0"/>
        <v>1464753.5833333333</v>
      </c>
      <c r="L26" s="57">
        <f t="shared" si="0"/>
        <v>1282958.0416666667</v>
      </c>
      <c r="M26" s="57">
        <f t="shared" si="0"/>
        <v>2230056.7916666665</v>
      </c>
      <c r="N26" s="57">
        <f t="shared" si="0"/>
        <v>2545307.5416666665</v>
      </c>
      <c r="O26" s="57">
        <f t="shared" si="0"/>
        <v>3423539.125</v>
      </c>
      <c r="P26" s="57">
        <f t="shared" si="0"/>
        <v>3904877.5</v>
      </c>
      <c r="Q26" s="57">
        <f t="shared" si="0"/>
        <v>4088980.0416666665</v>
      </c>
      <c r="R26" s="57">
        <f t="shared" si="0"/>
        <v>5432975.375</v>
      </c>
      <c r="S26" s="57">
        <f t="shared" si="0"/>
        <v>4680877.583333333</v>
      </c>
      <c r="T26" s="57">
        <f t="shared" si="0"/>
        <v>6529854.875</v>
      </c>
      <c r="U26" s="57">
        <f t="shared" si="0"/>
        <v>6958563.125</v>
      </c>
      <c r="V26" s="57">
        <f t="shared" si="0"/>
        <v>4496484.333333333</v>
      </c>
      <c r="W26" s="57">
        <f t="shared" si="0"/>
        <v>4621667.083333333</v>
      </c>
      <c r="X26" s="57">
        <f t="shared" si="0"/>
        <v>1400404.875</v>
      </c>
      <c r="Y26" s="57">
        <f t="shared" si="0"/>
        <v>-1590847.8333333333</v>
      </c>
      <c r="Z26" s="57">
        <f t="shared" si="0"/>
        <v>2656704.125</v>
      </c>
      <c r="AA26" s="57">
        <f t="shared" si="0"/>
        <v>3987601.9166666665</v>
      </c>
      <c r="AB26" s="57">
        <f t="shared" si="0"/>
        <v>7829070.666666667</v>
      </c>
      <c r="AC26" s="57">
        <f t="shared" si="0"/>
        <v>8432640.791666666</v>
      </c>
      <c r="AD26" s="57">
        <f t="shared" si="0"/>
        <v>5620820.291666667</v>
      </c>
      <c r="AE26" s="57">
        <f t="shared" si="0"/>
        <v>21158631.833333332</v>
      </c>
      <c r="AF26" s="57">
        <f t="shared" si="0"/>
        <v>12115429.75</v>
      </c>
      <c r="AG26" s="57">
        <f t="shared" si="0"/>
        <v>10087118.125</v>
      </c>
      <c r="AH26" s="57">
        <f t="shared" si="0"/>
        <v>28154855.416666668</v>
      </c>
    </row>
    <row r="27" spans="2:34" x14ac:dyDescent="0.25">
      <c r="E27" s="59"/>
    </row>
    <row r="28" spans="2:34" x14ac:dyDescent="0.25">
      <c r="B28" s="52" t="s">
        <v>111</v>
      </c>
      <c r="C28" s="53" t="s">
        <v>14</v>
      </c>
      <c r="D28" s="52"/>
      <c r="E28" s="60"/>
      <c r="F28" s="55">
        <v>1996</v>
      </c>
      <c r="G28" s="55">
        <v>1997</v>
      </c>
      <c r="H28" s="55">
        <v>1998</v>
      </c>
      <c r="I28" s="55">
        <v>1999</v>
      </c>
      <c r="J28" s="55">
        <v>2000</v>
      </c>
      <c r="K28" s="55">
        <v>2001</v>
      </c>
      <c r="L28" s="55">
        <v>2002</v>
      </c>
      <c r="M28" s="55">
        <v>2003</v>
      </c>
      <c r="N28" s="55">
        <v>2004</v>
      </c>
      <c r="O28" s="55">
        <v>2005</v>
      </c>
      <c r="P28" s="55">
        <v>2006</v>
      </c>
      <c r="Q28" s="55">
        <v>2007</v>
      </c>
      <c r="R28" s="55">
        <v>2008</v>
      </c>
      <c r="S28" s="55">
        <v>2009</v>
      </c>
      <c r="T28" s="55">
        <v>2010</v>
      </c>
      <c r="U28" s="55">
        <v>2011</v>
      </c>
      <c r="V28" s="55">
        <v>2012</v>
      </c>
      <c r="W28" s="55">
        <v>2013</v>
      </c>
      <c r="X28" s="55">
        <v>2014</v>
      </c>
      <c r="Y28" s="55">
        <v>2015</v>
      </c>
      <c r="Z28" s="55">
        <v>2016</v>
      </c>
      <c r="AA28" s="55">
        <v>2017</v>
      </c>
      <c r="AB28" s="55">
        <v>2018</v>
      </c>
      <c r="AC28" s="55">
        <v>2019</v>
      </c>
      <c r="AD28" s="55">
        <v>2020</v>
      </c>
      <c r="AE28" s="55">
        <v>2021</v>
      </c>
      <c r="AF28" s="55">
        <v>2022</v>
      </c>
      <c r="AG28" s="55">
        <v>2023</v>
      </c>
      <c r="AH28" s="55">
        <v>2024</v>
      </c>
    </row>
    <row r="29" spans="2:34" x14ac:dyDescent="0.25">
      <c r="B29" t="str" cm="1">
        <f t="array" ref="B29:AH52">_xlfn.VSTACK(VALE3:BBSE3!L18:AR18)</f>
        <v>Vale ON</v>
      </c>
      <c r="C29" t="str">
        <v>Lucro com efeitos inflacionário</v>
      </c>
      <c r="D29">
        <v>0</v>
      </c>
      <c r="E29" s="59">
        <v>0</v>
      </c>
      <c r="F29" s="56">
        <v>460832.26560000004</v>
      </c>
      <c r="G29" s="56">
        <v>799616.79275489319</v>
      </c>
      <c r="H29" s="56">
        <v>981722.86643481848</v>
      </c>
      <c r="I29" s="56">
        <v>1219912.0631520457</v>
      </c>
      <c r="J29" s="56">
        <v>2085365.9460569066</v>
      </c>
      <c r="K29" s="56">
        <v>3017182.6133660274</v>
      </c>
      <c r="L29" s="56">
        <v>2100100.144370209</v>
      </c>
      <c r="M29" s="56">
        <v>4626686.3138440633</v>
      </c>
      <c r="N29" s="56">
        <v>6528510.9521231642</v>
      </c>
      <c r="O29" s="56">
        <v>10365616.653020134</v>
      </c>
      <c r="P29" s="56">
        <v>12681333.114488386</v>
      </c>
      <c r="Q29" s="56">
        <v>20939581.209231015</v>
      </c>
      <c r="R29" s="56">
        <v>21884996.630542014</v>
      </c>
      <c r="S29" s="56">
        <v>9779218.8007893208</v>
      </c>
      <c r="T29" s="56">
        <v>30350972.441618811</v>
      </c>
      <c r="U29" s="56">
        <v>38379967.021950521</v>
      </c>
      <c r="V29" s="56">
        <v>7011931.4378539314</v>
      </c>
      <c r="W29" s="56">
        <v>241731.64196779285</v>
      </c>
      <c r="X29" s="56">
        <v>662998.27014928975</v>
      </c>
      <c r="Y29" s="56">
        <v>-61966747.88667018</v>
      </c>
      <c r="Z29" s="56">
        <v>-1286914.4646034054</v>
      </c>
      <c r="AA29" s="56">
        <v>7927394.0470486358</v>
      </c>
      <c r="AB29" s="56">
        <v>21964982.278304681</v>
      </c>
      <c r="AC29" s="56">
        <v>-11518410.416424384</v>
      </c>
      <c r="AD29" s="56">
        <v>13509846.976803532</v>
      </c>
      <c r="AE29" s="56">
        <v>99027366.984827548</v>
      </c>
      <c r="AF29" s="56">
        <v>-1522787.6257164702</v>
      </c>
      <c r="AG29" s="56">
        <v>-5659998.6677371655</v>
      </c>
      <c r="AH29" s="56">
        <v>42284407.51083491</v>
      </c>
    </row>
    <row r="30" spans="2:34" x14ac:dyDescent="0.25">
      <c r="B30" t="str">
        <v>Petrobras PN</v>
      </c>
      <c r="C30" t="str">
        <v>Lucro com efeitos inflacionário</v>
      </c>
      <c r="D30">
        <v>0</v>
      </c>
      <c r="E30" s="59">
        <v>0</v>
      </c>
      <c r="F30" s="56">
        <v>-49974.566200000001</v>
      </c>
      <c r="G30" s="56">
        <v>1100452.5971682048</v>
      </c>
      <c r="H30" s="56">
        <v>1209381.7761624455</v>
      </c>
      <c r="I30" s="56">
        <v>1693773.7793102497</v>
      </c>
      <c r="J30" s="56">
        <v>9914373.5625405088</v>
      </c>
      <c r="K30" s="56">
        <v>9553335.6068266314</v>
      </c>
      <c r="L30" s="56">
        <v>8083684.9983303025</v>
      </c>
      <c r="M30" s="56">
        <v>18208781.583790645</v>
      </c>
      <c r="N30" s="56">
        <v>18103105.28038878</v>
      </c>
      <c r="O30" s="56">
        <v>23669386.485248268</v>
      </c>
      <c r="P30" s="56">
        <v>24430457.017158136</v>
      </c>
      <c r="Q30" s="56">
        <v>20800483.346130989</v>
      </c>
      <c r="R30" s="56">
        <v>33381742.70978722</v>
      </c>
      <c r="S30" s="56">
        <v>29061857.001338769</v>
      </c>
      <c r="T30" s="56">
        <v>36123458.281153746</v>
      </c>
      <c r="U30" s="56">
        <v>34548053.719646916</v>
      </c>
      <c r="V30" s="56">
        <v>15531797.871980064</v>
      </c>
      <c r="W30" s="56">
        <v>28407669.324560679</v>
      </c>
      <c r="X30" s="56">
        <v>-22227439.201995444</v>
      </c>
      <c r="Y30" s="56">
        <v>-69854826.499539882</v>
      </c>
      <c r="Z30" s="56">
        <v>-44414548.080425963</v>
      </c>
      <c r="AA30" s="56">
        <v>-21568168.370793898</v>
      </c>
      <c r="AB30" s="56">
        <v>24573098.716150247</v>
      </c>
      <c r="AC30" s="56">
        <v>40979879.941998273</v>
      </c>
      <c r="AD30" s="56">
        <v>-22167203.468925394</v>
      </c>
      <c r="AE30" s="56">
        <v>61413516.683852524</v>
      </c>
      <c r="AF30" s="56">
        <v>-10595880.941152558</v>
      </c>
      <c r="AG30" s="56">
        <v>-31686020.645797513</v>
      </c>
      <c r="AH30" s="56">
        <v>105498304.37417606</v>
      </c>
    </row>
    <row r="31" spans="2:34" x14ac:dyDescent="0.25">
      <c r="B31" t="str">
        <v>ItauUnibanco PN</v>
      </c>
      <c r="C31" t="str">
        <v>Lucro com efeitos inflacionário</v>
      </c>
      <c r="D31">
        <v>0</v>
      </c>
      <c r="E31" s="59">
        <v>0</v>
      </c>
      <c r="F31" s="56">
        <v>433191.5882</v>
      </c>
      <c r="G31" s="56">
        <v>563899.83151307306</v>
      </c>
      <c r="H31" s="56">
        <v>757785.17702703946</v>
      </c>
      <c r="I31" s="56">
        <v>1501793.6523773321</v>
      </c>
      <c r="J31" s="56">
        <v>1437580.3908124792</v>
      </c>
      <c r="K31" s="56">
        <v>1815015.0088038743</v>
      </c>
      <c r="L31" s="56">
        <v>1362931.111361912</v>
      </c>
      <c r="M31" s="56">
        <v>1971967.2501635693</v>
      </c>
      <c r="N31" s="56">
        <v>2426611.529611825</v>
      </c>
      <c r="O31" s="56">
        <v>3892397.6743213655</v>
      </c>
      <c r="P31" s="56">
        <v>3010221.7844834975</v>
      </c>
      <c r="Q31" s="56">
        <v>6647845.9448595094</v>
      </c>
      <c r="R31" s="56">
        <v>5091211.4715898205</v>
      </c>
      <c r="S31" s="56">
        <v>7303411.5540913213</v>
      </c>
      <c r="T31" s="56">
        <v>9394796.9381394424</v>
      </c>
      <c r="U31" s="56">
        <v>9655056.0855062772</v>
      </c>
      <c r="V31" s="56">
        <v>8423401.7091046106</v>
      </c>
      <c r="W31" s="56">
        <v>10092576.039393792</v>
      </c>
      <c r="X31" s="56">
        <v>13463093.987655293</v>
      </c>
      <c r="Y31" s="56">
        <v>10796384.636041882</v>
      </c>
      <c r="Z31" s="56">
        <v>12454176.495573401</v>
      </c>
      <c r="AA31" s="56">
        <v>18030186.269190006</v>
      </c>
      <c r="AB31" s="56">
        <v>17981225.427442897</v>
      </c>
      <c r="AC31" s="56">
        <v>18790821.749091443</v>
      </c>
      <c r="AD31" s="56">
        <v>9864945.8548260536</v>
      </c>
      <c r="AE31" s="56">
        <v>9077016.0805401895</v>
      </c>
      <c r="AF31" s="56">
        <v>19024590.79943727</v>
      </c>
      <c r="AG31" s="56">
        <v>5533369.9832273573</v>
      </c>
      <c r="AH31" s="56">
        <v>12210220.450286083</v>
      </c>
    </row>
    <row r="32" spans="2:34" x14ac:dyDescent="0.25">
      <c r="B32" t="str">
        <v>Petrobras ON</v>
      </c>
      <c r="C32" t="str">
        <v>Lucro com efeitos inflacionário</v>
      </c>
      <c r="D32">
        <v>0</v>
      </c>
      <c r="E32" s="59">
        <v>0</v>
      </c>
      <c r="F32" s="56">
        <v>-49974.566200000001</v>
      </c>
      <c r="G32" s="56">
        <v>1100452.5971682048</v>
      </c>
      <c r="H32" s="56">
        <v>1209381.7761624455</v>
      </c>
      <c r="I32" s="56">
        <v>1693773.7793102497</v>
      </c>
      <c r="J32" s="56">
        <v>9914373.5625405088</v>
      </c>
      <c r="K32" s="56">
        <v>9553335.6068266314</v>
      </c>
      <c r="L32" s="56">
        <v>8083684.9983303025</v>
      </c>
      <c r="M32" s="56">
        <v>18208781.583790645</v>
      </c>
      <c r="N32" s="56">
        <v>18103105.28038878</v>
      </c>
      <c r="O32" s="56">
        <v>23669386.485248268</v>
      </c>
      <c r="P32" s="56">
        <v>24430457.017158136</v>
      </c>
      <c r="Q32" s="56">
        <v>20800483.346130989</v>
      </c>
      <c r="R32" s="56">
        <v>33381742.70978722</v>
      </c>
      <c r="S32" s="56">
        <v>29061857.001338769</v>
      </c>
      <c r="T32" s="56">
        <v>36123458.281153746</v>
      </c>
      <c r="U32" s="56">
        <v>34548053.719646916</v>
      </c>
      <c r="V32" s="56">
        <v>15531797.871980064</v>
      </c>
      <c r="W32" s="56">
        <v>28407669.324560679</v>
      </c>
      <c r="X32" s="56">
        <v>-22227439.201995444</v>
      </c>
      <c r="Y32" s="56">
        <v>-69854826.499539882</v>
      </c>
      <c r="Z32" s="56">
        <v>-44414548.080684409</v>
      </c>
      <c r="AA32" s="56">
        <v>-21568168.370904282</v>
      </c>
      <c r="AB32" s="56">
        <v>24573098.716166507</v>
      </c>
      <c r="AC32" s="56">
        <v>40979879.942015097</v>
      </c>
      <c r="AD32" s="56">
        <v>-22167203.468907885</v>
      </c>
      <c r="AE32" s="56">
        <v>61413516.683868341</v>
      </c>
      <c r="AF32" s="56">
        <v>-10595880.941132039</v>
      </c>
      <c r="AG32" s="56">
        <v>-31686020.59987244</v>
      </c>
      <c r="AH32" s="56">
        <v>105498304.42022766</v>
      </c>
    </row>
    <row r="33" spans="2:34" x14ac:dyDescent="0.25">
      <c r="B33" t="str">
        <v>Eletrobras ON</v>
      </c>
      <c r="C33" t="str">
        <v>Lucro com efeitos inflacionário</v>
      </c>
      <c r="D33">
        <v>0</v>
      </c>
      <c r="E33" s="59">
        <v>0</v>
      </c>
      <c r="F33" s="56">
        <v>1552307.1008000001</v>
      </c>
      <c r="G33" s="56">
        <v>2661569.7862968226</v>
      </c>
      <c r="H33" s="56">
        <v>648935.61200329848</v>
      </c>
      <c r="I33" s="56">
        <v>-460458.36767935404</v>
      </c>
      <c r="J33" s="56">
        <v>18022.184090971481</v>
      </c>
      <c r="K33" s="56">
        <v>229715.95422903216</v>
      </c>
      <c r="L33" s="56">
        <v>-1804703.7722370983</v>
      </c>
      <c r="M33" s="56">
        <v>-5570398.6792440927</v>
      </c>
      <c r="N33" s="56">
        <v>-7423552.8959115334</v>
      </c>
      <c r="O33" s="56">
        <v>-10436617.56684104</v>
      </c>
      <c r="P33" s="56">
        <v>-12846015.806649832</v>
      </c>
      <c r="Q33" s="56">
        <v>-12774884.124946754</v>
      </c>
      <c r="R33" s="56">
        <v>-8560667.8573153876</v>
      </c>
      <c r="S33" s="56">
        <v>-17215346.223930895</v>
      </c>
      <c r="T33" s="56">
        <v>-15229384.869308922</v>
      </c>
      <c r="U33" s="56">
        <v>-15433955.945092954</v>
      </c>
      <c r="V33" s="56">
        <v>-28809046.501742199</v>
      </c>
      <c r="W33" s="56">
        <v>-29781653.35173139</v>
      </c>
      <c r="X33" s="56">
        <v>-26120143.132801183</v>
      </c>
      <c r="Y33" s="56">
        <v>-34392402.714365408</v>
      </c>
      <c r="Z33" s="56">
        <v>-29241197.694892388</v>
      </c>
      <c r="AA33" s="56">
        <v>-45297482.717117913</v>
      </c>
      <c r="AB33" s="56">
        <v>-27386149.929651253</v>
      </c>
      <c r="AC33" s="56">
        <v>-28465306.881278045</v>
      </c>
      <c r="AD33" s="56">
        <v>-35388425.977926202</v>
      </c>
      <c r="AE33" s="56">
        <v>-12928768.705539495</v>
      </c>
      <c r="AF33" s="56">
        <v>-40570361.761538669</v>
      </c>
      <c r="AG33" s="56">
        <v>25344230.906131841</v>
      </c>
      <c r="AH33" s="56">
        <v>-14919214.417183876</v>
      </c>
    </row>
    <row r="34" spans="2:34" x14ac:dyDescent="0.25">
      <c r="B34" t="str">
        <v>Bradesco PN</v>
      </c>
      <c r="C34" t="str">
        <v>Lucro com efeitos inflacionário</v>
      </c>
      <c r="D34">
        <v>0</v>
      </c>
      <c r="E34" s="59">
        <v>0</v>
      </c>
      <c r="F34" s="56">
        <v>478452.64360000001</v>
      </c>
      <c r="G34" s="56">
        <v>588434.81575675483</v>
      </c>
      <c r="H34" s="56">
        <v>887490.83494883752</v>
      </c>
      <c r="I34" s="56">
        <v>604326.35992631083</v>
      </c>
      <c r="J34" s="56">
        <v>1303664.2702498094</v>
      </c>
      <c r="K34" s="56">
        <v>1525427.8691959854</v>
      </c>
      <c r="L34" s="56">
        <v>877940.8594943916</v>
      </c>
      <c r="M34" s="56">
        <v>1126186.0979637201</v>
      </c>
      <c r="N34" s="56">
        <v>1780727.589177252</v>
      </c>
      <c r="O34" s="56">
        <v>4204512.4451028816</v>
      </c>
      <c r="P34" s="56">
        <v>3898048.0470434278</v>
      </c>
      <c r="Q34" s="56">
        <v>6346399.8457403444</v>
      </c>
      <c r="R34" s="56">
        <v>5332723.1287223045</v>
      </c>
      <c r="S34" s="56">
        <v>5854664.9210339114</v>
      </c>
      <c r="T34" s="56">
        <v>6920050.0212451741</v>
      </c>
      <c r="U34" s="56">
        <v>7205003.8888629954</v>
      </c>
      <c r="V34" s="56">
        <v>7072001.6148531148</v>
      </c>
      <c r="W34" s="56">
        <v>7154386.1474840762</v>
      </c>
      <c r="X34" s="56">
        <v>9461978.8516963758</v>
      </c>
      <c r="Y34" s="56">
        <v>6938389.054704126</v>
      </c>
      <c r="Z34" s="56">
        <v>7644549.5227565225</v>
      </c>
      <c r="AA34" s="56">
        <v>9857370.0473653525</v>
      </c>
      <c r="AB34" s="56">
        <v>13304615.459183697</v>
      </c>
      <c r="AC34" s="56">
        <v>15701875.009297037</v>
      </c>
      <c r="AD34" s="56">
        <v>8118219.9428143781</v>
      </c>
      <c r="AE34" s="56">
        <v>6028125.8143792618</v>
      </c>
      <c r="AF34" s="56">
        <v>11413073.073956426</v>
      </c>
      <c r="AG34" s="56">
        <v>3216591.6420553271</v>
      </c>
      <c r="AH34" s="56">
        <v>11423103.484796783</v>
      </c>
    </row>
    <row r="35" spans="2:34" x14ac:dyDescent="0.25">
      <c r="B35" t="str">
        <v>B3 ON</v>
      </c>
      <c r="C35" t="str">
        <v>Lucro com efeitos inflacionário</v>
      </c>
      <c r="D35">
        <v>0</v>
      </c>
      <c r="E35" s="59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56">
        <v>4865.8239999999996</v>
      </c>
      <c r="O35" s="56">
        <v>-41099.796968057919</v>
      </c>
      <c r="P35" s="56">
        <v>-24338.694143849454</v>
      </c>
      <c r="Q35" s="56">
        <v>-46288.158192231313</v>
      </c>
      <c r="R35" s="56">
        <v>41665.051098241005</v>
      </c>
      <c r="S35" s="56">
        <v>48500.728780997335</v>
      </c>
      <c r="T35" s="56">
        <v>482272.01125161734</v>
      </c>
      <c r="U35" s="56">
        <v>813379.86869485851</v>
      </c>
      <c r="V35" s="56">
        <v>-80117.819337063469</v>
      </c>
      <c r="W35" s="56">
        <v>727710.0366272314</v>
      </c>
      <c r="X35" s="56">
        <v>-374071.15566335944</v>
      </c>
      <c r="Y35" s="56">
        <v>-47065.817028701771</v>
      </c>
      <c r="Z35" s="56">
        <v>-255293.19347560778</v>
      </c>
      <c r="AA35" s="56">
        <v>380571.57736720401</v>
      </c>
      <c r="AB35" s="56">
        <v>1671302.6590236186</v>
      </c>
      <c r="AC35" s="56">
        <v>975244.66302629723</v>
      </c>
      <c r="AD35" s="56">
        <v>2287400.4670399944</v>
      </c>
      <c r="AE35" s="56">
        <v>1831823.0572900064</v>
      </c>
      <c r="AF35" s="56">
        <v>1630722.7768329494</v>
      </c>
      <c r="AG35" s="56">
        <v>-112487.67820007633</v>
      </c>
      <c r="AH35" s="56">
        <v>2043008.5294651424</v>
      </c>
    </row>
    <row r="36" spans="2:34" x14ac:dyDescent="0.25">
      <c r="B36" t="str">
        <v>Brasil ON</v>
      </c>
      <c r="C36" t="str">
        <v>Lucro com efeitos inflacionário</v>
      </c>
      <c r="D36">
        <v>0</v>
      </c>
      <c r="E36" s="59">
        <v>0</v>
      </c>
      <c r="F36" s="56">
        <v>-7753050.7432000004</v>
      </c>
      <c r="G36" s="56">
        <v>335090.7114721926</v>
      </c>
      <c r="H36" s="56">
        <v>732898.71806097764</v>
      </c>
      <c r="I36" s="56">
        <v>361151.76871750015</v>
      </c>
      <c r="J36" s="56">
        <v>544945.47939814138</v>
      </c>
      <c r="K36" s="56">
        <v>489737.82164397207</v>
      </c>
      <c r="L36" s="56">
        <v>1062630.4723862088</v>
      </c>
      <c r="M36" s="56">
        <v>1330956.7777284058</v>
      </c>
      <c r="N36" s="56">
        <v>1822639.5519275996</v>
      </c>
      <c r="O36" s="56">
        <v>2908685.4336327231</v>
      </c>
      <c r="P36" s="56">
        <v>4871826.6304484056</v>
      </c>
      <c r="Q36" s="56">
        <v>3531366.9115881538</v>
      </c>
      <c r="R36" s="56">
        <v>6697109.6038544271</v>
      </c>
      <c r="S36" s="56">
        <v>7996728.0662769927</v>
      </c>
      <c r="T36" s="56">
        <v>8535935.1774002966</v>
      </c>
      <c r="U36" s="56">
        <v>7989962.1122617982</v>
      </c>
      <c r="V36" s="56">
        <v>7775196.9962778538</v>
      </c>
      <c r="W36" s="56">
        <v>10908142.147961851</v>
      </c>
      <c r="X36" s="56">
        <v>5585408.994030444</v>
      </c>
      <c r="Y36" s="56">
        <v>4443110.3840934038</v>
      </c>
      <c r="Z36" s="56">
        <v>767369.95896416344</v>
      </c>
      <c r="AA36" s="56">
        <v>6008796.3870355459</v>
      </c>
      <c r="AB36" s="56">
        <v>7137666.2815100299</v>
      </c>
      <c r="AC36" s="56">
        <v>11755063.210819881</v>
      </c>
      <c r="AD36" s="56">
        <v>5030649.1275963262</v>
      </c>
      <c r="AE36" s="56">
        <v>5288378.6955997143</v>
      </c>
      <c r="AF36" s="56">
        <v>20497988.686427973</v>
      </c>
      <c r="AG36" s="56">
        <v>726010.82463053614</v>
      </c>
      <c r="AH36" s="56">
        <v>2111243.8803617423</v>
      </c>
    </row>
    <row r="37" spans="2:34" x14ac:dyDescent="0.25">
      <c r="B37" t="str">
        <v>Ambev S/A ON</v>
      </c>
      <c r="C37" t="str">
        <v>Lucro com efeitos inflacionário</v>
      </c>
      <c r="D37">
        <v>0</v>
      </c>
      <c r="E37" s="59">
        <v>0</v>
      </c>
      <c r="F37" s="56">
        <v>372894.09080000001</v>
      </c>
      <c r="G37" s="56">
        <v>461556.17282170488</v>
      </c>
      <c r="H37" s="56">
        <v>294239.10056822217</v>
      </c>
      <c r="I37" s="56">
        <v>-233478.57813532112</v>
      </c>
      <c r="J37" s="56">
        <v>433712.75672403374</v>
      </c>
      <c r="K37" s="56">
        <v>637895.94396414852</v>
      </c>
      <c r="L37" s="56">
        <v>1255950.1074484899</v>
      </c>
      <c r="M37" s="56">
        <v>1052245.3920959316</v>
      </c>
      <c r="N37" s="56">
        <v>302532.13402305718</v>
      </c>
      <c r="O37" s="56">
        <v>273213.25150280702</v>
      </c>
      <c r="P37" s="56">
        <v>1706897.0761364943</v>
      </c>
      <c r="Q37" s="56">
        <v>1573788.6489768785</v>
      </c>
      <c r="R37" s="56">
        <v>1694698.6330026614</v>
      </c>
      <c r="S37" s="56">
        <v>4555020.2692969525</v>
      </c>
      <c r="T37" s="56">
        <v>6274311.6299919374</v>
      </c>
      <c r="U37" s="56">
        <v>7711281.1242048349</v>
      </c>
      <c r="V37" s="56">
        <v>7971652.9971212372</v>
      </c>
      <c r="W37" s="56">
        <v>8018693.7156442199</v>
      </c>
      <c r="X37" s="56">
        <v>7973149.0970018432</v>
      </c>
      <c r="Y37" s="56">
        <v>5499879.8564384179</v>
      </c>
      <c r="Z37" s="56">
        <v>6385710.4690549113</v>
      </c>
      <c r="AA37" s="56">
        <v>2436684.7118930938</v>
      </c>
      <c r="AB37" s="56">
        <v>7716482.9677594658</v>
      </c>
      <c r="AC37" s="56">
        <v>6259215.6271418901</v>
      </c>
      <c r="AD37" s="56">
        <v>3998394.928869199</v>
      </c>
      <c r="AE37" s="56">
        <v>2137752.878356766</v>
      </c>
      <c r="AF37" s="56">
        <v>5061906.8242704049</v>
      </c>
      <c r="AG37" s="56">
        <v>54929.130062075332</v>
      </c>
      <c r="AH37" s="56">
        <v>38931585.314545497</v>
      </c>
    </row>
    <row r="38" spans="2:34" x14ac:dyDescent="0.25">
      <c r="B38" t="str">
        <v>Localiza ON</v>
      </c>
      <c r="C38" t="str">
        <v>Lucro com efeitos inflacionário</v>
      </c>
      <c r="D38">
        <v>0</v>
      </c>
      <c r="E38" s="59">
        <v>0</v>
      </c>
      <c r="F38" s="56">
        <v>0</v>
      </c>
      <c r="G38" s="56">
        <v>0</v>
      </c>
      <c r="H38" s="56">
        <v>0</v>
      </c>
      <c r="I38" s="56">
        <v>19931</v>
      </c>
      <c r="J38" s="56">
        <v>36278.851199999997</v>
      </c>
      <c r="K38" s="56">
        <v>30120.416218099799</v>
      </c>
      <c r="L38" s="56">
        <v>-22526.36505315248</v>
      </c>
      <c r="M38" s="56">
        <v>0</v>
      </c>
      <c r="N38" s="56">
        <v>107436.02807827787</v>
      </c>
      <c r="O38" s="56">
        <v>119360.90731409681</v>
      </c>
      <c r="P38" s="56">
        <v>124864.99981432669</v>
      </c>
      <c r="Q38" s="56">
        <v>189259.93983444027</v>
      </c>
      <c r="R38" s="56">
        <v>186509.47336569737</v>
      </c>
      <c r="S38" s="56">
        <v>133810.69475483091</v>
      </c>
      <c r="T38" s="56">
        <v>315184.55161530286</v>
      </c>
      <c r="U38" s="56">
        <v>363639.04494624102</v>
      </c>
      <c r="V38" s="56">
        <v>262743.59637446224</v>
      </c>
      <c r="W38" s="56">
        <v>408219.39336062642</v>
      </c>
      <c r="X38" s="56">
        <v>422345.01200101431</v>
      </c>
      <c r="Y38" s="56">
        <v>132097.90736482304</v>
      </c>
      <c r="Z38" s="56">
        <v>186888.18861522188</v>
      </c>
      <c r="AA38" s="56">
        <v>330217.5511623171</v>
      </c>
      <c r="AB38" s="56">
        <v>735371.61687438597</v>
      </c>
      <c r="AC38" s="56">
        <v>897834.07343424496</v>
      </c>
      <c r="AD38" s="56">
        <v>561951.42931690509</v>
      </c>
      <c r="AE38" s="56">
        <v>1343529.1129322853</v>
      </c>
      <c r="AF38" s="56">
        <v>1572069.119423816</v>
      </c>
      <c r="AG38" s="56">
        <v>-281418.24684124568</v>
      </c>
      <c r="AH38" s="56">
        <v>42814603.489226401</v>
      </c>
    </row>
    <row r="39" spans="2:34" x14ac:dyDescent="0.25">
      <c r="B39" t="str">
        <v>Itausa PN</v>
      </c>
      <c r="C39" t="str">
        <v>Lucro com efeitos inflacionário</v>
      </c>
      <c r="D39">
        <v>0</v>
      </c>
      <c r="E39" s="59">
        <v>0</v>
      </c>
      <c r="F39" s="56">
        <v>360787.74239999999</v>
      </c>
      <c r="G39" s="56">
        <v>434203.43420910771</v>
      </c>
      <c r="H39" s="56">
        <v>391794.69905134873</v>
      </c>
      <c r="I39" s="56">
        <v>845884.14407947729</v>
      </c>
      <c r="J39" s="56">
        <v>695618.19588486955</v>
      </c>
      <c r="K39" s="56">
        <v>901634.74637168366</v>
      </c>
      <c r="L39" s="56">
        <v>1027600.8494889899</v>
      </c>
      <c r="M39" s="56">
        <v>871716.35427054064</v>
      </c>
      <c r="N39" s="56">
        <v>1124340.8211038141</v>
      </c>
      <c r="O39" s="56">
        <v>1383351.050835669</v>
      </c>
      <c r="P39" s="56">
        <v>3549992.8984007239</v>
      </c>
      <c r="Q39" s="56">
        <v>2819515.0168042094</v>
      </c>
      <c r="R39" s="56">
        <v>1335975.5396829166</v>
      </c>
      <c r="S39" s="56">
        <v>2589693.0666773194</v>
      </c>
      <c r="T39" s="56">
        <v>2638362.7992089679</v>
      </c>
      <c r="U39" s="56">
        <v>2581866.3844404169</v>
      </c>
      <c r="V39" s="56">
        <v>2005070.5370045947</v>
      </c>
      <c r="W39" s="56">
        <v>2959747.9602359501</v>
      </c>
      <c r="X39" s="56">
        <v>4666317.9556470281</v>
      </c>
      <c r="Y39" s="56">
        <v>3342796.9918051641</v>
      </c>
      <c r="Z39" s="56">
        <v>3378012.7361111511</v>
      </c>
      <c r="AA39" s="56">
        <v>4578133.4262971329</v>
      </c>
      <c r="AB39" s="56">
        <v>5178289.9591326686</v>
      </c>
      <c r="AC39" s="56">
        <v>7982098.1598914936</v>
      </c>
      <c r="AD39" s="56">
        <v>3900002.0825462346</v>
      </c>
      <c r="AE39" s="56">
        <v>4018623.0301109916</v>
      </c>
      <c r="AF39" s="56">
        <v>6730598.9912556121</v>
      </c>
      <c r="AG39" s="56">
        <v>-6675454.7365406547</v>
      </c>
      <c r="AH39" s="56">
        <v>1135139.8149349205</v>
      </c>
    </row>
    <row r="40" spans="2:34" x14ac:dyDescent="0.25">
      <c r="B40" t="str">
        <v>Weg ON</v>
      </c>
      <c r="C40" t="str">
        <v>Lucro com efeitos inflacionário</v>
      </c>
      <c r="D40">
        <v>0</v>
      </c>
      <c r="E40" s="59">
        <v>0</v>
      </c>
      <c r="F40" s="56">
        <v>30528.952089800001</v>
      </c>
      <c r="G40" s="56">
        <v>52041.105914855012</v>
      </c>
      <c r="H40" s="56">
        <v>93462.197849820514</v>
      </c>
      <c r="I40" s="56">
        <v>63075.462423636272</v>
      </c>
      <c r="J40" s="56">
        <v>107148.43113234497</v>
      </c>
      <c r="K40" s="56">
        <v>147451.00536262197</v>
      </c>
      <c r="L40" s="56">
        <v>166769.81764920516</v>
      </c>
      <c r="M40" s="56">
        <v>254051.19499557413</v>
      </c>
      <c r="N40" s="56">
        <v>342945.2122327477</v>
      </c>
      <c r="O40" s="56">
        <v>313503.34042609157</v>
      </c>
      <c r="P40" s="56">
        <v>450328.77907328715</v>
      </c>
      <c r="Q40" s="56">
        <v>504955.35280124011</v>
      </c>
      <c r="R40" s="56">
        <v>469841.7775983318</v>
      </c>
      <c r="S40" s="56">
        <v>463143.59299262532</v>
      </c>
      <c r="T40" s="56">
        <v>420213.3306180411</v>
      </c>
      <c r="U40" s="56">
        <v>481320.91966235958</v>
      </c>
      <c r="V40" s="56">
        <v>510546.25919740251</v>
      </c>
      <c r="W40" s="56">
        <v>694017.9777991228</v>
      </c>
      <c r="X40" s="56">
        <v>725982.49997580796</v>
      </c>
      <c r="Y40" s="56">
        <v>461544.24071500881</v>
      </c>
      <c r="Z40" s="56">
        <v>582796.74961272941</v>
      </c>
      <c r="AA40" s="56">
        <v>807356.63699297002</v>
      </c>
      <c r="AB40" s="56">
        <v>1068691.4397700038</v>
      </c>
      <c r="AC40" s="56">
        <v>1230839.6335075654</v>
      </c>
      <c r="AD40" s="56">
        <v>1691014.6943910939</v>
      </c>
      <c r="AE40" s="56">
        <v>2181302.4249759009</v>
      </c>
      <c r="AF40" s="56">
        <v>3253031.8910400486</v>
      </c>
      <c r="AG40" s="56">
        <v>-651140.52397161175</v>
      </c>
      <c r="AH40" s="56">
        <v>7152059.7767742788</v>
      </c>
    </row>
    <row r="41" spans="2:34" x14ac:dyDescent="0.25">
      <c r="B41" t="str">
        <v>Btgp Banco UNT</v>
      </c>
      <c r="C41" t="str">
        <v>Lucro com efeitos inflacionário</v>
      </c>
      <c r="D41">
        <v>0</v>
      </c>
      <c r="E41" s="59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56">
        <v>0</v>
      </c>
      <c r="Q41" s="56">
        <v>-52466.748700000004</v>
      </c>
      <c r="R41" s="56">
        <v>-225118.89459833098</v>
      </c>
      <c r="S41" s="56">
        <v>-151947.46887454943</v>
      </c>
      <c r="T41" s="56">
        <v>-190988.69864865291</v>
      </c>
      <c r="U41" s="56">
        <v>1092724.5065857861</v>
      </c>
      <c r="V41" s="56">
        <v>1581992.4739544087</v>
      </c>
      <c r="W41" s="56">
        <v>2018792.9736110973</v>
      </c>
      <c r="X41" s="56">
        <v>2514665.8521770132</v>
      </c>
      <c r="Y41" s="56">
        <v>3774215.2174788592</v>
      </c>
      <c r="Z41" s="56">
        <v>2184971.3720003171</v>
      </c>
      <c r="AA41" s="56">
        <v>1929781.8282915303</v>
      </c>
      <c r="AB41" s="56">
        <v>1661423.6164548318</v>
      </c>
      <c r="AC41" s="56">
        <v>2963054.2722750767</v>
      </c>
      <c r="AD41" s="56">
        <v>2821526.2360784272</v>
      </c>
      <c r="AE41" s="56">
        <v>2979370.4133646288</v>
      </c>
      <c r="AF41" s="56">
        <v>5832682.5307087097</v>
      </c>
      <c r="AG41" s="56">
        <v>2942191.7351910388</v>
      </c>
      <c r="AH41" s="56">
        <v>-1027296.3277318946</v>
      </c>
    </row>
    <row r="42" spans="2:34" x14ac:dyDescent="0.25">
      <c r="B42" t="str">
        <v>Equatorial ON</v>
      </c>
      <c r="C42" t="str">
        <v>Lucro com efeitos inflacionário</v>
      </c>
      <c r="D42">
        <v>0</v>
      </c>
      <c r="E42" s="59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29766.409821995603</v>
      </c>
      <c r="O42" s="56">
        <v>232285.532728814</v>
      </c>
      <c r="P42" s="56">
        <v>117004.18034728178</v>
      </c>
      <c r="Q42" s="56">
        <v>149877.07276515799</v>
      </c>
      <c r="R42" s="56">
        <v>324147.31155277486</v>
      </c>
      <c r="S42" s="56">
        <v>239491.50046236819</v>
      </c>
      <c r="T42" s="56">
        <v>216887.9015831346</v>
      </c>
      <c r="U42" s="56">
        <v>165176.47343869094</v>
      </c>
      <c r="V42" s="56">
        <v>65375.943411814354</v>
      </c>
      <c r="W42" s="56">
        <v>123148.87628327428</v>
      </c>
      <c r="X42" s="56">
        <v>416344.64257320471</v>
      </c>
      <c r="Y42" s="56">
        <v>395184.86309310299</v>
      </c>
      <c r="Z42" s="56">
        <v>403913.36445639201</v>
      </c>
      <c r="AA42" s="56">
        <v>774081.42040831433</v>
      </c>
      <c r="AB42" s="56">
        <v>827761.0117005111</v>
      </c>
      <c r="AC42" s="56">
        <v>2088160.7883913713</v>
      </c>
      <c r="AD42" s="56">
        <v>2438324.8721262743</v>
      </c>
      <c r="AE42" s="56">
        <v>2781637.5670500905</v>
      </c>
      <c r="AF42" s="56">
        <v>906635.88171132049</v>
      </c>
      <c r="AG42" s="56">
        <v>28748060.145891193</v>
      </c>
      <c r="AH42" s="56">
        <v>4351706.8630683282</v>
      </c>
    </row>
    <row r="43" spans="2:34" x14ac:dyDescent="0.25">
      <c r="B43" t="str">
        <v>Suzano S.A. ON</v>
      </c>
      <c r="C43" t="str">
        <v>Lucro com efeitos inflacionário</v>
      </c>
      <c r="D43">
        <v>0</v>
      </c>
      <c r="E43" s="59">
        <v>0</v>
      </c>
      <c r="F43" s="56">
        <v>144614.3566</v>
      </c>
      <c r="G43" s="56">
        <v>63983.870383999543</v>
      </c>
      <c r="H43" s="56">
        <v>-53501.390087603613</v>
      </c>
      <c r="I43" s="56">
        <v>139542.34800017875</v>
      </c>
      <c r="J43" s="56">
        <v>479999.48272364505</v>
      </c>
      <c r="K43" s="56">
        <v>308604.94228868833</v>
      </c>
      <c r="L43" s="56">
        <v>142075.674640021</v>
      </c>
      <c r="M43" s="56">
        <v>584280.83358730422</v>
      </c>
      <c r="N43" s="56">
        <v>551189.96009733423</v>
      </c>
      <c r="O43" s="56">
        <v>413961.52987432631</v>
      </c>
      <c r="P43" s="56">
        <v>287308.94952725479</v>
      </c>
      <c r="Q43" s="56">
        <v>471231.549670576</v>
      </c>
      <c r="R43" s="56">
        <v>-462055.3604651987</v>
      </c>
      <c r="S43" s="56">
        <v>780101.2691955833</v>
      </c>
      <c r="T43" s="56">
        <v>692922.8587456703</v>
      </c>
      <c r="U43" s="56">
        <v>-30112.912691805905</v>
      </c>
      <c r="V43" s="56">
        <v>-412912.05682063184</v>
      </c>
      <c r="W43" s="56">
        <v>-291777.85786284233</v>
      </c>
      <c r="X43" s="56">
        <v>-395277.99206281162</v>
      </c>
      <c r="Y43" s="56">
        <v>-2374755.0755146686</v>
      </c>
      <c r="Z43" s="56">
        <v>466091.57131128805</v>
      </c>
      <c r="AA43" s="56">
        <v>720187.58153109555</v>
      </c>
      <c r="AB43" s="56">
        <v>-262393.15313449188</v>
      </c>
      <c r="AC43" s="56">
        <v>-2577412.8060187586</v>
      </c>
      <c r="AD43" s="56">
        <v>-12262901.97250377</v>
      </c>
      <c r="AE43" s="56">
        <v>6939728.8610721352</v>
      </c>
      <c r="AF43" s="56">
        <v>21219371.631803323</v>
      </c>
      <c r="AG43" s="56">
        <v>4309654.5417330423</v>
      </c>
      <c r="AH43" s="56">
        <v>54123884.803818636</v>
      </c>
    </row>
    <row r="44" spans="2:34" x14ac:dyDescent="0.25">
      <c r="B44" t="str">
        <v>Petrorio ON</v>
      </c>
      <c r="C44" t="str">
        <v>Lucro com efeitos inflacionário</v>
      </c>
      <c r="D44">
        <v>0</v>
      </c>
      <c r="E44" s="59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6">
        <v>0</v>
      </c>
      <c r="R44" s="56">
        <v>0</v>
      </c>
      <c r="S44" s="56">
        <v>-21306.310549999998</v>
      </c>
      <c r="T44" s="56">
        <v>-226612.76023842898</v>
      </c>
      <c r="U44" s="56">
        <v>-427793.29431529128</v>
      </c>
      <c r="V44" s="56">
        <v>-478518.4961200548</v>
      </c>
      <c r="W44" s="56">
        <v>-2264696.5914277197</v>
      </c>
      <c r="X44" s="56">
        <v>-1074889.381124717</v>
      </c>
      <c r="Y44" s="56">
        <v>25084.968988743349</v>
      </c>
      <c r="Z44" s="56">
        <v>183589.3102990679</v>
      </c>
      <c r="AA44" s="56">
        <v>12428.446313668719</v>
      </c>
      <c r="AB44" s="56">
        <v>180577.83291115149</v>
      </c>
      <c r="AC44" s="56">
        <v>844472.17160891625</v>
      </c>
      <c r="AD44" s="56">
        <v>349564.95586054318</v>
      </c>
      <c r="AE44" s="56">
        <v>889965.66508148168</v>
      </c>
      <c r="AF44" s="56">
        <v>3038272.1597495647</v>
      </c>
      <c r="AG44" s="56">
        <v>2397017.6250113198</v>
      </c>
      <c r="AH44" s="56">
        <v>5534685.0861191871</v>
      </c>
    </row>
    <row r="45" spans="2:34" x14ac:dyDescent="0.25">
      <c r="B45" t="str">
        <v>RaiaDrogasil ON</v>
      </c>
      <c r="C45" t="str">
        <v>Lucro com efeitos inflacionário</v>
      </c>
      <c r="D45">
        <v>0</v>
      </c>
      <c r="E45" s="59">
        <v>0</v>
      </c>
      <c r="F45" s="56">
        <v>-5868.6130000000003</v>
      </c>
      <c r="G45" s="56">
        <v>-4184.4903999999997</v>
      </c>
      <c r="H45" s="56">
        <v>952.10660000000007</v>
      </c>
      <c r="I45" s="56">
        <v>-4709.0407999999998</v>
      </c>
      <c r="J45" s="56">
        <v>-3153.2609500000008</v>
      </c>
      <c r="K45" s="56">
        <v>-1566.7079000000012</v>
      </c>
      <c r="L45" s="56">
        <v>-11246.0509</v>
      </c>
      <c r="M45" s="56">
        <v>0</v>
      </c>
      <c r="N45" s="56">
        <v>-7361.8919999999962</v>
      </c>
      <c r="O45" s="56">
        <v>-5938.7098999999971</v>
      </c>
      <c r="P45" s="56">
        <v>-3366.6137999999969</v>
      </c>
      <c r="Q45" s="56">
        <v>-5417.9187999999967</v>
      </c>
      <c r="R45" s="56">
        <v>-21353.073500000002</v>
      </c>
      <c r="S45" s="56">
        <v>-14029.157750000004</v>
      </c>
      <c r="T45" s="56">
        <v>-16716.993914821647</v>
      </c>
      <c r="U45" s="56">
        <v>-87583.386162901123</v>
      </c>
      <c r="V45" s="56">
        <v>-5734.7259965810226</v>
      </c>
      <c r="W45" s="56">
        <v>-9527.1324818865105</v>
      </c>
      <c r="X45" s="56">
        <v>-127183.69516241328</v>
      </c>
      <c r="Y45" s="56">
        <v>119370.03392226822</v>
      </c>
      <c r="Z45" s="56">
        <v>248962.89458327109</v>
      </c>
      <c r="AA45" s="56">
        <v>402056.93994586117</v>
      </c>
      <c r="AB45" s="56">
        <v>439223.25905379944</v>
      </c>
      <c r="AC45" s="56">
        <v>686315.88564934826</v>
      </c>
      <c r="AD45" s="56">
        <v>221531.67868946987</v>
      </c>
      <c r="AE45" s="56">
        <v>244502.36451717705</v>
      </c>
      <c r="AF45" s="56">
        <v>624934.70127867279</v>
      </c>
      <c r="AG45" s="56">
        <v>309509.18377280922</v>
      </c>
      <c r="AH45" s="56">
        <v>6690881.3857643902</v>
      </c>
    </row>
    <row r="46" spans="2:34" x14ac:dyDescent="0.25">
      <c r="B46" t="str">
        <v>Rede D Or ON</v>
      </c>
      <c r="C46" t="str">
        <v>Lucro com efeitos inflacionário</v>
      </c>
      <c r="D46">
        <v>0</v>
      </c>
      <c r="E46" s="59">
        <v>0</v>
      </c>
      <c r="F46" s="56">
        <v>0</v>
      </c>
      <c r="G46" s="56">
        <v>0</v>
      </c>
      <c r="H46" s="56">
        <v>0</v>
      </c>
      <c r="I46" s="56">
        <v>0</v>
      </c>
      <c r="J46" s="56">
        <v>0</v>
      </c>
      <c r="K46" s="56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2704.442</v>
      </c>
      <c r="S46" s="56">
        <v>8134.1450019556241</v>
      </c>
      <c r="T46" s="56">
        <v>17644.469714230017</v>
      </c>
      <c r="U46" s="56">
        <v>-22539.564486364561</v>
      </c>
      <c r="V46" s="56">
        <v>112648.51942122815</v>
      </c>
      <c r="W46" s="56">
        <v>223437.62209488457</v>
      </c>
      <c r="X46" s="56">
        <v>3556.1920611297642</v>
      </c>
      <c r="Y46" s="56">
        <v>487525.54103607556</v>
      </c>
      <c r="Z46" s="56">
        <v>-247987.99567836558</v>
      </c>
      <c r="AA46" s="56">
        <v>-125630.21300791856</v>
      </c>
      <c r="AB46" s="56">
        <v>1241891.3661564258</v>
      </c>
      <c r="AC46" s="56">
        <v>1194766.3867132333</v>
      </c>
      <c r="AD46" s="56">
        <v>6580.4852297697798</v>
      </c>
      <c r="AE46" s="56">
        <v>305770.6593221894</v>
      </c>
      <c r="AF46" s="56">
        <v>19560.659731947584</v>
      </c>
      <c r="AG46" s="56">
        <v>2423409.9589333078</v>
      </c>
      <c r="AH46" s="56">
        <v>13015892.125801861</v>
      </c>
    </row>
    <row r="47" spans="2:34" x14ac:dyDescent="0.25">
      <c r="B47" t="str">
        <v>Rumo S.A. ON</v>
      </c>
      <c r="C47" t="str">
        <v>Lucro com efeitos inflacionário</v>
      </c>
      <c r="D47">
        <v>0</v>
      </c>
      <c r="E47" s="59">
        <v>0</v>
      </c>
      <c r="F47" s="56">
        <v>0</v>
      </c>
      <c r="G47" s="56">
        <v>-2955.9429</v>
      </c>
      <c r="H47" s="56">
        <v>-373.334</v>
      </c>
      <c r="I47" s="56">
        <v>-8076.2072000000007</v>
      </c>
      <c r="J47" s="56">
        <v>4641.3866570603923</v>
      </c>
      <c r="K47" s="56">
        <v>17573.845708234956</v>
      </c>
      <c r="L47" s="56">
        <v>13875.777279046815</v>
      </c>
      <c r="M47" s="56">
        <v>20078.432631116128</v>
      </c>
      <c r="N47" s="56">
        <v>149176.62014197538</v>
      </c>
      <c r="O47" s="56">
        <v>156874.7394043199</v>
      </c>
      <c r="P47" s="56">
        <v>34136.552481519939</v>
      </c>
      <c r="Q47" s="56">
        <v>233593.4419697407</v>
      </c>
      <c r="R47" s="56">
        <v>251287.48386060004</v>
      </c>
      <c r="S47" s="56">
        <v>78279.880528310052</v>
      </c>
      <c r="T47" s="56">
        <v>386632.06944947742</v>
      </c>
      <c r="U47" s="56">
        <v>525015.78172441502</v>
      </c>
      <c r="V47" s="56">
        <v>275802.74927421112</v>
      </c>
      <c r="W47" s="56">
        <v>279833.35155307106</v>
      </c>
      <c r="X47" s="56">
        <v>-1747745.1834751046</v>
      </c>
      <c r="Y47" s="56">
        <v>-1317263.033483474</v>
      </c>
      <c r="Z47" s="56">
        <v>-1307070.2836943825</v>
      </c>
      <c r="AA47" s="56">
        <v>-697032.11997295031</v>
      </c>
      <c r="AB47" s="56">
        <v>414383.414514745</v>
      </c>
      <c r="AC47" s="56">
        <v>603596.45499254123</v>
      </c>
      <c r="AD47" s="56">
        <v>-521020.83583461051</v>
      </c>
      <c r="AE47" s="56">
        <v>-1464693.151704038</v>
      </c>
      <c r="AF47" s="56">
        <v>-397579.2778419489</v>
      </c>
      <c r="AG47" s="56">
        <v>5843230.1688504387</v>
      </c>
      <c r="AH47" s="56">
        <v>24831925.066286676</v>
      </c>
    </row>
    <row r="48" spans="2:34" x14ac:dyDescent="0.25">
      <c r="B48" t="str">
        <v>Gerdau PN</v>
      </c>
      <c r="C48" t="str">
        <v>Lucro com efeitos inflacionário</v>
      </c>
      <c r="D48">
        <v>0</v>
      </c>
      <c r="E48" s="59">
        <v>0</v>
      </c>
      <c r="F48" s="56">
        <v>74573.264200000005</v>
      </c>
      <c r="G48" s="56">
        <v>134655.40730466825</v>
      </c>
      <c r="H48" s="56">
        <v>173812.5302924689</v>
      </c>
      <c r="I48" s="56">
        <v>406440.65939069714</v>
      </c>
      <c r="J48" s="56">
        <v>431714.50056782167</v>
      </c>
      <c r="K48" s="56">
        <v>559694.70057730563</v>
      </c>
      <c r="L48" s="56">
        <v>1135975.3324572411</v>
      </c>
      <c r="M48" s="56">
        <v>1237265.9040336527</v>
      </c>
      <c r="N48" s="56">
        <v>2663387.2610006207</v>
      </c>
      <c r="O48" s="56">
        <v>2385306.2959302734</v>
      </c>
      <c r="P48" s="56">
        <v>2287756.8776335418</v>
      </c>
      <c r="Q48" s="56">
        <v>3052809.7651240001</v>
      </c>
      <c r="R48" s="56">
        <v>3369115.9614050798</v>
      </c>
      <c r="S48" s="56">
        <v>216578.95474851213</v>
      </c>
      <c r="T48" s="56">
        <v>1335945.8002310442</v>
      </c>
      <c r="U48" s="56">
        <v>1184560.9988112375</v>
      </c>
      <c r="V48" s="56">
        <v>-401987.25471986318</v>
      </c>
      <c r="W48" s="56">
        <v>186566.21821806999</v>
      </c>
      <c r="X48" s="56">
        <v>-1085830.6697229976</v>
      </c>
      <c r="Y48" s="56">
        <v>-9390071.9903950524</v>
      </c>
      <c r="Z48" s="56">
        <v>-7575493.9154494172</v>
      </c>
      <c r="AA48" s="56">
        <v>-4384243.1607282888</v>
      </c>
      <c r="AB48" s="56">
        <v>-867287.85617871955</v>
      </c>
      <c r="AC48" s="56">
        <v>-2404669.1993350494</v>
      </c>
      <c r="AD48" s="56">
        <v>-2219180.9199923612</v>
      </c>
      <c r="AE48" s="56">
        <v>10155560.234304266</v>
      </c>
      <c r="AF48" s="56">
        <v>4933872.2967649987</v>
      </c>
      <c r="AG48" s="56">
        <v>-6184044.4424891705</v>
      </c>
      <c r="AH48" s="56">
        <v>16500687.149337031</v>
      </c>
    </row>
    <row r="49" spans="2:34" x14ac:dyDescent="0.25">
      <c r="B49" t="str">
        <v>Ultrapar ON</v>
      </c>
      <c r="C49" t="str">
        <v>Lucro com efeitos inflacionário</v>
      </c>
      <c r="D49">
        <v>0</v>
      </c>
      <c r="E49" s="59">
        <v>0</v>
      </c>
      <c r="F49" s="56">
        <v>0</v>
      </c>
      <c r="G49" s="56">
        <v>14549.446099999997</v>
      </c>
      <c r="H49" s="56">
        <v>39997.959699999999</v>
      </c>
      <c r="I49" s="56">
        <v>91513.266821771962</v>
      </c>
      <c r="J49" s="56">
        <v>109457.2424267569</v>
      </c>
      <c r="K49" s="56">
        <v>107531.51195745726</v>
      </c>
      <c r="L49" s="56">
        <v>172463.8572220215</v>
      </c>
      <c r="M49" s="56">
        <v>177794.4117918702</v>
      </c>
      <c r="N49" s="56">
        <v>335082.13691479713</v>
      </c>
      <c r="O49" s="56">
        <v>206753.653705812</v>
      </c>
      <c r="P49" s="56">
        <v>188301.88642871188</v>
      </c>
      <c r="Q49" s="56">
        <v>40105.085546652612</v>
      </c>
      <c r="R49" s="56">
        <v>198083.22440541763</v>
      </c>
      <c r="S49" s="56">
        <v>306489.44007883593</v>
      </c>
      <c r="T49" s="56">
        <v>622416.14952049265</v>
      </c>
      <c r="U49" s="56">
        <v>713512.46056305617</v>
      </c>
      <c r="V49" s="56">
        <v>730321.21212026745</v>
      </c>
      <c r="W49" s="56">
        <v>1018489.058851397</v>
      </c>
      <c r="X49" s="56">
        <v>834323.2024553857</v>
      </c>
      <c r="Y49" s="56">
        <v>350560.31841767323</v>
      </c>
      <c r="Z49" s="56">
        <v>619464.71997380909</v>
      </c>
      <c r="AA49" s="56">
        <v>838674.99638488633</v>
      </c>
      <c r="AB49" s="56">
        <v>676678.29608365521</v>
      </c>
      <c r="AC49" s="56">
        <v>-236861.97549402411</v>
      </c>
      <c r="AD49" s="56">
        <v>-133744.2188900141</v>
      </c>
      <c r="AE49" s="56">
        <v>-725580.33705283911</v>
      </c>
      <c r="AF49" s="56">
        <v>601211.12966570421</v>
      </c>
      <c r="AG49" s="56">
        <v>-249278.48211283004</v>
      </c>
      <c r="AH49" s="56">
        <v>8368410.6184380176</v>
      </c>
    </row>
    <row r="50" spans="2:34" x14ac:dyDescent="0.25">
      <c r="B50" t="str">
        <v>JBS ON</v>
      </c>
      <c r="C50" t="str">
        <v>Lucro com efeitos inflacionário</v>
      </c>
      <c r="D50">
        <v>0</v>
      </c>
      <c r="E50" s="59">
        <v>0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56">
        <v>0</v>
      </c>
      <c r="M50" s="56">
        <v>0</v>
      </c>
      <c r="N50" s="56">
        <v>121997.48</v>
      </c>
      <c r="O50" s="56">
        <v>79211.160310586187</v>
      </c>
      <c r="P50" s="56">
        <v>156945.09290869374</v>
      </c>
      <c r="Q50" s="56">
        <v>-158478.21642458733</v>
      </c>
      <c r="R50" s="56">
        <v>-34611.51517188338</v>
      </c>
      <c r="S50" s="56">
        <v>2152.7279052592494</v>
      </c>
      <c r="T50" s="56">
        <v>-158894.81298985163</v>
      </c>
      <c r="U50" s="56">
        <v>336279.65121758502</v>
      </c>
      <c r="V50" s="56">
        <v>91597.725229144562</v>
      </c>
      <c r="W50" s="56">
        <v>1156431.5432858556</v>
      </c>
      <c r="X50" s="56">
        <v>1171573.5166609401</v>
      </c>
      <c r="Y50" s="56">
        <v>2660819.8591120206</v>
      </c>
      <c r="Z50" s="56">
        <v>-2384546.69677949</v>
      </c>
      <c r="AA50" s="56">
        <v>-1112656.6214659682</v>
      </c>
      <c r="AB50" s="56">
        <v>405679.48089167767</v>
      </c>
      <c r="AC50" s="56">
        <v>5168530.361140864</v>
      </c>
      <c r="AD50" s="56">
        <v>2095292.7560119657</v>
      </c>
      <c r="AE50" s="56">
        <v>16134502.197217371</v>
      </c>
      <c r="AF50" s="56">
        <v>11351483.089118341</v>
      </c>
      <c r="AG50" s="56">
        <v>36940594.507936329</v>
      </c>
      <c r="AH50" s="56">
        <v>70307892.083148569</v>
      </c>
    </row>
    <row r="51" spans="2:34" x14ac:dyDescent="0.25">
      <c r="B51" t="str">
        <v>Vibra ON</v>
      </c>
      <c r="C51" t="str">
        <v>Lucro com efeitos inflacionário</v>
      </c>
      <c r="D51">
        <v>0</v>
      </c>
      <c r="E51" s="59">
        <v>0</v>
      </c>
      <c r="F51" s="56">
        <v>0</v>
      </c>
      <c r="G51" s="56">
        <v>0</v>
      </c>
      <c r="H51" s="56">
        <v>229494.5393</v>
      </c>
      <c r="I51" s="56">
        <v>-194926.65090000001</v>
      </c>
      <c r="J51" s="56">
        <v>196279.91399999999</v>
      </c>
      <c r="K51" s="56">
        <v>286559.46724999999</v>
      </c>
      <c r="L51" s="56">
        <v>561375.16942948091</v>
      </c>
      <c r="M51" s="56">
        <v>0</v>
      </c>
      <c r="N51" s="56">
        <v>0</v>
      </c>
      <c r="O51" s="56">
        <v>0</v>
      </c>
      <c r="P51" s="56">
        <v>0</v>
      </c>
      <c r="Q51" s="56">
        <v>0</v>
      </c>
      <c r="R51" s="56">
        <v>1062894.0611598971</v>
      </c>
      <c r="S51" s="56">
        <v>1200574.7641713312</v>
      </c>
      <c r="T51" s="56">
        <v>1113544.208660396</v>
      </c>
      <c r="U51" s="56">
        <v>901733.85268815979</v>
      </c>
      <c r="V51" s="56">
        <v>1522015.7339345072</v>
      </c>
      <c r="W51" s="56">
        <v>1761136.8899152987</v>
      </c>
      <c r="X51" s="56">
        <v>642249.7993736465</v>
      </c>
      <c r="Y51" s="56">
        <v>-2460425.2860392276</v>
      </c>
      <c r="Z51" s="56">
        <v>-974472.56142009562</v>
      </c>
      <c r="AA51" s="56">
        <v>850530.52884454979</v>
      </c>
      <c r="AB51" s="56">
        <v>2988621.2685060101</v>
      </c>
      <c r="AC51" s="56">
        <v>1985848.3102107639</v>
      </c>
      <c r="AD51" s="56">
        <v>3286649.9480680153</v>
      </c>
      <c r="AE51" s="56">
        <v>1130379.2691497952</v>
      </c>
      <c r="AF51" s="56">
        <v>779383.65577765531</v>
      </c>
      <c r="AG51" s="56">
        <v>228973.24433088547</v>
      </c>
      <c r="AH51" s="56">
        <v>7120708.8244986804</v>
      </c>
    </row>
    <row r="52" spans="2:34" x14ac:dyDescent="0.25">
      <c r="B52" t="str">
        <v>BBSeguridade ON</v>
      </c>
      <c r="C52" t="str">
        <v>Lucro com efeitos inflacionário</v>
      </c>
      <c r="D52">
        <v>0</v>
      </c>
      <c r="E52" s="59">
        <v>0</v>
      </c>
      <c r="F52" s="56">
        <v>0</v>
      </c>
      <c r="G52" s="56">
        <v>0</v>
      </c>
      <c r="H52" s="56">
        <v>0</v>
      </c>
      <c r="I52" s="56">
        <v>0</v>
      </c>
      <c r="J52" s="56">
        <v>0</v>
      </c>
      <c r="K52" s="56">
        <v>0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0</v>
      </c>
      <c r="U52" s="56">
        <v>-268574.995</v>
      </c>
      <c r="V52" s="56">
        <v>929013.53560000006</v>
      </c>
      <c r="W52" s="56">
        <v>2102023.4311500001</v>
      </c>
      <c r="X52" s="56">
        <v>3325464.8194499998</v>
      </c>
      <c r="Y52" s="56">
        <v>3915509.1226000004</v>
      </c>
      <c r="Z52" s="56">
        <v>3491649.06085</v>
      </c>
      <c r="AA52" s="56">
        <v>3809636.4693465</v>
      </c>
      <c r="AB52" s="56">
        <v>3244846.3125</v>
      </c>
      <c r="AC52" s="56">
        <v>6727479.4692000002</v>
      </c>
      <c r="AD52" s="56">
        <v>3784252.1262000003</v>
      </c>
      <c r="AE52" s="56">
        <v>2915004.7891089143</v>
      </c>
      <c r="AF52" s="56">
        <v>5868532.1484630723</v>
      </c>
      <c r="AG52" s="56">
        <v>-327332.82598214294</v>
      </c>
      <c r="AH52" s="56">
        <v>2282552.6684391145</v>
      </c>
    </row>
    <row r="53" spans="2:34" x14ac:dyDescent="0.25">
      <c r="C53" s="52" t="s">
        <v>112</v>
      </c>
      <c r="D53" s="54"/>
      <c r="E53" s="60"/>
      <c r="F53" s="57">
        <f>+ AVERAGEIF(F29:F52, "&lt;&gt;",F29:F52)</f>
        <v>-164611.93684625832</v>
      </c>
      <c r="G53" s="57">
        <f t="shared" ref="G53" si="1">+ AVERAGEIF(G29:G52, "&lt;&gt;",G29:G52)</f>
        <v>345973.58898185339</v>
      </c>
      <c r="H53" s="57">
        <f t="shared" ref="H53" si="2">+ AVERAGEIF(H29:H52, "&lt;&gt;",H29:H52)</f>
        <v>316561.46541975497</v>
      </c>
      <c r="I53" s="57">
        <f t="shared" ref="I53" si="3">+ AVERAGEIF(I29:I52, "&lt;&gt;",I29:I52)</f>
        <v>322477.89328311564</v>
      </c>
      <c r="J53" s="57">
        <f t="shared" ref="J53" si="4">+ AVERAGEIF(J29:J52, "&lt;&gt;",J29:J52)</f>
        <v>1154584.2873356608</v>
      </c>
      <c r="K53" s="57">
        <f t="shared" ref="K53" si="5">+ AVERAGEIF(K29:K52, "&lt;&gt;",K29:K52)</f>
        <v>1215802.0980287662</v>
      </c>
      <c r="L53" s="57">
        <f t="shared" ref="L53" si="6">+ AVERAGEIF(L29:L52, "&lt;&gt;",L29:L52)</f>
        <v>1008690.9575707318</v>
      </c>
      <c r="M53" s="57">
        <f t="shared" ref="M53" si="7">+ AVERAGEIF(M29:M52, "&lt;&gt;",M29:M52)</f>
        <v>1837516.3938101225</v>
      </c>
      <c r="N53" s="57">
        <f t="shared" ref="N53" si="8">+ AVERAGEIF(N29:N52, "&lt;&gt;",N29:N52)</f>
        <v>1961104.3867966868</v>
      </c>
      <c r="O53" s="57">
        <f t="shared" ref="O53" si="9">+ AVERAGEIF(O29:O52, "&lt;&gt;",O29:O52)</f>
        <v>2657922.9402040564</v>
      </c>
      <c r="P53" s="57">
        <f t="shared" ref="P53" si="10">+ AVERAGEIF(P29:P52, "&lt;&gt;",P29:P52)</f>
        <v>2889673.3245390896</v>
      </c>
      <c r="Q53" s="57">
        <f t="shared" ref="Q53" si="11">+ AVERAGEIF(Q29:Q52, "&lt;&gt;",Q29:Q52)</f>
        <v>3127656.721254597</v>
      </c>
      <c r="R53" s="57">
        <f t="shared" ref="R53" si="12">+ AVERAGEIF(R29:R52, "&lt;&gt;",R29:R52)</f>
        <v>4391776.7713484922</v>
      </c>
      <c r="S53" s="57">
        <f t="shared" ref="S53" si="13">+ AVERAGEIF(S29:S52, "&lt;&gt;",S29:S52)</f>
        <v>3428211.6340982723</v>
      </c>
      <c r="T53" s="57">
        <f t="shared" ref="T53" si="14">+ AVERAGEIF(T29:T52, "&lt;&gt;",T29:T52)</f>
        <v>5255933.7827583682</v>
      </c>
      <c r="U53" s="57">
        <f t="shared" ref="U53" si="15">+ AVERAGEIF(U29:U52, "&lt;&gt;",U29:U52)</f>
        <v>5538584.4798793234</v>
      </c>
      <c r="V53" s="57">
        <f t="shared" ref="V53" si="16">+ AVERAGEIF(V29:V52, "&lt;&gt;",V29:V52)</f>
        <v>1967357.9970815212</v>
      </c>
      <c r="W53" s="57">
        <f t="shared" ref="W53" si="17">+ AVERAGEIF(W29:W52, "&lt;&gt;",W29:W52)</f>
        <v>3105948.6975439643</v>
      </c>
      <c r="X53" s="57">
        <f t="shared" ref="X53" si="18">+ AVERAGEIF(X29:X52, "&lt;&gt;",X29:X52)</f>
        <v>-979606.95504562696</v>
      </c>
      <c r="Y53" s="57">
        <f t="shared" ref="Y53" si="19">+ AVERAGEIF(Y29:Y52, "&lt;&gt;",Y29:Y52)</f>
        <v>-8679829.6586152054</v>
      </c>
      <c r="Z53" s="57">
        <f t="shared" ref="Z53" si="20">+ AVERAGEIF(Z29:Z52, "&lt;&gt;",Z29:Z52)</f>
        <v>-3879330.2730392204</v>
      </c>
      <c r="AA53" s="57">
        <f t="shared" ref="AA53" si="21">+ AVERAGEIF(AA29:AA52, "&lt;&gt;",AA29:AA52)</f>
        <v>-1460803.8628571897</v>
      </c>
      <c r="AB53" s="57">
        <f t="shared" ref="AB53" si="22">+ AVERAGEIF(AB29:AB52, "&lt;&gt;",AB29:AB52)</f>
        <v>4561253.3517136052</v>
      </c>
      <c r="AC53" s="57">
        <f t="shared" ref="AC53" si="23">+ AVERAGEIF(AC29:AC52, "&lt;&gt;",AC29:AC52)</f>
        <v>5108846.451327295</v>
      </c>
      <c r="AD53" s="57">
        <f t="shared" ref="AD53" si="24">+ AVERAGEIF(AD29:AD52, "&lt;&gt;",AD29:AD52)</f>
        <v>-1287230.5125213352</v>
      </c>
      <c r="AE53" s="57">
        <f t="shared" ref="AE53" si="25">+ AVERAGEIF(AE29:AE52, "&lt;&gt;",AE29:AE52)</f>
        <v>11796597.136359384</v>
      </c>
      <c r="AF53" s="57">
        <f t="shared" ref="AF53" si="26">+ AVERAGEIF(AF29:AF52, "&lt;&gt;",AF29:AF52)</f>
        <v>2528226.312501505</v>
      </c>
      <c r="AG53" s="57">
        <f t="shared" ref="AG53" si="27">+ AVERAGEIF(AG29:AG52, "&lt;&gt;",AG29:AG52)</f>
        <v>1479357.3645088605</v>
      </c>
      <c r="AH53" s="57">
        <f t="shared" ref="AH53" si="28">+ AVERAGEIF(AH29:AH52, "&lt;&gt;",AH29:AH52)</f>
        <v>23678529.040643092</v>
      </c>
    </row>
    <row r="57" spans="2:34" x14ac:dyDescent="0.25">
      <c r="C57" s="55" t="str">
        <f>C1</f>
        <v>Ano</v>
      </c>
      <c r="E57" s="62">
        <v>1995</v>
      </c>
      <c r="F57" s="55">
        <v>1996</v>
      </c>
      <c r="G57" s="55">
        <v>1997</v>
      </c>
      <c r="H57" s="55">
        <v>1998</v>
      </c>
      <c r="I57" s="55">
        <v>1999</v>
      </c>
      <c r="J57" s="55">
        <v>2000</v>
      </c>
      <c r="K57" s="55">
        <v>2001</v>
      </c>
      <c r="L57" s="55">
        <v>2002</v>
      </c>
      <c r="M57" s="55">
        <v>2003</v>
      </c>
      <c r="N57" s="55">
        <v>2004</v>
      </c>
      <c r="O57" s="55">
        <v>2005</v>
      </c>
      <c r="P57" s="55">
        <v>2006</v>
      </c>
      <c r="Q57" s="55">
        <v>2007</v>
      </c>
      <c r="R57" s="55">
        <v>2008</v>
      </c>
      <c r="S57" s="55">
        <v>2009</v>
      </c>
      <c r="T57" s="55">
        <v>2010</v>
      </c>
      <c r="U57" s="55">
        <v>2011</v>
      </c>
      <c r="V57" s="55">
        <v>2012</v>
      </c>
      <c r="W57" s="55">
        <v>2013</v>
      </c>
      <c r="X57" s="55">
        <v>2014</v>
      </c>
      <c r="Y57" s="55">
        <v>2015</v>
      </c>
      <c r="Z57" s="55">
        <v>2016</v>
      </c>
      <c r="AA57" s="55">
        <v>2017</v>
      </c>
      <c r="AB57" s="55">
        <v>2018</v>
      </c>
      <c r="AC57" s="55">
        <v>2019</v>
      </c>
      <c r="AD57" s="55">
        <v>2020</v>
      </c>
      <c r="AE57" s="55">
        <v>2021</v>
      </c>
      <c r="AF57" s="55">
        <v>2022</v>
      </c>
      <c r="AG57" s="55">
        <v>2023</v>
      </c>
      <c r="AH57" s="55">
        <v>2024</v>
      </c>
    </row>
    <row r="58" spans="2:34" x14ac:dyDescent="0.25">
      <c r="C58" s="52" t="str">
        <f>+C25</f>
        <v xml:space="preserve">Lucro Líquido Contábil </v>
      </c>
      <c r="E58" s="59"/>
      <c r="F58" s="61">
        <f>+F26</f>
        <v>-47044.083333333336</v>
      </c>
      <c r="G58" s="61">
        <f>+G26</f>
        <v>434741.625</v>
      </c>
      <c r="H58" s="61">
        <f t="shared" ref="H58:AH58" si="29">+H26</f>
        <v>412135.41666666669</v>
      </c>
      <c r="I58" s="61">
        <f t="shared" si="29"/>
        <v>431472.25</v>
      </c>
      <c r="J58" s="61">
        <f t="shared" si="29"/>
        <v>1327077.4583333333</v>
      </c>
      <c r="K58" s="61">
        <f t="shared" si="29"/>
        <v>1464753.5833333333</v>
      </c>
      <c r="L58" s="61">
        <f t="shared" si="29"/>
        <v>1282958.0416666667</v>
      </c>
      <c r="M58" s="61">
        <f t="shared" si="29"/>
        <v>2230056.7916666665</v>
      </c>
      <c r="N58" s="61">
        <f t="shared" si="29"/>
        <v>2545307.5416666665</v>
      </c>
      <c r="O58" s="61">
        <f t="shared" si="29"/>
        <v>3423539.125</v>
      </c>
      <c r="P58" s="61">
        <f t="shared" si="29"/>
        <v>3904877.5</v>
      </c>
      <c r="Q58" s="61">
        <f t="shared" si="29"/>
        <v>4088980.0416666665</v>
      </c>
      <c r="R58" s="61">
        <f t="shared" si="29"/>
        <v>5432975.375</v>
      </c>
      <c r="S58" s="61">
        <f t="shared" si="29"/>
        <v>4680877.583333333</v>
      </c>
      <c r="T58" s="61">
        <f t="shared" si="29"/>
        <v>6529854.875</v>
      </c>
      <c r="U58" s="61">
        <f t="shared" si="29"/>
        <v>6958563.125</v>
      </c>
      <c r="V58" s="61">
        <f t="shared" si="29"/>
        <v>4496484.333333333</v>
      </c>
      <c r="W58" s="61">
        <f t="shared" si="29"/>
        <v>4621667.083333333</v>
      </c>
      <c r="X58" s="61">
        <f t="shared" si="29"/>
        <v>1400404.875</v>
      </c>
      <c r="Y58" s="61">
        <f t="shared" si="29"/>
        <v>-1590847.8333333333</v>
      </c>
      <c r="Z58" s="61">
        <f t="shared" si="29"/>
        <v>2656704.125</v>
      </c>
      <c r="AA58" s="61">
        <f t="shared" si="29"/>
        <v>3987601.9166666665</v>
      </c>
      <c r="AB58" s="61">
        <f t="shared" si="29"/>
        <v>7829070.666666667</v>
      </c>
      <c r="AC58" s="61">
        <f t="shared" si="29"/>
        <v>8432640.791666666</v>
      </c>
      <c r="AD58" s="61">
        <f t="shared" si="29"/>
        <v>5620820.291666667</v>
      </c>
      <c r="AE58" s="61">
        <f t="shared" si="29"/>
        <v>21158631.833333332</v>
      </c>
      <c r="AF58" s="61">
        <f t="shared" si="29"/>
        <v>12115429.75</v>
      </c>
      <c r="AG58" s="61">
        <f t="shared" si="29"/>
        <v>10087118.125</v>
      </c>
      <c r="AH58" s="61">
        <f t="shared" si="29"/>
        <v>28154855.416666668</v>
      </c>
    </row>
    <row r="59" spans="2:34" x14ac:dyDescent="0.25">
      <c r="C59" s="52" t="str">
        <f>+C52</f>
        <v>Lucro com efeitos inflacionário</v>
      </c>
      <c r="E59" s="59"/>
      <c r="F59" s="61">
        <f>+F53</f>
        <v>-164611.93684625832</v>
      </c>
      <c r="G59" s="61">
        <f>+G53</f>
        <v>345973.58898185339</v>
      </c>
      <c r="H59" s="61">
        <f t="shared" ref="H59:AH59" si="30">+H53</f>
        <v>316561.46541975497</v>
      </c>
      <c r="I59" s="61">
        <f t="shared" si="30"/>
        <v>322477.89328311564</v>
      </c>
      <c r="J59" s="61">
        <f t="shared" si="30"/>
        <v>1154584.2873356608</v>
      </c>
      <c r="K59" s="61">
        <f t="shared" si="30"/>
        <v>1215802.0980287662</v>
      </c>
      <c r="L59" s="61">
        <f t="shared" si="30"/>
        <v>1008690.9575707318</v>
      </c>
      <c r="M59" s="61">
        <f t="shared" si="30"/>
        <v>1837516.3938101225</v>
      </c>
      <c r="N59" s="61">
        <f t="shared" si="30"/>
        <v>1961104.3867966868</v>
      </c>
      <c r="O59" s="61">
        <f t="shared" si="30"/>
        <v>2657922.9402040564</v>
      </c>
      <c r="P59" s="61">
        <f t="shared" si="30"/>
        <v>2889673.3245390896</v>
      </c>
      <c r="Q59" s="61">
        <f t="shared" si="30"/>
        <v>3127656.721254597</v>
      </c>
      <c r="R59" s="61">
        <f t="shared" si="30"/>
        <v>4391776.7713484922</v>
      </c>
      <c r="S59" s="61">
        <f t="shared" si="30"/>
        <v>3428211.6340982723</v>
      </c>
      <c r="T59" s="61">
        <f t="shared" si="30"/>
        <v>5255933.7827583682</v>
      </c>
      <c r="U59" s="61">
        <f t="shared" si="30"/>
        <v>5538584.4798793234</v>
      </c>
      <c r="V59" s="61">
        <f t="shared" si="30"/>
        <v>1967357.9970815212</v>
      </c>
      <c r="W59" s="61">
        <f t="shared" si="30"/>
        <v>3105948.6975439643</v>
      </c>
      <c r="X59" s="61">
        <f t="shared" si="30"/>
        <v>-979606.95504562696</v>
      </c>
      <c r="Y59" s="61">
        <f t="shared" si="30"/>
        <v>-8679829.6586152054</v>
      </c>
      <c r="Z59" s="61">
        <f t="shared" si="30"/>
        <v>-3879330.2730392204</v>
      </c>
      <c r="AA59" s="61">
        <f t="shared" si="30"/>
        <v>-1460803.8628571897</v>
      </c>
      <c r="AB59" s="61">
        <f t="shared" si="30"/>
        <v>4561253.3517136052</v>
      </c>
      <c r="AC59" s="61">
        <f t="shared" si="30"/>
        <v>5108846.451327295</v>
      </c>
      <c r="AD59" s="61">
        <f t="shared" si="30"/>
        <v>-1287230.5125213352</v>
      </c>
      <c r="AE59" s="61">
        <f t="shared" si="30"/>
        <v>11796597.136359384</v>
      </c>
      <c r="AF59" s="61">
        <f t="shared" si="30"/>
        <v>2528226.312501505</v>
      </c>
      <c r="AG59" s="61">
        <f t="shared" si="30"/>
        <v>1479357.3645088605</v>
      </c>
      <c r="AH59" s="61">
        <f t="shared" si="30"/>
        <v>23678529.040643092</v>
      </c>
    </row>
    <row r="60" spans="2:34" x14ac:dyDescent="0.25">
      <c r="C60" s="52" t="s">
        <v>113</v>
      </c>
      <c r="E60" s="59"/>
      <c r="F60" s="61">
        <f>+F58-F59</f>
        <v>117567.85351292498</v>
      </c>
      <c r="G60" s="61">
        <f>+G58-G59</f>
        <v>88768.036018146609</v>
      </c>
      <c r="H60" s="61">
        <f t="shared" ref="H60:AH60" si="31">+H58-H59</f>
        <v>95573.951246911718</v>
      </c>
      <c r="I60" s="61">
        <f t="shared" si="31"/>
        <v>108994.35671688436</v>
      </c>
      <c r="J60" s="61">
        <f t="shared" si="31"/>
        <v>172493.17099767248</v>
      </c>
      <c r="K60" s="61">
        <f t="shared" si="31"/>
        <v>248951.48530456703</v>
      </c>
      <c r="L60" s="61">
        <f t="shared" si="31"/>
        <v>274267.08409593499</v>
      </c>
      <c r="M60" s="61">
        <f t="shared" si="31"/>
        <v>392540.397856544</v>
      </c>
      <c r="N60" s="61">
        <f t="shared" si="31"/>
        <v>584203.15486997971</v>
      </c>
      <c r="O60" s="61">
        <f t="shared" si="31"/>
        <v>765616.18479594355</v>
      </c>
      <c r="P60" s="61">
        <f t="shared" si="31"/>
        <v>1015204.1754609104</v>
      </c>
      <c r="Q60" s="61">
        <f t="shared" si="31"/>
        <v>961323.32041206956</v>
      </c>
      <c r="R60" s="61">
        <f t="shared" si="31"/>
        <v>1041198.6036515078</v>
      </c>
      <c r="S60" s="61">
        <f t="shared" si="31"/>
        <v>1252665.9492350607</v>
      </c>
      <c r="T60" s="61">
        <f t="shared" si="31"/>
        <v>1273921.0922416318</v>
      </c>
      <c r="U60" s="61">
        <f t="shared" si="31"/>
        <v>1419978.6451206766</v>
      </c>
      <c r="V60" s="61">
        <f t="shared" si="31"/>
        <v>2529126.3362518121</v>
      </c>
      <c r="W60" s="61">
        <f t="shared" si="31"/>
        <v>1515718.3857893688</v>
      </c>
      <c r="X60" s="61">
        <f t="shared" si="31"/>
        <v>2380011.830045627</v>
      </c>
      <c r="Y60" s="61">
        <f t="shared" si="31"/>
        <v>7088981.8252818724</v>
      </c>
      <c r="Z60" s="61">
        <f t="shared" si="31"/>
        <v>6536034.3980392199</v>
      </c>
      <c r="AA60" s="61">
        <f t="shared" si="31"/>
        <v>5448405.779523856</v>
      </c>
      <c r="AB60" s="61">
        <f t="shared" si="31"/>
        <v>3267817.3149530618</v>
      </c>
      <c r="AC60" s="61">
        <f t="shared" si="31"/>
        <v>3323794.340339371</v>
      </c>
      <c r="AD60" s="61">
        <f t="shared" si="31"/>
        <v>6908050.8041880019</v>
      </c>
      <c r="AE60" s="61">
        <f t="shared" si="31"/>
        <v>9362034.6969739478</v>
      </c>
      <c r="AF60" s="61">
        <f t="shared" si="31"/>
        <v>9587203.437498495</v>
      </c>
      <c r="AG60" s="61">
        <f t="shared" si="31"/>
        <v>8607760.7604911402</v>
      </c>
      <c r="AH60" s="61">
        <f t="shared" si="31"/>
        <v>4476326.3760235757</v>
      </c>
    </row>
    <row r="61" spans="2:34" x14ac:dyDescent="0.25">
      <c r="E61" s="59"/>
    </row>
    <row r="62" spans="2:34" x14ac:dyDescent="0.25">
      <c r="C62" t="s">
        <v>114</v>
      </c>
      <c r="E62" s="63">
        <v>4.7067850384898762</v>
      </c>
      <c r="F62" s="58">
        <v>4.2088216853686333</v>
      </c>
      <c r="G62" s="58">
        <v>3.9504102693106198</v>
      </c>
      <c r="H62" s="58">
        <v>3.8695753190149711</v>
      </c>
      <c r="I62" s="58">
        <v>3.4699608215668913</v>
      </c>
      <c r="J62" s="58">
        <v>3.2181379839264785</v>
      </c>
      <c r="K62" s="58">
        <v>2.917653927673892</v>
      </c>
      <c r="L62" s="58">
        <v>2.4814306653104876</v>
      </c>
      <c r="M62" s="58">
        <v>2.1852064641450037</v>
      </c>
      <c r="N62" s="58">
        <v>1.9602290558968427</v>
      </c>
      <c r="O62" s="58">
        <v>1.8008601153343196</v>
      </c>
      <c r="P62" s="58">
        <v>1.7155905713925925</v>
      </c>
      <c r="Q62" s="58">
        <v>1.5996463444309716</v>
      </c>
      <c r="R62" s="58">
        <v>1.4548124121161208</v>
      </c>
      <c r="S62" s="58">
        <v>1.3533816624639261</v>
      </c>
      <c r="T62" s="58">
        <v>1.2220580327296049</v>
      </c>
      <c r="U62" s="58">
        <v>1.086439467351743</v>
      </c>
      <c r="V62" s="58">
        <v>0.97131468948577337</v>
      </c>
      <c r="W62" s="58">
        <v>0.86131119770160836</v>
      </c>
      <c r="X62" s="58">
        <v>0.74918823202857632</v>
      </c>
      <c r="Y62" s="58">
        <v>0.58054416917735296</v>
      </c>
      <c r="Z62" s="58">
        <v>0.48701116678648315</v>
      </c>
      <c r="AA62" s="58">
        <v>0.44440132762164497</v>
      </c>
      <c r="AB62" s="58">
        <v>0.39219405071965729</v>
      </c>
      <c r="AC62" s="58">
        <v>0.33466978306936768</v>
      </c>
      <c r="AD62" s="58">
        <v>0.27695157201432052</v>
      </c>
      <c r="AE62" s="58">
        <v>0.16023221153400025</v>
      </c>
      <c r="AF62" s="58">
        <v>9.6731459999999991E-2</v>
      </c>
      <c r="AG62" s="58">
        <v>4.830000000000001E-2</v>
      </c>
      <c r="AH62" s="58">
        <v>0</v>
      </c>
    </row>
    <row r="63" spans="2:34" x14ac:dyDescent="0.25">
      <c r="E63" s="59"/>
    </row>
    <row r="64" spans="2:34" x14ac:dyDescent="0.25">
      <c r="C64" s="55" t="str">
        <f>+C57</f>
        <v>Ano</v>
      </c>
      <c r="E64" s="62">
        <v>1995</v>
      </c>
      <c r="F64" s="55">
        <v>1996</v>
      </c>
      <c r="G64" s="55">
        <v>1997</v>
      </c>
      <c r="H64" s="55">
        <v>1998</v>
      </c>
      <c r="I64" s="55">
        <v>1999</v>
      </c>
      <c r="J64" s="55">
        <v>2000</v>
      </c>
      <c r="K64" s="55">
        <v>2001</v>
      </c>
      <c r="L64" s="55">
        <v>2002</v>
      </c>
      <c r="M64" s="55">
        <v>2003</v>
      </c>
      <c r="N64" s="55">
        <v>2004</v>
      </c>
      <c r="O64" s="55">
        <v>2005</v>
      </c>
      <c r="P64" s="55">
        <v>2006</v>
      </c>
      <c r="Q64" s="55">
        <v>2007</v>
      </c>
      <c r="R64" s="55">
        <v>2008</v>
      </c>
      <c r="S64" s="55">
        <v>2009</v>
      </c>
      <c r="T64" s="55">
        <v>2010</v>
      </c>
      <c r="U64" s="55">
        <v>2011</v>
      </c>
      <c r="V64" s="55">
        <v>2012</v>
      </c>
      <c r="W64" s="55">
        <v>2013</v>
      </c>
      <c r="X64" s="55">
        <v>2014</v>
      </c>
      <c r="Y64" s="55">
        <v>2015</v>
      </c>
      <c r="Z64" s="55">
        <v>2016</v>
      </c>
      <c r="AA64" s="55">
        <v>2017</v>
      </c>
      <c r="AB64" s="55">
        <v>2018</v>
      </c>
      <c r="AC64" s="55">
        <v>2019</v>
      </c>
      <c r="AD64" s="55">
        <v>2020</v>
      </c>
      <c r="AE64" s="55">
        <v>2021</v>
      </c>
      <c r="AF64" s="55">
        <v>2022</v>
      </c>
      <c r="AG64" s="55">
        <v>2023</v>
      </c>
      <c r="AH64" s="55">
        <v>2024</v>
      </c>
    </row>
    <row r="65" spans="3:34" x14ac:dyDescent="0.25">
      <c r="C65" s="52" t="str">
        <f>+C58</f>
        <v xml:space="preserve">Lucro Líquido Contábil </v>
      </c>
      <c r="E65" s="59"/>
      <c r="F65" s="56">
        <f>+F58*(100%+F62)</f>
        <v>-245044.24143495577</v>
      </c>
      <c r="G65" s="56">
        <f>+G58*(100%+G62)</f>
        <v>2152149.4048967864</v>
      </c>
      <c r="H65" s="56">
        <f t="shared" ref="H65:AH65" si="32">+H58*(100%+H62)</f>
        <v>2006924.4530919516</v>
      </c>
      <c r="I65" s="56">
        <f t="shared" si="32"/>
        <v>1928664.0530933151</v>
      </c>
      <c r="J65" s="56">
        <f t="shared" si="32"/>
        <v>5597795.8346084412</v>
      </c>
      <c r="K65" s="56">
        <f t="shared" si="32"/>
        <v>5738397.6288202405</v>
      </c>
      <c r="L65" s="56">
        <f t="shared" si="32"/>
        <v>4466529.4685650235</v>
      </c>
      <c r="M65" s="56">
        <f t="shared" si="32"/>
        <v>7103191.3082271339</v>
      </c>
      <c r="N65" s="56">
        <f t="shared" si="32"/>
        <v>7534693.3410350299</v>
      </c>
      <c r="O65" s="56">
        <f t="shared" si="32"/>
        <v>9588854.1884990558</v>
      </c>
      <c r="P65" s="56">
        <f t="shared" si="32"/>
        <v>10604048.521443078</v>
      </c>
      <c r="Q65" s="56">
        <f t="shared" si="32"/>
        <v>10629902.017769951</v>
      </c>
      <c r="R65" s="56">
        <f t="shared" si="32"/>
        <v>13336935.385271236</v>
      </c>
      <c r="S65" s="56">
        <f t="shared" si="32"/>
        <v>11015891.468855124</v>
      </c>
      <c r="T65" s="56">
        <f t="shared" si="32"/>
        <v>14509716.477552321</v>
      </c>
      <c r="U65" s="56">
        <f t="shared" si="32"/>
        <v>14518620.74005848</v>
      </c>
      <c r="V65" s="56">
        <f t="shared" si="32"/>
        <v>8863985.6173426434</v>
      </c>
      <c r="W65" s="56">
        <f t="shared" si="32"/>
        <v>8602360.694257265</v>
      </c>
      <c r="X65" s="56">
        <f t="shared" si="32"/>
        <v>2449571.7274254495</v>
      </c>
      <c r="Y65" s="56">
        <f t="shared" si="32"/>
        <v>-2514405.2670234251</v>
      </c>
      <c r="Z65" s="56">
        <f t="shared" si="32"/>
        <v>3950548.7007227126</v>
      </c>
      <c r="AA65" s="56">
        <f t="shared" si="32"/>
        <v>5759697.5024599489</v>
      </c>
      <c r="AB65" s="56">
        <f t="shared" si="32"/>
        <v>10899585.604797116</v>
      </c>
      <c r="AC65" s="56">
        <f t="shared" si="32"/>
        <v>11254790.85611565</v>
      </c>
      <c r="AD65" s="56">
        <f t="shared" si="32"/>
        <v>7177515.3074537423</v>
      </c>
      <c r="AE65" s="56">
        <f t="shared" si="32"/>
        <v>24548926.20502203</v>
      </c>
      <c r="AF65" s="56">
        <f t="shared" si="32"/>
        <v>13287372.958244935</v>
      </c>
      <c r="AG65" s="56">
        <f t="shared" si="32"/>
        <v>10574325.9304375</v>
      </c>
      <c r="AH65" s="56">
        <f t="shared" si="32"/>
        <v>28154855.416666668</v>
      </c>
    </row>
    <row r="66" spans="3:34" x14ac:dyDescent="0.25">
      <c r="C66" s="52" t="str">
        <f>+C59</f>
        <v>Lucro com efeitos inflacionário</v>
      </c>
      <c r="E66" s="59"/>
      <c r="F66" s="56">
        <f>+F59*(100%+F62)</f>
        <v>-857434.22631532233</v>
      </c>
      <c r="G66" s="56">
        <f>+G59*(100%+G62)</f>
        <v>1712711.2078060184</v>
      </c>
      <c r="H66" s="56">
        <f t="shared" ref="H66:AH66" si="33">+H59*(100%+H62)</f>
        <v>1541519.89895925</v>
      </c>
      <c r="I66" s="56">
        <f t="shared" si="33"/>
        <v>1441463.548796956</v>
      </c>
      <c r="J66" s="56">
        <f t="shared" si="33"/>
        <v>4870195.8380552344</v>
      </c>
      <c r="K66" s="56">
        <f t="shared" si="33"/>
        <v>4763091.8646165542</v>
      </c>
      <c r="L66" s="56">
        <f t="shared" si="33"/>
        <v>3511687.6315081455</v>
      </c>
      <c r="M66" s="56">
        <f t="shared" si="33"/>
        <v>5852869.0955364183</v>
      </c>
      <c r="N66" s="56">
        <f t="shared" si="33"/>
        <v>5805318.1874423129</v>
      </c>
      <c r="O66" s="56">
        <f t="shared" si="33"/>
        <v>7444470.352849667</v>
      </c>
      <c r="P66" s="56">
        <f t="shared" si="33"/>
        <v>7847169.6345230388</v>
      </c>
      <c r="Q66" s="56">
        <f t="shared" si="33"/>
        <v>8130801.3620444713</v>
      </c>
      <c r="R66" s="56">
        <f t="shared" si="33"/>
        <v>10780988.129549541</v>
      </c>
      <c r="S66" s="56">
        <f t="shared" si="33"/>
        <v>8067890.3947323645</v>
      </c>
      <c r="T66" s="56">
        <f t="shared" si="33"/>
        <v>11678989.88147313</v>
      </c>
      <c r="U66" s="56">
        <f t="shared" si="33"/>
        <v>11555921.252082046</v>
      </c>
      <c r="V66" s="56">
        <f t="shared" si="33"/>
        <v>3878281.7191241118</v>
      </c>
      <c r="W66" s="56">
        <f t="shared" si="33"/>
        <v>5781137.0902253063</v>
      </c>
      <c r="X66" s="56">
        <f t="shared" si="33"/>
        <v>-1713516.9577791572</v>
      </c>
      <c r="Y66" s="56">
        <f t="shared" si="33"/>
        <v>-13718854.156376917</v>
      </c>
      <c r="Z66" s="56">
        <f t="shared" si="33"/>
        <v>-5768607.4356621774</v>
      </c>
      <c r="AA66" s="56">
        <f t="shared" si="33"/>
        <v>-2109987.0389057524</v>
      </c>
      <c r="AB66" s="56">
        <f t="shared" si="33"/>
        <v>6350149.7800807776</v>
      </c>
      <c r="AC66" s="56">
        <f t="shared" si="33"/>
        <v>6818622.9849277101</v>
      </c>
      <c r="AD66" s="56">
        <f t="shared" si="33"/>
        <v>-1643731.0265089185</v>
      </c>
      <c r="AE66" s="56">
        <f t="shared" si="33"/>
        <v>13686791.984093903</v>
      </c>
      <c r="AF66" s="56">
        <f t="shared" si="33"/>
        <v>2772785.3349201917</v>
      </c>
      <c r="AG66" s="56">
        <f t="shared" si="33"/>
        <v>1550810.3252146384</v>
      </c>
      <c r="AH66" s="56">
        <f t="shared" si="33"/>
        <v>23678529.040643092</v>
      </c>
    </row>
    <row r="67" spans="3:34" x14ac:dyDescent="0.25">
      <c r="C67" s="52" t="str">
        <f>+C60</f>
        <v>Perda Inflacionária</v>
      </c>
      <c r="E67" s="59"/>
      <c r="F67" s="61">
        <f>+F65-F66</f>
        <v>612389.9848803666</v>
      </c>
      <c r="G67" s="61">
        <f t="shared" ref="G67:AH67" si="34">+G65-G66</f>
        <v>439438.19709076802</v>
      </c>
      <c r="H67" s="61">
        <f t="shared" si="34"/>
        <v>465404.5541327016</v>
      </c>
      <c r="I67" s="61">
        <f t="shared" si="34"/>
        <v>487200.50429635914</v>
      </c>
      <c r="J67" s="61">
        <f t="shared" si="34"/>
        <v>727599.99655320682</v>
      </c>
      <c r="K67" s="61">
        <f t="shared" si="34"/>
        <v>975305.76420368627</v>
      </c>
      <c r="L67" s="61">
        <f t="shared" si="34"/>
        <v>954841.83705687802</v>
      </c>
      <c r="M67" s="61">
        <f t="shared" si="34"/>
        <v>1250322.2126907157</v>
      </c>
      <c r="N67" s="61">
        <f t="shared" si="34"/>
        <v>1729375.1535927169</v>
      </c>
      <c r="O67" s="61">
        <f t="shared" si="34"/>
        <v>2144383.8356493888</v>
      </c>
      <c r="P67" s="61">
        <f t="shared" si="34"/>
        <v>2756878.8869200395</v>
      </c>
      <c r="Q67" s="61">
        <f t="shared" si="34"/>
        <v>2499100.6557254801</v>
      </c>
      <c r="R67" s="61">
        <f t="shared" si="34"/>
        <v>2555947.2557216957</v>
      </c>
      <c r="S67" s="61">
        <f t="shared" si="34"/>
        <v>2948001.0741227595</v>
      </c>
      <c r="T67" s="61">
        <f t="shared" si="34"/>
        <v>2830726.5960791912</v>
      </c>
      <c r="U67" s="61">
        <f t="shared" si="34"/>
        <v>2962699.4879764337</v>
      </c>
      <c r="V67" s="61">
        <f t="shared" si="34"/>
        <v>4985703.8982185312</v>
      </c>
      <c r="W67" s="61">
        <f t="shared" si="34"/>
        <v>2821223.6040319586</v>
      </c>
      <c r="X67" s="61">
        <f t="shared" si="34"/>
        <v>4163088.6852046065</v>
      </c>
      <c r="Y67" s="61">
        <f t="shared" si="34"/>
        <v>11204448.889353491</v>
      </c>
      <c r="Z67" s="61">
        <f t="shared" si="34"/>
        <v>9719156.1363848895</v>
      </c>
      <c r="AA67" s="61">
        <f t="shared" si="34"/>
        <v>7869684.5413657017</v>
      </c>
      <c r="AB67" s="61">
        <f t="shared" si="34"/>
        <v>4549435.824716338</v>
      </c>
      <c r="AC67" s="61">
        <f t="shared" si="34"/>
        <v>4436167.8711879402</v>
      </c>
      <c r="AD67" s="61">
        <f t="shared" si="34"/>
        <v>8821246.3339626603</v>
      </c>
      <c r="AE67" s="61">
        <f t="shared" si="34"/>
        <v>10862134.220928127</v>
      </c>
      <c r="AF67" s="61">
        <f t="shared" si="34"/>
        <v>10514587.623324743</v>
      </c>
      <c r="AG67" s="61">
        <f t="shared" si="34"/>
        <v>9023515.6052228622</v>
      </c>
      <c r="AH67" s="61">
        <f t="shared" si="34"/>
        <v>4476326.3760235757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F1AF-A79B-4872-B37F-C756B9F00BD7}">
  <dimension ref="B1:AH98"/>
  <sheetViews>
    <sheetView showGridLines="0" topLeftCell="A85" workbookViewId="0">
      <selection activeCell="A101" sqref="A101"/>
    </sheetView>
  </sheetViews>
  <sheetFormatPr defaultRowHeight="15" x14ac:dyDescent="0.25"/>
  <cols>
    <col min="2" max="2" width="22.140625" customWidth="1"/>
    <col min="3" max="3" width="27.28515625" customWidth="1"/>
    <col min="4" max="4" width="1.5703125" customWidth="1"/>
    <col min="5" max="5" width="0.7109375" customWidth="1"/>
    <col min="6" max="12" width="14.42578125" bestFit="1" customWidth="1"/>
    <col min="13" max="16" width="15.28515625" bestFit="1" customWidth="1"/>
    <col min="17" max="34" width="15.42578125" bestFit="1" customWidth="1"/>
  </cols>
  <sheetData>
    <row r="1" spans="2:34" x14ac:dyDescent="0.25">
      <c r="B1" s="52" t="s">
        <v>111</v>
      </c>
      <c r="C1" s="53" t="s">
        <v>14</v>
      </c>
      <c r="D1" s="52"/>
      <c r="E1" s="54"/>
      <c r="F1" s="55">
        <v>1996</v>
      </c>
      <c r="G1" s="55">
        <v>1997</v>
      </c>
      <c r="H1" s="55">
        <v>1998</v>
      </c>
      <c r="I1" s="55">
        <v>1999</v>
      </c>
      <c r="J1" s="55">
        <v>2000</v>
      </c>
      <c r="K1" s="55">
        <v>2001</v>
      </c>
      <c r="L1" s="55">
        <v>2002</v>
      </c>
      <c r="M1" s="55">
        <v>2003</v>
      </c>
      <c r="N1" s="55">
        <v>2004</v>
      </c>
      <c r="O1" s="55">
        <v>2005</v>
      </c>
      <c r="P1" s="55">
        <v>2006</v>
      </c>
      <c r="Q1" s="55">
        <v>2007</v>
      </c>
      <c r="R1" s="55">
        <v>2008</v>
      </c>
      <c r="S1" s="55">
        <v>2009</v>
      </c>
      <c r="T1" s="55">
        <v>2010</v>
      </c>
      <c r="U1" s="55">
        <v>2011</v>
      </c>
      <c r="V1" s="55">
        <v>2012</v>
      </c>
      <c r="W1" s="55">
        <v>2013</v>
      </c>
      <c r="X1" s="55">
        <v>2014</v>
      </c>
      <c r="Y1" s="55">
        <v>2015</v>
      </c>
      <c r="Z1" s="55">
        <v>2016</v>
      </c>
      <c r="AA1" s="55">
        <v>2017</v>
      </c>
      <c r="AB1" s="55">
        <v>2018</v>
      </c>
      <c r="AC1" s="55">
        <v>2019</v>
      </c>
      <c r="AD1" s="55">
        <v>2020</v>
      </c>
      <c r="AE1" s="55">
        <v>2021</v>
      </c>
      <c r="AF1" s="55">
        <v>2022</v>
      </c>
      <c r="AG1" s="55">
        <v>2023</v>
      </c>
      <c r="AH1" s="55">
        <v>2024</v>
      </c>
    </row>
    <row r="2" spans="2:34" x14ac:dyDescent="0.25">
      <c r="B2" t="str" cm="1">
        <f t="array" ref="B2:AH25">_xlfn.VSTACK(VALE3:BBSE3!L22:AR22)</f>
        <v>Vale ON</v>
      </c>
      <c r="C2" t="str">
        <v xml:space="preserve">PL </v>
      </c>
      <c r="D2" s="59">
        <v>0</v>
      </c>
      <c r="E2" s="59">
        <v>0</v>
      </c>
      <c r="F2" s="56">
        <v>10228870</v>
      </c>
      <c r="G2" s="56">
        <v>9472000</v>
      </c>
      <c r="H2" s="56">
        <v>9712283</v>
      </c>
      <c r="I2" s="56">
        <v>10502002</v>
      </c>
      <c r="J2" s="56">
        <v>10565590</v>
      </c>
      <c r="K2" s="56">
        <v>11766563</v>
      </c>
      <c r="L2" s="56">
        <v>12750519</v>
      </c>
      <c r="M2" s="56">
        <v>14939574</v>
      </c>
      <c r="N2" s="56">
        <v>18169333</v>
      </c>
      <c r="O2" s="56">
        <v>24052131</v>
      </c>
      <c r="P2" s="56">
        <v>39098760</v>
      </c>
      <c r="Q2" s="56">
        <v>57029465</v>
      </c>
      <c r="R2" s="56">
        <v>96274640</v>
      </c>
      <c r="S2" s="56">
        <v>95736974</v>
      </c>
      <c r="T2" s="56">
        <v>112118004</v>
      </c>
      <c r="U2" s="56">
        <v>143475398</v>
      </c>
      <c r="V2" s="56">
        <v>152388190</v>
      </c>
      <c r="W2" s="56">
        <v>148345807</v>
      </c>
      <c r="X2" s="56">
        <v>146414683</v>
      </c>
      <c r="Y2" s="56">
        <v>131160217</v>
      </c>
      <c r="Z2" s="56">
        <v>127240523</v>
      </c>
      <c r="AA2" s="56">
        <v>143757534</v>
      </c>
      <c r="AB2" s="56">
        <v>170402626</v>
      </c>
      <c r="AC2" s="56">
        <v>161480300</v>
      </c>
      <c r="AD2" s="56">
        <v>185784979</v>
      </c>
      <c r="AE2" s="56">
        <v>192403000</v>
      </c>
      <c r="AF2" s="56">
        <v>187112000</v>
      </c>
      <c r="AG2" s="56">
        <v>187112000</v>
      </c>
      <c r="AH2" s="56">
        <v>187112000</v>
      </c>
    </row>
    <row r="3" spans="2:34" x14ac:dyDescent="0.25">
      <c r="B3" t="str">
        <v>Petrobras PN</v>
      </c>
      <c r="C3" t="str">
        <v xml:space="preserve">PL </v>
      </c>
      <c r="D3" s="59">
        <v>0</v>
      </c>
      <c r="E3" s="59">
        <v>0</v>
      </c>
      <c r="F3" s="56">
        <v>19975136</v>
      </c>
      <c r="G3" s="56">
        <v>21055416</v>
      </c>
      <c r="H3" s="56">
        <v>21734616</v>
      </c>
      <c r="I3" s="56">
        <v>10502002</v>
      </c>
      <c r="J3" s="56">
        <v>10565590</v>
      </c>
      <c r="K3" s="56">
        <v>28966503</v>
      </c>
      <c r="L3" s="56">
        <v>34324906</v>
      </c>
      <c r="M3" s="56">
        <v>49367329</v>
      </c>
      <c r="N3" s="56">
        <v>62271562</v>
      </c>
      <c r="O3" s="56">
        <v>78785236</v>
      </c>
      <c r="P3" s="56">
        <v>97530648</v>
      </c>
      <c r="Q3" s="56">
        <v>113854127</v>
      </c>
      <c r="R3" s="56">
        <v>138365282</v>
      </c>
      <c r="S3" s="56">
        <v>159464599</v>
      </c>
      <c r="T3" s="56">
        <v>306765182</v>
      </c>
      <c r="U3" s="56">
        <v>329838881</v>
      </c>
      <c r="V3" s="56">
        <v>343079673</v>
      </c>
      <c r="W3" s="56">
        <v>347939893</v>
      </c>
      <c r="X3" s="56">
        <v>308848000</v>
      </c>
      <c r="Y3" s="56">
        <v>254731000</v>
      </c>
      <c r="Z3" s="56">
        <v>250230000</v>
      </c>
      <c r="AA3" s="56">
        <v>263985000</v>
      </c>
      <c r="AB3" s="56">
        <v>277225000</v>
      </c>
      <c r="AC3" s="56">
        <v>295541000</v>
      </c>
      <c r="AD3" s="56">
        <v>308410000</v>
      </c>
      <c r="AE3" s="56">
        <v>387329000</v>
      </c>
      <c r="AF3" s="56">
        <v>362594000</v>
      </c>
      <c r="AG3" s="56">
        <v>362594000</v>
      </c>
      <c r="AH3" s="56">
        <v>362594000</v>
      </c>
    </row>
    <row r="4" spans="2:34" x14ac:dyDescent="0.25">
      <c r="B4" t="str">
        <v>ItauUnibanco PN</v>
      </c>
      <c r="C4" t="str">
        <v xml:space="preserve">PL </v>
      </c>
      <c r="D4" s="59">
        <v>0</v>
      </c>
      <c r="E4" s="59">
        <v>0</v>
      </c>
      <c r="F4" s="56">
        <v>3842455</v>
      </c>
      <c r="G4" s="56">
        <v>4197522</v>
      </c>
      <c r="H4" s="56">
        <v>4651335</v>
      </c>
      <c r="I4" s="56">
        <v>10502002</v>
      </c>
      <c r="J4" s="56">
        <v>10565590</v>
      </c>
      <c r="K4" s="56">
        <v>7578222</v>
      </c>
      <c r="L4" s="56">
        <v>9036410</v>
      </c>
      <c r="M4" s="56">
        <v>11879208</v>
      </c>
      <c r="N4" s="56">
        <v>13971082</v>
      </c>
      <c r="O4" s="56">
        <v>15559656</v>
      </c>
      <c r="P4" s="56">
        <v>23564471</v>
      </c>
      <c r="Q4" s="56">
        <v>28969086</v>
      </c>
      <c r="R4" s="56">
        <v>43664036</v>
      </c>
      <c r="S4" s="56">
        <v>50683423</v>
      </c>
      <c r="T4" s="56">
        <v>60878545</v>
      </c>
      <c r="U4" s="56">
        <v>71347333</v>
      </c>
      <c r="V4" s="56">
        <v>74219609</v>
      </c>
      <c r="W4" s="56">
        <v>81024484</v>
      </c>
      <c r="X4" s="56">
        <v>95847713</v>
      </c>
      <c r="Y4" s="56">
        <v>106462440</v>
      </c>
      <c r="Z4" s="56">
        <v>115590426</v>
      </c>
      <c r="AA4" s="56">
        <v>126923600</v>
      </c>
      <c r="AB4" s="56">
        <v>131756574</v>
      </c>
      <c r="AC4" s="56">
        <v>131987401</v>
      </c>
      <c r="AD4" s="56">
        <v>136593000</v>
      </c>
      <c r="AE4" s="56">
        <v>144554000</v>
      </c>
      <c r="AF4" s="56">
        <v>160925000</v>
      </c>
      <c r="AG4" s="56">
        <v>160925000</v>
      </c>
      <c r="AH4" s="56">
        <v>160925000</v>
      </c>
    </row>
    <row r="5" spans="2:34" x14ac:dyDescent="0.25">
      <c r="B5" t="str">
        <v>Petrobras ON</v>
      </c>
      <c r="C5" t="str">
        <v xml:space="preserve">PL </v>
      </c>
      <c r="D5" s="59">
        <v>0</v>
      </c>
      <c r="E5" s="59">
        <v>0</v>
      </c>
      <c r="F5" s="56">
        <v>19975136</v>
      </c>
      <c r="G5" s="56">
        <v>21055416</v>
      </c>
      <c r="H5" s="56">
        <v>21734616</v>
      </c>
      <c r="I5" s="56">
        <v>10502002</v>
      </c>
      <c r="J5" s="56">
        <v>10565590</v>
      </c>
      <c r="K5" s="56">
        <v>28966503</v>
      </c>
      <c r="L5" s="56">
        <v>34324906</v>
      </c>
      <c r="M5" s="56">
        <v>49367329</v>
      </c>
      <c r="N5" s="56">
        <v>62271562</v>
      </c>
      <c r="O5" s="56">
        <v>78785236</v>
      </c>
      <c r="P5" s="56">
        <v>97530648</v>
      </c>
      <c r="Q5" s="56">
        <v>113854127</v>
      </c>
      <c r="R5" s="56">
        <v>138365282</v>
      </c>
      <c r="S5" s="56">
        <v>159464599</v>
      </c>
      <c r="T5" s="56">
        <v>306765182</v>
      </c>
      <c r="U5" s="56">
        <v>329838881</v>
      </c>
      <c r="V5" s="56">
        <v>343079673</v>
      </c>
      <c r="W5" s="56">
        <v>347939893</v>
      </c>
      <c r="X5" s="56">
        <v>308848000</v>
      </c>
      <c r="Y5" s="56">
        <v>254731000</v>
      </c>
      <c r="Z5" s="56">
        <v>250230000</v>
      </c>
      <c r="AA5" s="56">
        <v>263985000</v>
      </c>
      <c r="AB5" s="56">
        <v>277225000</v>
      </c>
      <c r="AC5" s="56">
        <v>295541000</v>
      </c>
      <c r="AD5" s="56">
        <v>308410000</v>
      </c>
      <c r="AE5" s="56">
        <v>387329000</v>
      </c>
      <c r="AF5" s="56">
        <v>362594000</v>
      </c>
      <c r="AG5" s="56">
        <v>362594000</v>
      </c>
      <c r="AH5" s="56">
        <v>362594000</v>
      </c>
    </row>
    <row r="6" spans="2:34" x14ac:dyDescent="0.25">
      <c r="B6" t="str">
        <v>Eletrobras ON</v>
      </c>
      <c r="C6" t="str">
        <v xml:space="preserve">PL </v>
      </c>
      <c r="D6" s="59">
        <v>0</v>
      </c>
      <c r="E6" s="59">
        <v>0</v>
      </c>
      <c r="F6" s="56">
        <v>59644584</v>
      </c>
      <c r="G6" s="56">
        <v>61646875</v>
      </c>
      <c r="H6" s="56">
        <v>59995657</v>
      </c>
      <c r="I6" s="56">
        <v>10502002</v>
      </c>
      <c r="J6" s="56">
        <v>10565590</v>
      </c>
      <c r="K6" s="56">
        <v>64285524</v>
      </c>
      <c r="L6" s="56">
        <v>66550862</v>
      </c>
      <c r="M6" s="56">
        <v>67837732</v>
      </c>
      <c r="N6" s="56">
        <v>69873809</v>
      </c>
      <c r="O6" s="56">
        <v>75714890</v>
      </c>
      <c r="P6" s="56">
        <v>77835788</v>
      </c>
      <c r="Q6" s="56">
        <v>79963236</v>
      </c>
      <c r="R6" s="56">
        <v>85618361</v>
      </c>
      <c r="S6" s="56">
        <v>76091785</v>
      </c>
      <c r="T6" s="56">
        <v>70304115</v>
      </c>
      <c r="U6" s="56">
        <v>76843509</v>
      </c>
      <c r="V6" s="56">
        <v>67083945</v>
      </c>
      <c r="W6" s="56">
        <v>60493710</v>
      </c>
      <c r="X6" s="56">
        <v>56539551</v>
      </c>
      <c r="Y6" s="56">
        <v>42092014</v>
      </c>
      <c r="Z6" s="56">
        <v>44203470</v>
      </c>
      <c r="AA6" s="56">
        <v>42339377</v>
      </c>
      <c r="AB6" s="56">
        <v>55542906</v>
      </c>
      <c r="AC6" s="56">
        <v>70906801</v>
      </c>
      <c r="AD6" s="56">
        <v>73478307</v>
      </c>
      <c r="AE6" s="56">
        <v>76121204</v>
      </c>
      <c r="AF6" s="56">
        <v>110504796</v>
      </c>
      <c r="AG6" s="56">
        <v>110504796</v>
      </c>
      <c r="AH6" s="56">
        <v>110504796</v>
      </c>
    </row>
    <row r="7" spans="2:34" x14ac:dyDescent="0.25">
      <c r="B7" t="str">
        <v>Bradesco PN</v>
      </c>
      <c r="C7" t="str">
        <v xml:space="preserve">PL </v>
      </c>
      <c r="D7" s="59">
        <v>0</v>
      </c>
      <c r="E7" s="59">
        <v>0</v>
      </c>
      <c r="F7" s="56">
        <v>5460211</v>
      </c>
      <c r="G7" s="56">
        <v>5572745</v>
      </c>
      <c r="H7" s="56">
        <v>6320999</v>
      </c>
      <c r="I7" s="56">
        <v>10502002</v>
      </c>
      <c r="J7" s="56">
        <v>10565590</v>
      </c>
      <c r="K7" s="56">
        <v>9767946</v>
      </c>
      <c r="L7" s="56">
        <v>10845729</v>
      </c>
      <c r="M7" s="56">
        <v>13546880</v>
      </c>
      <c r="N7" s="56">
        <v>15214646</v>
      </c>
      <c r="O7" s="56">
        <v>19409274</v>
      </c>
      <c r="P7" s="56">
        <v>24636362</v>
      </c>
      <c r="Q7" s="56">
        <v>30357344</v>
      </c>
      <c r="R7" s="56">
        <v>34256544</v>
      </c>
      <c r="S7" s="56">
        <v>41753751</v>
      </c>
      <c r="T7" s="56">
        <v>48042850</v>
      </c>
      <c r="U7" s="56">
        <v>55581664</v>
      </c>
      <c r="V7" s="56">
        <v>70047459</v>
      </c>
      <c r="W7" s="56">
        <v>70939802</v>
      </c>
      <c r="X7" s="56">
        <v>81508250</v>
      </c>
      <c r="Y7" s="56">
        <v>88906644</v>
      </c>
      <c r="Z7" s="56">
        <v>100442413</v>
      </c>
      <c r="AA7" s="56">
        <v>110457476</v>
      </c>
      <c r="AB7" s="56">
        <v>121120869</v>
      </c>
      <c r="AC7" s="56">
        <v>133723221</v>
      </c>
      <c r="AD7" s="56">
        <v>143702640</v>
      </c>
      <c r="AE7" s="56">
        <v>147121011</v>
      </c>
      <c r="AF7" s="56">
        <v>154263000</v>
      </c>
      <c r="AG7" s="56">
        <v>154263000</v>
      </c>
      <c r="AH7" s="56">
        <v>154263000</v>
      </c>
    </row>
    <row r="8" spans="2:34" x14ac:dyDescent="0.25">
      <c r="B8" t="str">
        <v>B3 ON</v>
      </c>
      <c r="C8" t="str">
        <v xml:space="preserve">PL </v>
      </c>
      <c r="D8" s="59">
        <v>0</v>
      </c>
      <c r="E8" s="59">
        <v>0</v>
      </c>
      <c r="F8" s="56">
        <v>0</v>
      </c>
      <c r="G8" s="56">
        <v>0</v>
      </c>
      <c r="H8" s="56">
        <v>0</v>
      </c>
      <c r="I8" s="56">
        <v>10502002</v>
      </c>
      <c r="J8" s="56">
        <v>10565590</v>
      </c>
      <c r="K8" s="56">
        <v>0</v>
      </c>
      <c r="L8" s="56">
        <v>0</v>
      </c>
      <c r="M8" s="56">
        <v>0</v>
      </c>
      <c r="N8" s="56">
        <v>819128</v>
      </c>
      <c r="O8" s="56">
        <v>857655</v>
      </c>
      <c r="P8" s="56">
        <v>1062079</v>
      </c>
      <c r="Q8" s="56">
        <v>1353629</v>
      </c>
      <c r="R8" s="56">
        <v>19291724</v>
      </c>
      <c r="S8" s="56">
        <v>19709749</v>
      </c>
      <c r="T8" s="56">
        <v>19402765</v>
      </c>
      <c r="U8" s="56">
        <v>19241000</v>
      </c>
      <c r="V8" s="56">
        <v>19397918</v>
      </c>
      <c r="W8" s="56">
        <v>19284229</v>
      </c>
      <c r="X8" s="56">
        <v>18979509</v>
      </c>
      <c r="Y8" s="56">
        <v>18342099</v>
      </c>
      <c r="Z8" s="56">
        <v>19066470</v>
      </c>
      <c r="AA8" s="56">
        <v>24299694</v>
      </c>
      <c r="AB8" s="56">
        <v>25032969</v>
      </c>
      <c r="AC8" s="56">
        <v>25388001</v>
      </c>
      <c r="AD8" s="56">
        <v>24509951</v>
      </c>
      <c r="AE8" s="56">
        <v>22407905</v>
      </c>
      <c r="AF8" s="56">
        <v>20271137</v>
      </c>
      <c r="AG8" s="56">
        <v>20271137</v>
      </c>
      <c r="AH8" s="56">
        <v>20271137</v>
      </c>
    </row>
    <row r="9" spans="2:34" x14ac:dyDescent="0.25">
      <c r="B9" t="str">
        <v>Brasil ON</v>
      </c>
      <c r="C9" t="str">
        <v xml:space="preserve">PL </v>
      </c>
      <c r="D9" s="59">
        <v>0</v>
      </c>
      <c r="E9" s="59">
        <v>0</v>
      </c>
      <c r="F9" s="56">
        <v>5592213</v>
      </c>
      <c r="G9" s="56">
        <v>6003033</v>
      </c>
      <c r="H9" s="56">
        <v>6629873</v>
      </c>
      <c r="I9" s="56">
        <v>10502002</v>
      </c>
      <c r="J9" s="56">
        <v>10565590</v>
      </c>
      <c r="K9" s="56">
        <v>8747353</v>
      </c>
      <c r="L9" s="56">
        <v>9197065</v>
      </c>
      <c r="M9" s="56">
        <v>12171798</v>
      </c>
      <c r="N9" s="56">
        <v>14105696</v>
      </c>
      <c r="O9" s="56">
        <v>16849764</v>
      </c>
      <c r="P9" s="56">
        <v>20758158</v>
      </c>
      <c r="Q9" s="56">
        <v>24262096</v>
      </c>
      <c r="R9" s="56">
        <v>29937250</v>
      </c>
      <c r="S9" s="56">
        <v>36119265</v>
      </c>
      <c r="T9" s="56">
        <v>50440636</v>
      </c>
      <c r="U9" s="56">
        <v>57972442</v>
      </c>
      <c r="V9" s="56">
        <v>65495798</v>
      </c>
      <c r="W9" s="56">
        <v>69526297</v>
      </c>
      <c r="X9" s="56">
        <v>77519742</v>
      </c>
      <c r="Y9" s="56">
        <v>78408095</v>
      </c>
      <c r="Z9" s="56">
        <v>87193752</v>
      </c>
      <c r="AA9" s="56">
        <v>98723402</v>
      </c>
      <c r="AB9" s="56">
        <v>102252882</v>
      </c>
      <c r="AC9" s="56">
        <v>106661238</v>
      </c>
      <c r="AD9" s="56">
        <v>124567652</v>
      </c>
      <c r="AE9" s="56">
        <v>141995018</v>
      </c>
      <c r="AF9" s="56">
        <v>160278681</v>
      </c>
      <c r="AG9" s="56">
        <v>160278681</v>
      </c>
      <c r="AH9" s="56">
        <v>160278681</v>
      </c>
    </row>
    <row r="10" spans="2:34" x14ac:dyDescent="0.25">
      <c r="B10" t="str">
        <v>Ambev S/A ON</v>
      </c>
      <c r="C10" t="str">
        <v xml:space="preserve">PL </v>
      </c>
      <c r="D10" s="59">
        <v>0</v>
      </c>
      <c r="E10" s="59">
        <v>0</v>
      </c>
      <c r="F10" s="56">
        <v>1263852</v>
      </c>
      <c r="G10" s="56">
        <v>1350303</v>
      </c>
      <c r="H10" s="56">
        <v>1428416</v>
      </c>
      <c r="I10" s="56">
        <v>10502002</v>
      </c>
      <c r="J10" s="56">
        <v>10565590</v>
      </c>
      <c r="K10" s="56">
        <v>3363437</v>
      </c>
      <c r="L10" s="56">
        <v>4129647</v>
      </c>
      <c r="M10" s="56">
        <v>4308217</v>
      </c>
      <c r="N10" s="56">
        <v>16995979</v>
      </c>
      <c r="O10" s="56">
        <v>19867339</v>
      </c>
      <c r="P10" s="56">
        <v>19268063</v>
      </c>
      <c r="Q10" s="56">
        <v>17419950</v>
      </c>
      <c r="R10" s="56">
        <v>17278138</v>
      </c>
      <c r="S10" s="56">
        <v>22017450</v>
      </c>
      <c r="T10" s="56">
        <v>24361863</v>
      </c>
      <c r="U10" s="56">
        <v>25611320</v>
      </c>
      <c r="V10" s="56">
        <v>28863744</v>
      </c>
      <c r="W10" s="56">
        <v>42838778</v>
      </c>
      <c r="X10" s="56">
        <v>42221594</v>
      </c>
      <c r="Y10" s="56">
        <v>48331883</v>
      </c>
      <c r="Z10" s="56">
        <v>44825048</v>
      </c>
      <c r="AA10" s="56">
        <v>46008814</v>
      </c>
      <c r="AB10" s="56">
        <v>56340623</v>
      </c>
      <c r="AC10" s="56">
        <v>61278025</v>
      </c>
      <c r="AD10" s="56">
        <v>73815628</v>
      </c>
      <c r="AE10" s="56">
        <v>82643031</v>
      </c>
      <c r="AF10" s="56">
        <v>81955633</v>
      </c>
      <c r="AG10" s="56">
        <v>81955633</v>
      </c>
      <c r="AH10" s="56">
        <v>81955633</v>
      </c>
    </row>
    <row r="11" spans="2:34" x14ac:dyDescent="0.25">
      <c r="B11" t="str">
        <v>Localiza ON</v>
      </c>
      <c r="C11" t="str">
        <v xml:space="preserve">PL </v>
      </c>
      <c r="D11" s="59">
        <v>0</v>
      </c>
      <c r="E11" s="59">
        <v>0</v>
      </c>
      <c r="F11" s="56">
        <v>0</v>
      </c>
      <c r="G11" s="56">
        <v>0</v>
      </c>
      <c r="H11" s="56">
        <v>0</v>
      </c>
      <c r="I11" s="56">
        <v>10502002</v>
      </c>
      <c r="J11" s="56">
        <v>10565590</v>
      </c>
      <c r="K11" s="56">
        <v>191178</v>
      </c>
      <c r="L11" s="56">
        <v>194714</v>
      </c>
      <c r="M11" s="56">
        <v>195607</v>
      </c>
      <c r="N11" s="56">
        <v>256381</v>
      </c>
      <c r="O11" s="56">
        <v>334274</v>
      </c>
      <c r="P11" s="56">
        <v>378628</v>
      </c>
      <c r="Q11" s="56">
        <v>484121</v>
      </c>
      <c r="R11" s="56">
        <v>537256</v>
      </c>
      <c r="S11" s="56">
        <v>608685</v>
      </c>
      <c r="T11" s="56">
        <v>898742</v>
      </c>
      <c r="U11" s="56">
        <v>1120583</v>
      </c>
      <c r="V11" s="56">
        <v>1324753</v>
      </c>
      <c r="W11" s="56">
        <v>1341208</v>
      </c>
      <c r="X11" s="56">
        <v>1655504</v>
      </c>
      <c r="Y11" s="56">
        <v>1941577</v>
      </c>
      <c r="Z11" s="56">
        <v>2196990</v>
      </c>
      <c r="AA11" s="56">
        <v>2600725</v>
      </c>
      <c r="AB11" s="56">
        <v>3094502</v>
      </c>
      <c r="AC11" s="56">
        <v>5447532</v>
      </c>
      <c r="AD11" s="56">
        <v>6052659</v>
      </c>
      <c r="AE11" s="56">
        <v>7617090</v>
      </c>
      <c r="AF11" s="56">
        <v>20559196</v>
      </c>
      <c r="AG11" s="56">
        <v>20559196</v>
      </c>
      <c r="AH11" s="56">
        <v>20559196</v>
      </c>
    </row>
    <row r="12" spans="2:34" x14ac:dyDescent="0.25">
      <c r="B12" t="str">
        <v>Itausa PN</v>
      </c>
      <c r="C12" t="str">
        <v xml:space="preserve">PL </v>
      </c>
      <c r="D12" s="59">
        <v>0</v>
      </c>
      <c r="E12" s="59">
        <v>0</v>
      </c>
      <c r="F12" s="56">
        <v>2433214</v>
      </c>
      <c r="G12" s="56">
        <v>2770442</v>
      </c>
      <c r="H12" s="56">
        <v>2984403</v>
      </c>
      <c r="I12" s="56">
        <v>10502002</v>
      </c>
      <c r="J12" s="56">
        <v>10565590</v>
      </c>
      <c r="K12" s="56">
        <v>5054694</v>
      </c>
      <c r="L12" s="56">
        <v>6389415</v>
      </c>
      <c r="M12" s="56">
        <v>7636181</v>
      </c>
      <c r="N12" s="56">
        <v>8879419</v>
      </c>
      <c r="O12" s="56">
        <v>9753844</v>
      </c>
      <c r="P12" s="56">
        <v>12842285</v>
      </c>
      <c r="Q12" s="56">
        <v>15675809</v>
      </c>
      <c r="R12" s="56">
        <v>16591945</v>
      </c>
      <c r="S12" s="56">
        <v>19785992</v>
      </c>
      <c r="T12" s="56">
        <v>26302000</v>
      </c>
      <c r="U12" s="56">
        <v>29341000</v>
      </c>
      <c r="V12" s="56">
        <v>30027000</v>
      </c>
      <c r="W12" s="56">
        <v>33131000</v>
      </c>
      <c r="X12" s="56">
        <v>39226000</v>
      </c>
      <c r="Y12" s="56">
        <v>44846000</v>
      </c>
      <c r="Z12" s="56">
        <v>47729000</v>
      </c>
      <c r="AA12" s="56">
        <v>53229000</v>
      </c>
      <c r="AB12" s="56">
        <v>55143000</v>
      </c>
      <c r="AC12" s="56">
        <v>55232000</v>
      </c>
      <c r="AD12" s="56">
        <v>57343000</v>
      </c>
      <c r="AE12" s="56">
        <v>65886000</v>
      </c>
      <c r="AF12" s="56">
        <v>72797000</v>
      </c>
      <c r="AG12" s="56">
        <v>72797000</v>
      </c>
      <c r="AH12" s="56">
        <v>72797000</v>
      </c>
    </row>
    <row r="13" spans="2:34" x14ac:dyDescent="0.25">
      <c r="B13" t="str">
        <v>Weg ON</v>
      </c>
      <c r="C13" t="str">
        <v xml:space="preserve">PL </v>
      </c>
      <c r="D13" s="59">
        <v>0</v>
      </c>
      <c r="E13" s="59">
        <v>0</v>
      </c>
      <c r="F13" s="56">
        <v>263772</v>
      </c>
      <c r="G13" s="56">
        <v>295142</v>
      </c>
      <c r="H13" s="56">
        <v>353278</v>
      </c>
      <c r="I13" s="56">
        <v>10502002</v>
      </c>
      <c r="J13" s="56">
        <v>10565590</v>
      </c>
      <c r="K13" s="56">
        <v>573648</v>
      </c>
      <c r="L13" s="56">
        <v>693651</v>
      </c>
      <c r="M13" s="56">
        <v>861426</v>
      </c>
      <c r="N13" s="56">
        <v>1162002</v>
      </c>
      <c r="O13" s="56">
        <v>1371463</v>
      </c>
      <c r="P13" s="56">
        <v>1552724</v>
      </c>
      <c r="Q13" s="56">
        <v>1829174</v>
      </c>
      <c r="R13" s="56">
        <v>2178580</v>
      </c>
      <c r="S13" s="56">
        <v>2362787</v>
      </c>
      <c r="T13" s="56">
        <v>3454607</v>
      </c>
      <c r="U13" s="56">
        <v>3800112</v>
      </c>
      <c r="V13" s="56">
        <v>4060349</v>
      </c>
      <c r="W13" s="56">
        <v>4557772</v>
      </c>
      <c r="X13" s="56">
        <v>5056385</v>
      </c>
      <c r="Y13" s="56">
        <v>6029380</v>
      </c>
      <c r="Z13" s="56">
        <v>5962874</v>
      </c>
      <c r="AA13" s="56">
        <v>6720926</v>
      </c>
      <c r="AB13" s="56">
        <v>7714274</v>
      </c>
      <c r="AC13" s="56">
        <v>8717247</v>
      </c>
      <c r="AD13" s="56">
        <v>11563165</v>
      </c>
      <c r="AE13" s="56">
        <v>13604971</v>
      </c>
      <c r="AF13" s="56">
        <v>14834795</v>
      </c>
      <c r="AG13" s="56">
        <v>14834795</v>
      </c>
      <c r="AH13" s="56">
        <v>14834795</v>
      </c>
    </row>
    <row r="14" spans="2:34" x14ac:dyDescent="0.25">
      <c r="B14" t="str">
        <v>Btgp Banco UNT</v>
      </c>
      <c r="C14" t="str">
        <v xml:space="preserve">PL </v>
      </c>
      <c r="D14" s="59">
        <v>0</v>
      </c>
      <c r="E14" s="59">
        <v>0</v>
      </c>
      <c r="F14" s="56">
        <v>0</v>
      </c>
      <c r="G14" s="56">
        <v>0</v>
      </c>
      <c r="H14" s="56">
        <v>0</v>
      </c>
      <c r="I14" s="56">
        <v>10502002</v>
      </c>
      <c r="J14" s="56">
        <v>10565590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1200481</v>
      </c>
      <c r="Q14" s="56">
        <v>3829206</v>
      </c>
      <c r="R14" s="56">
        <v>3865215</v>
      </c>
      <c r="S14" s="56">
        <v>3244500</v>
      </c>
      <c r="T14" s="56">
        <v>5537682</v>
      </c>
      <c r="U14" s="56">
        <v>6339762</v>
      </c>
      <c r="V14" s="56">
        <v>10101467</v>
      </c>
      <c r="W14" s="56">
        <v>12127824</v>
      </c>
      <c r="X14" s="56">
        <v>14733327</v>
      </c>
      <c r="Y14" s="56">
        <v>19713264</v>
      </c>
      <c r="Z14" s="56">
        <v>17727219</v>
      </c>
      <c r="AA14" s="56">
        <v>18527813</v>
      </c>
      <c r="AB14" s="56">
        <v>18844934</v>
      </c>
      <c r="AC14" s="56">
        <v>21386635</v>
      </c>
      <c r="AD14" s="56">
        <v>26680655</v>
      </c>
      <c r="AE14" s="56">
        <v>37379747</v>
      </c>
      <c r="AF14" s="56">
        <v>42371767</v>
      </c>
      <c r="AG14" s="56">
        <v>42371767</v>
      </c>
      <c r="AH14" s="56">
        <v>42371767</v>
      </c>
    </row>
    <row r="15" spans="2:34" x14ac:dyDescent="0.25">
      <c r="B15" t="str">
        <v>Equatorial ON</v>
      </c>
      <c r="C15" t="str">
        <v xml:space="preserve">PL </v>
      </c>
      <c r="D15" s="59">
        <v>0</v>
      </c>
      <c r="E15" s="59">
        <v>0</v>
      </c>
      <c r="F15" s="56">
        <v>0</v>
      </c>
      <c r="G15" s="56">
        <v>0</v>
      </c>
      <c r="H15" s="56">
        <v>0</v>
      </c>
      <c r="I15" s="56">
        <v>10502002</v>
      </c>
      <c r="J15" s="56">
        <v>10565590</v>
      </c>
      <c r="K15" s="56">
        <v>0</v>
      </c>
      <c r="L15" s="56">
        <v>0</v>
      </c>
      <c r="M15" s="56">
        <v>112920</v>
      </c>
      <c r="N15" s="56">
        <v>335442</v>
      </c>
      <c r="O15" s="56">
        <v>525036</v>
      </c>
      <c r="P15" s="56">
        <v>724537</v>
      </c>
      <c r="Q15" s="56">
        <v>726816</v>
      </c>
      <c r="R15" s="56">
        <v>1101126</v>
      </c>
      <c r="S15" s="56">
        <v>1181541</v>
      </c>
      <c r="T15" s="56">
        <v>1270917</v>
      </c>
      <c r="U15" s="56">
        <v>1258543</v>
      </c>
      <c r="V15" s="56">
        <v>2527525</v>
      </c>
      <c r="W15" s="56">
        <v>2354173</v>
      </c>
      <c r="X15" s="56">
        <v>2836367</v>
      </c>
      <c r="Y15" s="56">
        <v>3479252</v>
      </c>
      <c r="Z15" s="56">
        <v>4023998</v>
      </c>
      <c r="AA15" s="56">
        <v>4786085</v>
      </c>
      <c r="AB15" s="56">
        <v>5596032</v>
      </c>
      <c r="AC15" s="56">
        <v>8110877</v>
      </c>
      <c r="AD15" s="56">
        <v>10462390</v>
      </c>
      <c r="AE15" s="56">
        <v>12756361</v>
      </c>
      <c r="AF15" s="56">
        <v>16614353</v>
      </c>
      <c r="AG15" s="56">
        <v>16614353</v>
      </c>
      <c r="AH15" s="56">
        <v>16614353</v>
      </c>
    </row>
    <row r="16" spans="2:34" x14ac:dyDescent="0.25">
      <c r="B16" t="str">
        <v>Suzano S.A. ON</v>
      </c>
      <c r="C16" t="str">
        <v xml:space="preserve">PL </v>
      </c>
      <c r="D16" s="59">
        <v>0</v>
      </c>
      <c r="E16" s="59">
        <v>0</v>
      </c>
      <c r="F16" s="56">
        <v>1442587</v>
      </c>
      <c r="G16" s="56">
        <v>1415596</v>
      </c>
      <c r="H16" s="56">
        <v>1365778</v>
      </c>
      <c r="I16" s="56">
        <v>10502002</v>
      </c>
      <c r="J16" s="56">
        <v>10565590</v>
      </c>
      <c r="K16" s="56">
        <v>1283342</v>
      </c>
      <c r="L16" s="56">
        <v>1754959</v>
      </c>
      <c r="M16" s="56">
        <v>2318893</v>
      </c>
      <c r="N16" s="56">
        <v>2746261</v>
      </c>
      <c r="O16" s="56">
        <v>3109497</v>
      </c>
      <c r="P16" s="56">
        <v>4013486</v>
      </c>
      <c r="Q16" s="56">
        <v>4391656</v>
      </c>
      <c r="R16" s="56">
        <v>3736659</v>
      </c>
      <c r="S16" s="56">
        <v>4383780</v>
      </c>
      <c r="T16" s="56">
        <v>8640671</v>
      </c>
      <c r="U16" s="56">
        <v>9673549</v>
      </c>
      <c r="V16" s="56">
        <v>11002078</v>
      </c>
      <c r="W16" s="56">
        <v>10687239</v>
      </c>
      <c r="X16" s="56">
        <v>10315132</v>
      </c>
      <c r="Y16" s="56">
        <v>9192081</v>
      </c>
      <c r="Z16" s="56">
        <v>10143494</v>
      </c>
      <c r="AA16" s="56">
        <v>11621554</v>
      </c>
      <c r="AB16" s="56">
        <v>12012007</v>
      </c>
      <c r="AC16" s="56">
        <v>17972630</v>
      </c>
      <c r="AD16" s="56">
        <v>7231822</v>
      </c>
      <c r="AE16" s="56">
        <v>15075467</v>
      </c>
      <c r="AF16" s="56">
        <v>33061032</v>
      </c>
      <c r="AG16" s="56">
        <v>33061032</v>
      </c>
      <c r="AH16" s="56">
        <v>33061032</v>
      </c>
    </row>
    <row r="17" spans="2:34" x14ac:dyDescent="0.25">
      <c r="B17" t="str">
        <v>Petrorio ON</v>
      </c>
      <c r="C17" t="str">
        <v xml:space="preserve">PL </v>
      </c>
      <c r="D17" s="59">
        <v>0</v>
      </c>
      <c r="E17" s="59">
        <v>0</v>
      </c>
      <c r="F17" s="56">
        <v>0</v>
      </c>
      <c r="G17" s="56">
        <v>0</v>
      </c>
      <c r="H17" s="56">
        <v>0</v>
      </c>
      <c r="I17" s="56">
        <v>10502002</v>
      </c>
      <c r="J17" s="56">
        <v>10565590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406866</v>
      </c>
      <c r="T17" s="56">
        <v>2660457</v>
      </c>
      <c r="U17" s="56">
        <v>3871719</v>
      </c>
      <c r="V17" s="56">
        <v>3659377</v>
      </c>
      <c r="W17" s="56">
        <v>1454598</v>
      </c>
      <c r="X17" s="56">
        <v>621733</v>
      </c>
      <c r="Y17" s="56">
        <v>914105</v>
      </c>
      <c r="Z17" s="56">
        <v>834152</v>
      </c>
      <c r="AA17" s="56">
        <v>860483</v>
      </c>
      <c r="AB17" s="56">
        <v>1006596</v>
      </c>
      <c r="AC17" s="56">
        <v>2164342</v>
      </c>
      <c r="AD17" s="56">
        <v>3150414</v>
      </c>
      <c r="AE17" s="56">
        <v>6620249</v>
      </c>
      <c r="AF17" s="56">
        <v>9892017</v>
      </c>
      <c r="AG17" s="56">
        <v>9892017</v>
      </c>
      <c r="AH17" s="56">
        <v>9892017</v>
      </c>
    </row>
    <row r="18" spans="2:34" x14ac:dyDescent="0.25">
      <c r="B18" t="str">
        <v>RaiaDrogasil ON</v>
      </c>
      <c r="C18" t="str">
        <v xml:space="preserve">PL </v>
      </c>
      <c r="D18" s="59">
        <v>0</v>
      </c>
      <c r="E18" s="59">
        <v>0</v>
      </c>
      <c r="F18" s="56">
        <v>83298</v>
      </c>
      <c r="G18" s="56">
        <v>82966</v>
      </c>
      <c r="H18" s="56">
        <v>84732</v>
      </c>
      <c r="I18" s="56">
        <v>10502002</v>
      </c>
      <c r="J18" s="56">
        <v>10565590</v>
      </c>
      <c r="K18" s="56">
        <v>87080</v>
      </c>
      <c r="L18" s="56">
        <v>92426</v>
      </c>
      <c r="M18" s="56">
        <v>96867</v>
      </c>
      <c r="N18" s="56">
        <v>101525</v>
      </c>
      <c r="O18" s="56">
        <v>107217</v>
      </c>
      <c r="P18" s="56">
        <v>121478</v>
      </c>
      <c r="Q18" s="56">
        <v>368520</v>
      </c>
      <c r="R18" s="56">
        <v>355313</v>
      </c>
      <c r="S18" s="56">
        <v>411604</v>
      </c>
      <c r="T18" s="56">
        <v>598617</v>
      </c>
      <c r="U18" s="56">
        <v>2201174</v>
      </c>
      <c r="V18" s="56">
        <v>2264659</v>
      </c>
      <c r="W18" s="56">
        <v>2326983</v>
      </c>
      <c r="X18" s="56">
        <v>2456937</v>
      </c>
      <c r="Y18" s="56">
        <v>2633809</v>
      </c>
      <c r="Z18" s="56">
        <v>2909787</v>
      </c>
      <c r="AA18" s="56">
        <v>3222513</v>
      </c>
      <c r="AB18" s="56">
        <v>3499857</v>
      </c>
      <c r="AC18" s="56">
        <v>4025013</v>
      </c>
      <c r="AD18" s="56">
        <v>4363126</v>
      </c>
      <c r="AE18" s="56">
        <v>4677673</v>
      </c>
      <c r="AF18" s="56">
        <v>5340862</v>
      </c>
      <c r="AG18" s="56">
        <v>5340862</v>
      </c>
      <c r="AH18" s="56">
        <v>5340862</v>
      </c>
    </row>
    <row r="19" spans="2:34" x14ac:dyDescent="0.25">
      <c r="B19" t="str">
        <v>Rede D Or ON</v>
      </c>
      <c r="C19" t="str">
        <v xml:space="preserve">PL </v>
      </c>
      <c r="D19" s="59">
        <v>0</v>
      </c>
      <c r="E19" s="59">
        <v>0</v>
      </c>
      <c r="F19" s="56">
        <v>0</v>
      </c>
      <c r="G19" s="56">
        <v>0</v>
      </c>
      <c r="H19" s="56">
        <v>0</v>
      </c>
      <c r="I19" s="56">
        <v>10502002</v>
      </c>
      <c r="J19" s="56">
        <v>10565590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73492</v>
      </c>
      <c r="R19" s="56">
        <v>71065</v>
      </c>
      <c r="S19" s="56">
        <v>88784</v>
      </c>
      <c r="T19" s="56">
        <v>893056</v>
      </c>
      <c r="U19" s="56">
        <v>941594</v>
      </c>
      <c r="V19" s="56">
        <v>898668</v>
      </c>
      <c r="W19" s="56">
        <v>1170486</v>
      </c>
      <c r="X19" s="56">
        <v>1470270</v>
      </c>
      <c r="Y19" s="56">
        <v>3900083</v>
      </c>
      <c r="Z19" s="56">
        <v>4466732</v>
      </c>
      <c r="AA19" s="56">
        <v>4481144</v>
      </c>
      <c r="AB19" s="56">
        <v>4335519</v>
      </c>
      <c r="AC19" s="56">
        <v>5210130</v>
      </c>
      <c r="AD19" s="56">
        <v>13613122</v>
      </c>
      <c r="AE19" s="56">
        <v>13583378</v>
      </c>
      <c r="AF19" s="56">
        <v>21812039</v>
      </c>
      <c r="AG19" s="56">
        <v>21812039</v>
      </c>
      <c r="AH19" s="56">
        <v>21812039</v>
      </c>
    </row>
    <row r="20" spans="2:34" x14ac:dyDescent="0.25">
      <c r="B20" t="str">
        <v>Rumo S.A. ON</v>
      </c>
      <c r="C20" t="str">
        <v xml:space="preserve">PL </v>
      </c>
      <c r="D20" s="59">
        <v>0</v>
      </c>
      <c r="E20" s="59">
        <v>0</v>
      </c>
      <c r="F20" s="56">
        <v>0</v>
      </c>
      <c r="G20" s="56">
        <v>4289</v>
      </c>
      <c r="H20" s="56">
        <v>40691</v>
      </c>
      <c r="I20" s="56">
        <v>10502002</v>
      </c>
      <c r="J20" s="56">
        <v>10565590</v>
      </c>
      <c r="K20" s="56">
        <v>233531</v>
      </c>
      <c r="L20" s="56">
        <v>264287</v>
      </c>
      <c r="M20" s="56">
        <v>331242</v>
      </c>
      <c r="N20" s="56">
        <v>738844</v>
      </c>
      <c r="O20" s="56">
        <v>934778</v>
      </c>
      <c r="P20" s="56">
        <v>2441320</v>
      </c>
      <c r="Q20" s="56">
        <v>2538710</v>
      </c>
      <c r="R20" s="56">
        <v>2495533</v>
      </c>
      <c r="S20" s="56">
        <v>3816229</v>
      </c>
      <c r="T20" s="56">
        <v>3808632</v>
      </c>
      <c r="U20" s="56">
        <v>4020305</v>
      </c>
      <c r="V20" s="56">
        <v>4203748</v>
      </c>
      <c r="W20" s="56">
        <v>4351743</v>
      </c>
      <c r="X20" s="56">
        <v>1885039</v>
      </c>
      <c r="Y20" s="56">
        <v>2039028</v>
      </c>
      <c r="Z20" s="56">
        <v>5404695</v>
      </c>
      <c r="AA20" s="56">
        <v>7751460</v>
      </c>
      <c r="AB20" s="56">
        <v>8028200</v>
      </c>
      <c r="AC20" s="56">
        <v>8344276</v>
      </c>
      <c r="AD20" s="56">
        <v>14983606</v>
      </c>
      <c r="AE20" s="56">
        <v>14795421</v>
      </c>
      <c r="AF20" s="56">
        <v>15191169</v>
      </c>
      <c r="AG20" s="56">
        <v>15191169</v>
      </c>
      <c r="AH20" s="56">
        <v>15191169</v>
      </c>
    </row>
    <row r="21" spans="2:34" x14ac:dyDescent="0.25">
      <c r="B21" t="str">
        <v>Gerdau PN</v>
      </c>
      <c r="C21" t="str">
        <v xml:space="preserve">PL </v>
      </c>
      <c r="D21" s="59">
        <v>0</v>
      </c>
      <c r="E21" s="59">
        <v>0</v>
      </c>
      <c r="F21" s="56">
        <v>1218194</v>
      </c>
      <c r="G21" s="56">
        <v>1662464</v>
      </c>
      <c r="H21" s="56">
        <v>1812259</v>
      </c>
      <c r="I21" s="56">
        <v>10502002</v>
      </c>
      <c r="J21" s="56">
        <v>10565590</v>
      </c>
      <c r="K21" s="56">
        <v>2685759</v>
      </c>
      <c r="L21" s="56">
        <v>3293226</v>
      </c>
      <c r="M21" s="56">
        <v>4128396</v>
      </c>
      <c r="N21" s="56">
        <v>6073856</v>
      </c>
      <c r="O21" s="56">
        <v>8042186</v>
      </c>
      <c r="P21" s="56">
        <v>9964638</v>
      </c>
      <c r="Q21" s="56">
        <v>12712505</v>
      </c>
      <c r="R21" s="56">
        <v>20166502</v>
      </c>
      <c r="S21" s="56">
        <v>18507473</v>
      </c>
      <c r="T21" s="56">
        <v>19470442</v>
      </c>
      <c r="U21" s="56">
        <v>24997469</v>
      </c>
      <c r="V21" s="56">
        <v>27245604</v>
      </c>
      <c r="W21" s="56">
        <v>30339079</v>
      </c>
      <c r="X21" s="56">
        <v>32200819</v>
      </c>
      <c r="Y21" s="56">
        <v>31685801</v>
      </c>
      <c r="Z21" s="56">
        <v>24028136</v>
      </c>
      <c r="AA21" s="56">
        <v>23645201</v>
      </c>
      <c r="AB21" s="56">
        <v>25730604</v>
      </c>
      <c r="AC21" s="56">
        <v>26955701</v>
      </c>
      <c r="AD21" s="56">
        <v>30860271</v>
      </c>
      <c r="AE21" s="56">
        <v>42604282</v>
      </c>
      <c r="AF21" s="56">
        <v>46116194</v>
      </c>
      <c r="AG21" s="56">
        <v>46116194</v>
      </c>
      <c r="AH21" s="56">
        <v>46116194</v>
      </c>
    </row>
    <row r="22" spans="2:34" x14ac:dyDescent="0.25">
      <c r="B22" t="str">
        <v>Ultrapar ON</v>
      </c>
      <c r="C22" t="str">
        <v xml:space="preserve">PL </v>
      </c>
      <c r="D22" s="59">
        <v>0</v>
      </c>
      <c r="E22" s="59">
        <v>0</v>
      </c>
      <c r="F22" s="56">
        <v>0</v>
      </c>
      <c r="G22" s="56">
        <v>787799</v>
      </c>
      <c r="H22" s="56">
        <v>474065</v>
      </c>
      <c r="I22" s="56">
        <v>10502002</v>
      </c>
      <c r="J22" s="56">
        <v>10565590</v>
      </c>
      <c r="K22" s="56">
        <v>799893</v>
      </c>
      <c r="L22" s="56">
        <v>1191084</v>
      </c>
      <c r="M22" s="56">
        <v>1356693</v>
      </c>
      <c r="N22" s="56">
        <v>1600502</v>
      </c>
      <c r="O22" s="56">
        <v>1790165</v>
      </c>
      <c r="P22" s="56">
        <v>1933511</v>
      </c>
      <c r="Q22" s="56">
        <v>4600785</v>
      </c>
      <c r="R22" s="56">
        <v>4650076</v>
      </c>
      <c r="S22" s="56">
        <v>4829274</v>
      </c>
      <c r="T22" s="56">
        <v>5153330</v>
      </c>
      <c r="U22" s="56">
        <v>5551067</v>
      </c>
      <c r="V22" s="56">
        <v>5990241</v>
      </c>
      <c r="W22" s="56">
        <v>6519961</v>
      </c>
      <c r="X22" s="56">
        <v>7697999</v>
      </c>
      <c r="Y22" s="56">
        <v>7945041</v>
      </c>
      <c r="Z22" s="56">
        <v>8527623</v>
      </c>
      <c r="AA22" s="56">
        <v>9381261</v>
      </c>
      <c r="AB22" s="56">
        <v>9448105</v>
      </c>
      <c r="AC22" s="56">
        <v>9458255</v>
      </c>
      <c r="AD22" s="56">
        <v>9533746</v>
      </c>
      <c r="AE22" s="56">
        <v>10066921</v>
      </c>
      <c r="AF22" s="56">
        <v>11708741</v>
      </c>
      <c r="AG22" s="56">
        <v>11708741</v>
      </c>
      <c r="AH22" s="56">
        <v>11708741</v>
      </c>
    </row>
    <row r="23" spans="2:34" x14ac:dyDescent="0.25">
      <c r="B23" t="str">
        <v>JBS ON</v>
      </c>
      <c r="C23" t="str">
        <v xml:space="preserve">PL </v>
      </c>
      <c r="D23" s="59">
        <v>0</v>
      </c>
      <c r="E23" s="59">
        <v>0</v>
      </c>
      <c r="F23" s="56">
        <v>0</v>
      </c>
      <c r="G23" s="56">
        <v>0</v>
      </c>
      <c r="H23" s="56">
        <v>0</v>
      </c>
      <c r="I23" s="56">
        <v>10502002</v>
      </c>
      <c r="J23" s="56">
        <v>10565590</v>
      </c>
      <c r="K23" s="56">
        <v>0</v>
      </c>
      <c r="L23" s="56">
        <v>0</v>
      </c>
      <c r="M23" s="56">
        <v>0</v>
      </c>
      <c r="N23" s="56">
        <v>344781</v>
      </c>
      <c r="O23" s="56">
        <v>395052</v>
      </c>
      <c r="P23" s="56">
        <v>183045</v>
      </c>
      <c r="Q23" s="56">
        <v>3054588</v>
      </c>
      <c r="R23" s="56">
        <v>6134411</v>
      </c>
      <c r="S23" s="56">
        <v>16728086</v>
      </c>
      <c r="T23" s="56">
        <v>17594371</v>
      </c>
      <c r="U23" s="56">
        <v>20663822</v>
      </c>
      <c r="V23" s="56">
        <v>20610547</v>
      </c>
      <c r="W23" s="56">
        <v>21951788</v>
      </c>
      <c r="X23" s="56">
        <v>24104328</v>
      </c>
      <c r="Y23" s="56">
        <v>28029243</v>
      </c>
      <c r="Z23" s="56">
        <v>23771325</v>
      </c>
      <c r="AA23" s="56">
        <v>24287612</v>
      </c>
      <c r="AB23" s="56">
        <v>25646996</v>
      </c>
      <c r="AC23" s="56">
        <v>29636966</v>
      </c>
      <c r="AD23" s="56">
        <v>40119322</v>
      </c>
      <c r="AE23" s="56">
        <v>44119292</v>
      </c>
      <c r="AF23" s="56">
        <v>46344166</v>
      </c>
      <c r="AG23" s="56">
        <v>46344166</v>
      </c>
      <c r="AH23" s="56">
        <v>46344166</v>
      </c>
    </row>
    <row r="24" spans="2:34" x14ac:dyDescent="0.25">
      <c r="B24" t="str">
        <v>Vibra ON</v>
      </c>
      <c r="C24" t="str">
        <v xml:space="preserve">PL </v>
      </c>
      <c r="D24" s="59">
        <v>0</v>
      </c>
      <c r="E24" s="59">
        <v>0</v>
      </c>
      <c r="F24" s="56">
        <v>1218194</v>
      </c>
      <c r="G24" s="56">
        <v>1662464</v>
      </c>
      <c r="H24" s="56">
        <v>1812259</v>
      </c>
      <c r="I24" s="56">
        <v>10502002</v>
      </c>
      <c r="J24" s="56">
        <v>10565590</v>
      </c>
      <c r="K24" s="56">
        <v>2685759</v>
      </c>
      <c r="L24" s="56">
        <v>3293226</v>
      </c>
      <c r="M24" s="56">
        <v>4128396</v>
      </c>
      <c r="N24" s="56">
        <v>6073856</v>
      </c>
      <c r="O24" s="56">
        <v>8042186</v>
      </c>
      <c r="P24" s="56">
        <v>9964638</v>
      </c>
      <c r="Q24" s="56">
        <v>12712505</v>
      </c>
      <c r="R24" s="56">
        <v>20166502</v>
      </c>
      <c r="S24" s="56">
        <v>18507473</v>
      </c>
      <c r="T24" s="56">
        <v>19470442</v>
      </c>
      <c r="U24" s="56">
        <v>24997469</v>
      </c>
      <c r="V24" s="56">
        <v>27245604</v>
      </c>
      <c r="W24" s="56">
        <v>30339079</v>
      </c>
      <c r="X24" s="56">
        <v>32200819</v>
      </c>
      <c r="Y24" s="56">
        <v>31685801</v>
      </c>
      <c r="Z24" s="56">
        <v>24028136</v>
      </c>
      <c r="AA24" s="56">
        <v>23645201</v>
      </c>
      <c r="AB24" s="56">
        <v>25730604</v>
      </c>
      <c r="AC24" s="56">
        <v>26955701</v>
      </c>
      <c r="AD24" s="56">
        <v>30860271</v>
      </c>
      <c r="AE24" s="56">
        <v>42604282</v>
      </c>
      <c r="AF24" s="56">
        <v>46116194</v>
      </c>
      <c r="AG24" s="56">
        <v>46116194</v>
      </c>
      <c r="AH24" s="56">
        <v>46116194</v>
      </c>
    </row>
    <row r="25" spans="2:34" x14ac:dyDescent="0.25">
      <c r="B25" t="str">
        <v>BBSeguridade ON</v>
      </c>
      <c r="C25" t="str">
        <v xml:space="preserve">PL </v>
      </c>
      <c r="D25" s="59">
        <v>0</v>
      </c>
      <c r="E25" s="59">
        <v>0</v>
      </c>
      <c r="F25" s="56">
        <v>0</v>
      </c>
      <c r="G25" s="56">
        <v>0</v>
      </c>
      <c r="H25" s="56">
        <v>0</v>
      </c>
      <c r="I25" s="56">
        <v>10502002</v>
      </c>
      <c r="J25" s="56">
        <v>10565590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3248163</v>
      </c>
      <c r="U25" s="56">
        <v>5015683</v>
      </c>
      <c r="V25" s="56">
        <v>5638374</v>
      </c>
      <c r="W25" s="56">
        <v>6941273</v>
      </c>
      <c r="X25" s="56">
        <v>7923984</v>
      </c>
      <c r="Y25" s="56">
        <v>7580768</v>
      </c>
      <c r="Z25" s="56">
        <v>8289065</v>
      </c>
      <c r="AA25" s="56">
        <v>8898470</v>
      </c>
      <c r="AB25" s="56">
        <v>6830385</v>
      </c>
      <c r="AC25" s="56">
        <v>5248754</v>
      </c>
      <c r="AD25" s="56">
        <v>6389605</v>
      </c>
      <c r="AE25" s="56">
        <v>7281416</v>
      </c>
      <c r="AF25" s="56">
        <v>7596101</v>
      </c>
      <c r="AG25" s="56">
        <v>7596101</v>
      </c>
      <c r="AH25" s="56">
        <v>7596101</v>
      </c>
    </row>
    <row r="26" spans="2:34" x14ac:dyDescent="0.25">
      <c r="C26" s="52" t="s">
        <v>112</v>
      </c>
      <c r="D26" s="54"/>
      <c r="E26" s="54"/>
      <c r="F26" s="57">
        <f>+ AVERAGEIF(F2:F25, "&lt;&gt;",F2:F25)</f>
        <v>5526738.166666667</v>
      </c>
      <c r="G26" s="57">
        <f t="shared" ref="G26:AH26" si="0">+ AVERAGEIF(G2:G25, "&lt;&gt;",G2:G25)</f>
        <v>5793103</v>
      </c>
      <c r="H26" s="57">
        <f t="shared" si="0"/>
        <v>5880635.833333333</v>
      </c>
      <c r="I26" s="57">
        <f t="shared" si="0"/>
        <v>10502002</v>
      </c>
      <c r="J26" s="57">
        <f t="shared" si="0"/>
        <v>10565590</v>
      </c>
      <c r="K26" s="57">
        <f t="shared" si="0"/>
        <v>7376538.958333333</v>
      </c>
      <c r="L26" s="57">
        <f t="shared" si="0"/>
        <v>8263626.333333333</v>
      </c>
      <c r="M26" s="57">
        <f t="shared" si="0"/>
        <v>10191028.666666666</v>
      </c>
      <c r="N26" s="57">
        <f t="shared" si="0"/>
        <v>12583569.416666666</v>
      </c>
      <c r="O26" s="57">
        <f t="shared" si="0"/>
        <v>15178619.958333334</v>
      </c>
      <c r="P26" s="57">
        <f t="shared" si="0"/>
        <v>18608572.833333332</v>
      </c>
      <c r="Q26" s="57">
        <f t="shared" si="0"/>
        <v>22085872.791666668</v>
      </c>
      <c r="R26" s="57">
        <f t="shared" si="0"/>
        <v>28545893.333333332</v>
      </c>
      <c r="S26" s="57">
        <f t="shared" si="0"/>
        <v>31496027.875</v>
      </c>
      <c r="T26" s="57">
        <f t="shared" si="0"/>
        <v>46586719.625</v>
      </c>
      <c r="U26" s="57">
        <f t="shared" si="0"/>
        <v>52231011.625</v>
      </c>
      <c r="V26" s="57">
        <f t="shared" si="0"/>
        <v>55019000.125</v>
      </c>
      <c r="W26" s="57">
        <f t="shared" si="0"/>
        <v>56580295.791666664</v>
      </c>
      <c r="X26" s="57">
        <f t="shared" si="0"/>
        <v>55046320.208333336</v>
      </c>
      <c r="Y26" s="57">
        <f t="shared" si="0"/>
        <v>51032526.041666664</v>
      </c>
      <c r="Z26" s="57">
        <f t="shared" si="0"/>
        <v>51211055.333333336</v>
      </c>
      <c r="AA26" s="57">
        <f t="shared" si="0"/>
        <v>55172472.708333336</v>
      </c>
      <c r="AB26" s="57">
        <f t="shared" si="0"/>
        <v>59565044.333333336</v>
      </c>
      <c r="AC26" s="57">
        <f t="shared" si="0"/>
        <v>63223876.916666664</v>
      </c>
      <c r="AD26" s="57">
        <f t="shared" si="0"/>
        <v>68853305.458333328</v>
      </c>
      <c r="AE26" s="57">
        <f t="shared" si="0"/>
        <v>80023988.291666672</v>
      </c>
      <c r="AF26" s="57">
        <f t="shared" si="0"/>
        <v>83785578.041666672</v>
      </c>
      <c r="AG26" s="57">
        <f t="shared" si="0"/>
        <v>83785578.041666672</v>
      </c>
      <c r="AH26" s="57">
        <f t="shared" si="0"/>
        <v>83785578.041666672</v>
      </c>
    </row>
    <row r="29" spans="2:34" x14ac:dyDescent="0.25">
      <c r="B29" s="52" t="s">
        <v>111</v>
      </c>
      <c r="C29" s="53" t="s">
        <v>14</v>
      </c>
      <c r="D29" s="52"/>
      <c r="E29" s="54"/>
      <c r="F29" s="55">
        <v>1996</v>
      </c>
      <c r="G29" s="55">
        <v>1997</v>
      </c>
      <c r="H29" s="55">
        <v>1998</v>
      </c>
      <c r="I29" s="55">
        <v>1999</v>
      </c>
      <c r="J29" s="55">
        <v>2000</v>
      </c>
      <c r="K29" s="55">
        <v>2001</v>
      </c>
      <c r="L29" s="55">
        <v>2002</v>
      </c>
      <c r="M29" s="55">
        <v>2003</v>
      </c>
      <c r="N29" s="55">
        <v>2004</v>
      </c>
      <c r="O29" s="55">
        <v>2005</v>
      </c>
      <c r="P29" s="55">
        <v>2006</v>
      </c>
      <c r="Q29" s="55">
        <v>2007</v>
      </c>
      <c r="R29" s="55">
        <v>2008</v>
      </c>
      <c r="S29" s="55">
        <v>2009</v>
      </c>
      <c r="T29" s="55">
        <v>2010</v>
      </c>
      <c r="U29" s="55">
        <v>2011</v>
      </c>
      <c r="V29" s="55">
        <v>2012</v>
      </c>
      <c r="W29" s="55">
        <v>2013</v>
      </c>
      <c r="X29" s="55">
        <v>2014</v>
      </c>
      <c r="Y29" s="55">
        <v>2015</v>
      </c>
      <c r="Z29" s="55">
        <v>2016</v>
      </c>
      <c r="AA29" s="55">
        <v>2017</v>
      </c>
      <c r="AB29" s="55">
        <v>2018</v>
      </c>
      <c r="AC29" s="55">
        <v>2019</v>
      </c>
      <c r="AD29" s="55">
        <v>2020</v>
      </c>
      <c r="AE29" s="55">
        <v>2021</v>
      </c>
      <c r="AF29" s="55">
        <v>2022</v>
      </c>
      <c r="AG29" s="55">
        <v>2023</v>
      </c>
      <c r="AH29" s="55">
        <v>2024</v>
      </c>
    </row>
    <row r="30" spans="2:34" x14ac:dyDescent="0.25">
      <c r="B30" t="str" cm="1">
        <f t="array" ref="B30:AH53">_xlfn.VSTACK(VALE3:BBSE3!L23:AR23)</f>
        <v>Vale ON</v>
      </c>
      <c r="C30" t="str">
        <v>PL com inflação (corrigido)</v>
      </c>
      <c r="D30" s="59">
        <v>0</v>
      </c>
      <c r="E30">
        <v>0</v>
      </c>
      <c r="F30" s="56">
        <v>11164498.2136</v>
      </c>
      <c r="G30" s="56">
        <v>11063117.298854733</v>
      </c>
      <c r="H30" s="56">
        <v>11466967.067951879</v>
      </c>
      <c r="I30" s="56">
        <v>13435987.622765688</v>
      </c>
      <c r="J30" s="56">
        <v>14417612.443974344</v>
      </c>
      <c r="K30" s="56">
        <v>17001157.988937814</v>
      </c>
      <c r="L30" s="56">
        <v>20801690.735948507</v>
      </c>
      <c r="M30" s="56">
        <v>25767337.200471651</v>
      </c>
      <c r="N30" s="56">
        <v>31809885.450013619</v>
      </c>
      <c r="O30" s="56">
        <v>40202075.900559746</v>
      </c>
      <c r="P30" s="56">
        <v>56388336.286057897</v>
      </c>
      <c r="Q30" s="56">
        <v>78751025.805800468</v>
      </c>
      <c r="R30" s="56">
        <v>125393088.49208991</v>
      </c>
      <c r="S30" s="56">
        <v>130763477.0293926</v>
      </c>
      <c r="T30" s="56">
        <v>157263170.33212212</v>
      </c>
      <c r="U30" s="56">
        <v>202739030.50673035</v>
      </c>
      <c r="V30" s="56">
        <v>223759763.53843123</v>
      </c>
      <c r="W30" s="56">
        <v>236222014.43883806</v>
      </c>
      <c r="X30" s="56">
        <v>253417180.51529807</v>
      </c>
      <c r="Y30" s="56">
        <v>255294228.649178</v>
      </c>
      <c r="Z30" s="56">
        <v>258175598.21750489</v>
      </c>
      <c r="AA30" s="56">
        <v>275385838.64660734</v>
      </c>
      <c r="AB30" s="56">
        <v>312267308.56272483</v>
      </c>
      <c r="AC30" s="56">
        <v>315557398.8849777</v>
      </c>
      <c r="AD30" s="56">
        <v>345725067.36267036</v>
      </c>
      <c r="AE30" s="56">
        <v>374611076.40087813</v>
      </c>
      <c r="AF30" s="56">
        <v>371909955.84369743</v>
      </c>
      <c r="AG30" s="56">
        <v>371243584.60867274</v>
      </c>
      <c r="AH30" s="56">
        <v>382306589.50040215</v>
      </c>
    </row>
    <row r="31" spans="2:34" x14ac:dyDescent="0.25">
      <c r="B31" t="str">
        <v>Petrobras PN</v>
      </c>
      <c r="C31" t="str">
        <v>PL com inflação (corrigido)</v>
      </c>
      <c r="D31" s="59">
        <v>0</v>
      </c>
      <c r="E31">
        <v>0</v>
      </c>
      <c r="F31" s="56">
        <v>21155433.771600001</v>
      </c>
      <c r="G31" s="56">
        <v>23019303.863323241</v>
      </c>
      <c r="H31" s="56">
        <v>23938592.230522975</v>
      </c>
      <c r="I31" s="56">
        <v>14785401.988301275</v>
      </c>
      <c r="J31" s="56">
        <v>16583938.396129075</v>
      </c>
      <c r="K31" s="56">
        <v>37619941.959270902</v>
      </c>
      <c r="L31" s="56">
        <v>48971623.230174161</v>
      </c>
      <c r="M31" s="56">
        <v>70849502.118588015</v>
      </c>
      <c r="N31" s="56">
        <v>91241074.991851792</v>
      </c>
      <c r="O31" s="56">
        <v>114719722.26432224</v>
      </c>
      <c r="P31" s="56">
        <v>136790005.84354496</v>
      </c>
      <c r="Q31" s="56">
        <v>160267244.48094568</v>
      </c>
      <c r="R31" s="56">
        <v>197522267.02588525</v>
      </c>
      <c r="S31" s="56">
        <v>229686855.07314643</v>
      </c>
      <c r="T31" s="56">
        <v>399118102.76291084</v>
      </c>
      <c r="U31" s="56">
        <v>454883793.34951884</v>
      </c>
      <c r="V31" s="56">
        <v>495265113.23080695</v>
      </c>
      <c r="W31" s="56">
        <v>541458162.72253859</v>
      </c>
      <c r="X31" s="56">
        <v>544934183.7351917</v>
      </c>
      <c r="Y31" s="56">
        <v>530510138.29883176</v>
      </c>
      <c r="Z31" s="56">
        <v>542026791.91459692</v>
      </c>
      <c r="AA31" s="56">
        <v>556619613.71351159</v>
      </c>
      <c r="AB31" s="56">
        <v>596815146.85468054</v>
      </c>
      <c r="AC31" s="56">
        <v>650871530.15818727</v>
      </c>
      <c r="AD31" s="56">
        <v>674376284.13568103</v>
      </c>
      <c r="AE31" s="56">
        <v>802010290.25132108</v>
      </c>
      <c r="AF31" s="56">
        <v>780733103.85715282</v>
      </c>
      <c r="AG31" s="56">
        <v>776771573.04957438</v>
      </c>
      <c r="AH31" s="56">
        <v>784661049.64845634</v>
      </c>
    </row>
    <row r="32" spans="2:34" x14ac:dyDescent="0.25">
      <c r="B32" t="str">
        <v>ItauUnibanco PN</v>
      </c>
      <c r="C32" t="str">
        <v>PL com inflação (corrigido)</v>
      </c>
      <c r="D32" s="59">
        <v>0</v>
      </c>
      <c r="E32">
        <v>0</v>
      </c>
      <c r="F32" s="56">
        <v>4028175.1124</v>
      </c>
      <c r="G32" s="56">
        <v>4455594.5233476339</v>
      </c>
      <c r="H32" s="56">
        <v>4869124.2910580179</v>
      </c>
      <c r="I32" s="56">
        <v>10861855.89529484</v>
      </c>
      <c r="J32" s="56">
        <v>10938006.096159909</v>
      </c>
      <c r="K32" s="56">
        <v>7974448.8984227004</v>
      </c>
      <c r="L32" s="56">
        <v>9548584.0478022899</v>
      </c>
      <c r="M32" s="56">
        <v>12266987.536421958</v>
      </c>
      <c r="N32" s="56">
        <v>14037371.602205751</v>
      </c>
      <c r="O32" s="56">
        <v>15102739.463104235</v>
      </c>
      <c r="P32" s="56">
        <v>22387683.483593293</v>
      </c>
      <c r="Q32" s="56">
        <v>27024163.935939323</v>
      </c>
      <c r="R32" s="56">
        <v>40911334.658998266</v>
      </c>
      <c r="S32" s="56">
        <v>46962032.073547006</v>
      </c>
      <c r="T32" s="56">
        <v>56090870.453017376</v>
      </c>
      <c r="U32" s="56">
        <v>65288935.907494895</v>
      </c>
      <c r="V32" s="56">
        <v>66569660.063861609</v>
      </c>
      <c r="W32" s="56">
        <v>71511995.938866526</v>
      </c>
      <c r="X32" s="56">
        <v>84097238.841117084</v>
      </c>
      <c r="Y32" s="56">
        <v>90651134.179885104</v>
      </c>
      <c r="Z32" s="56">
        <v>95795410.887365252</v>
      </c>
      <c r="AA32" s="56">
        <v>103729695.00813462</v>
      </c>
      <c r="AB32" s="56">
        <v>104859630.45711128</v>
      </c>
      <c r="AC32" s="56">
        <v>100910986.62968031</v>
      </c>
      <c r="AD32" s="56">
        <v>100044763.04479878</v>
      </c>
      <c r="AE32" s="56">
        <v>99717842.708073527</v>
      </c>
      <c r="AF32" s="56">
        <v>110448045.34920993</v>
      </c>
      <c r="AG32" s="56">
        <v>104272542.48684092</v>
      </c>
      <c r="AH32" s="56">
        <v>109758006.62272388</v>
      </c>
    </row>
    <row r="33" spans="2:34" x14ac:dyDescent="0.25">
      <c r="B33" t="str">
        <v>Petrobras ON</v>
      </c>
      <c r="C33" t="str">
        <v>PL com inflação (corrigido)</v>
      </c>
      <c r="D33" s="59">
        <v>0</v>
      </c>
      <c r="E33">
        <v>0</v>
      </c>
      <c r="F33" s="56">
        <v>21155433.771600001</v>
      </c>
      <c r="G33" s="56">
        <v>23019303.863323241</v>
      </c>
      <c r="H33" s="56">
        <v>23938592.230522975</v>
      </c>
      <c r="I33" s="56">
        <v>14785401.988301275</v>
      </c>
      <c r="J33" s="56">
        <v>16583938.396129075</v>
      </c>
      <c r="K33" s="56">
        <v>37619941.959270902</v>
      </c>
      <c r="L33" s="56">
        <v>48971623.230174161</v>
      </c>
      <c r="M33" s="56">
        <v>70849502.118588015</v>
      </c>
      <c r="N33" s="56">
        <v>91241074.991851792</v>
      </c>
      <c r="O33" s="56">
        <v>114719722.26432224</v>
      </c>
      <c r="P33" s="56">
        <v>136790005.84354496</v>
      </c>
      <c r="Q33" s="56">
        <v>160267244.48094568</v>
      </c>
      <c r="R33" s="56">
        <v>197522267.02588525</v>
      </c>
      <c r="S33" s="56">
        <v>229686855.07314643</v>
      </c>
      <c r="T33" s="56">
        <v>399118102.76291084</v>
      </c>
      <c r="U33" s="56">
        <v>454883793.34951884</v>
      </c>
      <c r="V33" s="56">
        <v>495265113.23080695</v>
      </c>
      <c r="W33" s="56">
        <v>541458162.72253859</v>
      </c>
      <c r="X33" s="56">
        <v>544934183.7351917</v>
      </c>
      <c r="Y33" s="56">
        <v>530510138.29883176</v>
      </c>
      <c r="Z33" s="56">
        <v>542026791.91433847</v>
      </c>
      <c r="AA33" s="56">
        <v>556619613.71312761</v>
      </c>
      <c r="AB33" s="56">
        <v>596815146.85428429</v>
      </c>
      <c r="AC33" s="56">
        <v>650871530.15777445</v>
      </c>
      <c r="AD33" s="56">
        <v>674376284.13525045</v>
      </c>
      <c r="AE33" s="56">
        <v>802010290.25082541</v>
      </c>
      <c r="AF33" s="56">
        <v>780733103.85662603</v>
      </c>
      <c r="AG33" s="56">
        <v>776771573.09492993</v>
      </c>
      <c r="AH33" s="56">
        <v>784661049.74425232</v>
      </c>
    </row>
    <row r="34" spans="2:34" x14ac:dyDescent="0.25">
      <c r="B34" t="str">
        <v>Eletrobras ON</v>
      </c>
      <c r="C34" t="str">
        <v>PL com inflação (corrigido)</v>
      </c>
      <c r="D34" s="59">
        <v>0</v>
      </c>
      <c r="E34">
        <v>0</v>
      </c>
      <c r="F34" s="56">
        <v>64925360.2698</v>
      </c>
      <c r="G34" s="56">
        <v>69928029.178563952</v>
      </c>
      <c r="H34" s="56">
        <v>68211560.226642266</v>
      </c>
      <c r="I34" s="56">
        <v>24447570.906336632</v>
      </c>
      <c r="J34" s="56">
        <v>27298921.73987636</v>
      </c>
      <c r="K34" s="56">
        <v>85260527.431273296</v>
      </c>
      <c r="L34" s="56">
        <v>97665125.210423827</v>
      </c>
      <c r="M34" s="56">
        <v>104546857.60516849</v>
      </c>
      <c r="N34" s="56">
        <v>108011201.67896372</v>
      </c>
      <c r="O34" s="56">
        <v>110264474.72424722</v>
      </c>
      <c r="P34" s="56">
        <v>102526895.18257479</v>
      </c>
      <c r="Q34" s="56">
        <v>95391540.802712604</v>
      </c>
      <c r="R34" s="56">
        <v>92114744.929440111</v>
      </c>
      <c r="S34" s="56">
        <v>68521262.309243515</v>
      </c>
      <c r="T34" s="56">
        <v>47675566.657746933</v>
      </c>
      <c r="U34" s="56">
        <v>35805199.658148415</v>
      </c>
      <c r="V34" s="56">
        <v>2637032.7820352986</v>
      </c>
      <c r="W34" s="56">
        <v>-32052777.505538657</v>
      </c>
      <c r="X34" s="56">
        <v>-67786336.864943475</v>
      </c>
      <c r="Y34" s="56">
        <v>-123780932.31121816</v>
      </c>
      <c r="Z34" s="56">
        <v>-171847825.9335683</v>
      </c>
      <c r="AA34" s="56">
        <v>-228107434.91177505</v>
      </c>
      <c r="AB34" s="56">
        <v>-272987897.88699865</v>
      </c>
      <c r="AC34" s="56">
        <v>-320779696.2392996</v>
      </c>
      <c r="AD34" s="56">
        <v>-389761529.14623827</v>
      </c>
      <c r="AE34" s="56">
        <v>-484429890.2976684</v>
      </c>
      <c r="AF34" s="56">
        <v>-547066959.36116207</v>
      </c>
      <c r="AG34" s="56">
        <v>-650563220.10697269</v>
      </c>
      <c r="AH34" s="56">
        <v>-757885498.7724098</v>
      </c>
    </row>
    <row r="35" spans="2:34" x14ac:dyDescent="0.25">
      <c r="B35" t="str">
        <v>Bradesco PN</v>
      </c>
      <c r="C35" t="str">
        <v>PL com inflação (corrigido)</v>
      </c>
      <c r="D35" s="59">
        <v>0</v>
      </c>
      <c r="E35">
        <v>0</v>
      </c>
      <c r="F35" s="56">
        <v>5606620.727</v>
      </c>
      <c r="G35" s="56">
        <v>5780322.8698555557</v>
      </c>
      <c r="H35" s="56">
        <v>6509130.4983269563</v>
      </c>
      <c r="I35" s="56">
        <v>10807433.213547351</v>
      </c>
      <c r="J35" s="56">
        <v>10912936.31956525</v>
      </c>
      <c r="K35" s="56">
        <v>10205270.730812788</v>
      </c>
      <c r="L35" s="56">
        <v>11530327.191373758</v>
      </c>
      <c r="M35" s="56">
        <v>14301051.947124917</v>
      </c>
      <c r="N35" s="56">
        <v>15882431.853072027</v>
      </c>
      <c r="O35" s="56">
        <v>19814399.530437816</v>
      </c>
      <c r="P35" s="56">
        <v>24593455.913445547</v>
      </c>
      <c r="Q35" s="56">
        <v>29860298.181111839</v>
      </c>
      <c r="R35" s="56">
        <v>33301896.835504577</v>
      </c>
      <c r="S35" s="56">
        <v>40185665.367453992</v>
      </c>
      <c r="T35" s="56">
        <v>45827873.561763577</v>
      </c>
      <c r="U35" s="56">
        <v>52614550.657401554</v>
      </c>
      <c r="V35" s="56">
        <v>66093484.193271816</v>
      </c>
      <c r="W35" s="56">
        <v>65838816.087272853</v>
      </c>
      <c r="X35" s="56">
        <v>75039149.644321874</v>
      </c>
      <c r="Y35" s="56">
        <v>79976777.144914716</v>
      </c>
      <c r="Z35" s="56">
        <v>88995362.770472199</v>
      </c>
      <c r="AA35" s="56">
        <v>96704309.113529131</v>
      </c>
      <c r="AB35" s="56">
        <v>104985470.20965448</v>
      </c>
      <c r="AC35" s="56">
        <v>114930895.26829274</v>
      </c>
      <c r="AD35" s="56">
        <v>121213166.41845554</v>
      </c>
      <c r="AE35" s="56">
        <v>119259549.55208103</v>
      </c>
      <c r="AF35" s="56">
        <v>122628082.29851457</v>
      </c>
      <c r="AG35" s="56">
        <v>118399763.36326922</v>
      </c>
      <c r="AH35" s="56">
        <v>123187175.83875206</v>
      </c>
    </row>
    <row r="36" spans="2:34" x14ac:dyDescent="0.25">
      <c r="B36" t="str">
        <v>B3 ON</v>
      </c>
      <c r="C36" t="str">
        <v>PL com inflação (corrigido)</v>
      </c>
      <c r="D36" s="59">
        <v>0</v>
      </c>
      <c r="E36">
        <v>0</v>
      </c>
      <c r="F36" s="56">
        <v>0</v>
      </c>
      <c r="G36" s="56">
        <v>0</v>
      </c>
      <c r="H36" s="56">
        <v>0</v>
      </c>
      <c r="I36" s="56">
        <v>10502002</v>
      </c>
      <c r="J36" s="56">
        <v>10565590</v>
      </c>
      <c r="K36" s="56">
        <v>0</v>
      </c>
      <c r="L36" s="56">
        <v>0</v>
      </c>
      <c r="M36" s="56">
        <v>0</v>
      </c>
      <c r="N36" s="56">
        <v>823993.82400000002</v>
      </c>
      <c r="O36" s="56">
        <v>869679.23415314208</v>
      </c>
      <c r="P36" s="56">
        <v>1077441.3353410021</v>
      </c>
      <c r="Q36" s="56">
        <v>1371413.0334465131</v>
      </c>
      <c r="R36" s="56">
        <v>19316634.478388287</v>
      </c>
      <c r="S36" s="56">
        <v>19744636.274359796</v>
      </c>
      <c r="T36" s="56">
        <v>19935057.117213055</v>
      </c>
      <c r="U36" s="56">
        <v>20863434.242585558</v>
      </c>
      <c r="V36" s="56">
        <v>21181357.946983907</v>
      </c>
      <c r="W36" s="56">
        <v>22059752.007035688</v>
      </c>
      <c r="X36" s="56">
        <v>21970681.090872858</v>
      </c>
      <c r="Y36" s="56">
        <v>21668770.760296065</v>
      </c>
      <c r="Z36" s="56">
        <v>22240201.440578286</v>
      </c>
      <c r="AA36" s="56">
        <v>27356733.642311327</v>
      </c>
      <c r="AB36" s="56">
        <v>28789124.583621297</v>
      </c>
      <c r="AC36" s="56">
        <v>28765813.486091044</v>
      </c>
      <c r="AD36" s="56">
        <v>27396391.003181931</v>
      </c>
      <c r="AE36" s="56">
        <v>25201966.991414748</v>
      </c>
      <c r="AF36" s="56">
        <v>21927083.058108021</v>
      </c>
      <c r="AG36" s="56">
        <v>20706398.533279479</v>
      </c>
      <c r="AH36" s="56">
        <v>22161067.317993775</v>
      </c>
    </row>
    <row r="37" spans="2:34" x14ac:dyDescent="0.25">
      <c r="B37" t="str">
        <v>Brasil ON</v>
      </c>
      <c r="C37" t="str">
        <v>PL com inflação (corrigido)</v>
      </c>
      <c r="D37" s="59">
        <v>0</v>
      </c>
      <c r="E37">
        <v>0</v>
      </c>
      <c r="F37" s="56">
        <v>5797984.352</v>
      </c>
      <c r="G37" s="56">
        <v>6294194.5132209929</v>
      </c>
      <c r="H37" s="56">
        <v>6898381.608328972</v>
      </c>
      <c r="I37" s="56">
        <v>10956586.350630661</v>
      </c>
      <c r="J37" s="56">
        <v>11097609.922541978</v>
      </c>
      <c r="K37" s="56">
        <v>9404572.1131963339</v>
      </c>
      <c r="L37" s="56">
        <v>10164682.747267064</v>
      </c>
      <c r="M37" s="56">
        <v>13245361.330779456</v>
      </c>
      <c r="N37" s="56">
        <v>15118349.781567378</v>
      </c>
      <c r="O37" s="56">
        <v>17592857.396894667</v>
      </c>
      <c r="P37" s="56">
        <v>20953252.7869284</v>
      </c>
      <c r="Q37" s="56">
        <v>23932061.519903734</v>
      </c>
      <c r="R37" s="56">
        <v>29034777.448639557</v>
      </c>
      <c r="S37" s="56">
        <v>34393119.811877385</v>
      </c>
      <c r="T37" s="56">
        <v>47877864.862759784</v>
      </c>
      <c r="U37" s="56">
        <v>54445010.752489559</v>
      </c>
      <c r="V37" s="56">
        <v>60724462.429896034</v>
      </c>
      <c r="W37" s="56">
        <v>63335935.480692931</v>
      </c>
      <c r="X37" s="56">
        <v>69611519.130536854</v>
      </c>
      <c r="Y37" s="56">
        <v>67255719.891893193</v>
      </c>
      <c r="Z37" s="56">
        <v>72681320.330187142</v>
      </c>
      <c r="AA37" s="56">
        <v>81163060.463706776</v>
      </c>
      <c r="AB37" s="56">
        <v>81521987.536135092</v>
      </c>
      <c r="AC37" s="56">
        <v>82384655.624101833</v>
      </c>
      <c r="AD37" s="56">
        <v>95849233.97641176</v>
      </c>
      <c r="AE37" s="56">
        <v>107026100.42744005</v>
      </c>
      <c r="AF37" s="56">
        <v>119884372.40133564</v>
      </c>
      <c r="AG37" s="56">
        <v>114020818.40532592</v>
      </c>
      <c r="AH37" s="56">
        <v>111865192.29461019</v>
      </c>
    </row>
    <row r="38" spans="2:34" x14ac:dyDescent="0.25">
      <c r="B38" t="str">
        <v>Ambev S/A ON</v>
      </c>
      <c r="C38" t="str">
        <v>PL com inflação (corrigido)</v>
      </c>
      <c r="D38" s="59">
        <v>0</v>
      </c>
      <c r="E38">
        <v>0</v>
      </c>
      <c r="F38" s="56">
        <v>1419786.5461999997</v>
      </c>
      <c r="G38" s="56">
        <v>1595979.7311449852</v>
      </c>
      <c r="H38" s="56">
        <v>1670318.5464842473</v>
      </c>
      <c r="I38" s="56">
        <v>10990001.56113616</v>
      </c>
      <c r="J38" s="56">
        <v>11207206.462159002</v>
      </c>
      <c r="K38" s="56">
        <v>4198963.6331770718</v>
      </c>
      <c r="L38" s="56">
        <v>5375578.0629574209</v>
      </c>
      <c r="M38" s="56">
        <v>5798757.3619725695</v>
      </c>
      <c r="N38" s="56">
        <v>18638350.870992523</v>
      </c>
      <c r="O38" s="56">
        <v>21447480.115029477</v>
      </c>
      <c r="P38" s="56">
        <v>20445564.042996671</v>
      </c>
      <c r="Q38" s="56">
        <v>18251734.561606254</v>
      </c>
      <c r="R38" s="56">
        <v>17829031.922121532</v>
      </c>
      <c r="S38" s="56">
        <v>22001852.29927884</v>
      </c>
      <c r="T38" s="56">
        <v>24385635.77956922</v>
      </c>
      <c r="U38" s="56">
        <v>26286238.354862005</v>
      </c>
      <c r="V38" s="56">
        <v>28629992.182652906</v>
      </c>
      <c r="W38" s="56">
        <v>43135341.474426009</v>
      </c>
      <c r="X38" s="56">
        <v>41142522.59564922</v>
      </c>
      <c r="Y38" s="56">
        <v>44848617.803758033</v>
      </c>
      <c r="Z38" s="56">
        <v>37631932.848721951</v>
      </c>
      <c r="AA38" s="56">
        <v>34823270.872613922</v>
      </c>
      <c r="AB38" s="56">
        <v>42919024.587558471</v>
      </c>
      <c r="AC38" s="56">
        <v>43722305.32968957</v>
      </c>
      <c r="AD38" s="56">
        <v>50380456.735852346</v>
      </c>
      <c r="AE38" s="56">
        <v>51988126.458642364</v>
      </c>
      <c r="AF38" s="56">
        <v>43347909.744570091</v>
      </c>
      <c r="AG38" s="56">
        <v>34704746.689274125</v>
      </c>
      <c r="AH38" s="56">
        <v>42181036.730889268</v>
      </c>
    </row>
    <row r="39" spans="2:34" x14ac:dyDescent="0.25">
      <c r="B39" t="str">
        <v>Localiza ON</v>
      </c>
      <c r="C39" t="str">
        <v>PL com inflação (corrigido)</v>
      </c>
      <c r="D39" s="59">
        <v>0</v>
      </c>
      <c r="E39">
        <v>0</v>
      </c>
      <c r="F39" s="56">
        <v>0</v>
      </c>
      <c r="G39" s="56">
        <v>0</v>
      </c>
      <c r="H39" s="56">
        <v>0</v>
      </c>
      <c r="I39" s="56">
        <v>10502002</v>
      </c>
      <c r="J39" s="56">
        <v>10565826.4717</v>
      </c>
      <c r="K39" s="56">
        <v>192216.95312687982</v>
      </c>
      <c r="L39" s="56">
        <v>197660.8109136858</v>
      </c>
      <c r="M39" s="56">
        <v>199561.55135082031</v>
      </c>
      <c r="N39" s="56">
        <v>283173.11499121471</v>
      </c>
      <c r="O39" s="56">
        <v>403518.9657342062</v>
      </c>
      <c r="P39" s="56">
        <v>469797.54278622277</v>
      </c>
      <c r="Q39" s="56">
        <v>634732.90157392109</v>
      </c>
      <c r="R39" s="56">
        <v>785262.41812379181</v>
      </c>
      <c r="S39" s="56">
        <v>933796.47765897785</v>
      </c>
      <c r="T39" s="56">
        <v>1364460.1492298758</v>
      </c>
      <c r="U39" s="56">
        <v>1781396.6039557187</v>
      </c>
      <c r="V39" s="56">
        <v>2151432.1911804336</v>
      </c>
      <c r="W39" s="56">
        <v>2361391.3205391061</v>
      </c>
      <c r="X39" s="56">
        <v>2903699.1433184417</v>
      </c>
      <c r="Y39" s="56">
        <v>3353129.467816629</v>
      </c>
      <c r="Z39" s="56">
        <v>3670978.1337121171</v>
      </c>
      <c r="AA39" s="56">
        <v>4043641.6649435316</v>
      </c>
      <c r="AB39" s="56">
        <v>4809992.4435616331</v>
      </c>
      <c r="AC39" s="56">
        <v>7535171.6994004874</v>
      </c>
      <c r="AD39" s="56">
        <v>8074497.2673974046</v>
      </c>
      <c r="AE39" s="56">
        <v>9960906.5795048214</v>
      </c>
      <c r="AF39" s="56">
        <v>23664529.732427236</v>
      </c>
      <c r="AG39" s="56">
        <v>24192638.91793482</v>
      </c>
      <c r="AH39" s="56">
        <v>25511591.088412657</v>
      </c>
    </row>
    <row r="40" spans="2:34" x14ac:dyDescent="0.25">
      <c r="B40" t="str">
        <v>Itausa PN</v>
      </c>
      <c r="C40" t="str">
        <v>PL com inflação (corrigido)</v>
      </c>
      <c r="D40" s="59">
        <v>0</v>
      </c>
      <c r="E40">
        <v>0</v>
      </c>
      <c r="F40" s="56">
        <v>2722904.1314000003</v>
      </c>
      <c r="G40" s="56">
        <v>3194760.636927268</v>
      </c>
      <c r="H40" s="56">
        <v>3393195.9059319417</v>
      </c>
      <c r="I40" s="56">
        <v>11165477.869919701</v>
      </c>
      <c r="J40" s="56">
        <v>11344521.128601648</v>
      </c>
      <c r="K40" s="56">
        <v>6016007.1052555032</v>
      </c>
      <c r="L40" s="56">
        <v>7779137.8873558724</v>
      </c>
      <c r="M40" s="56">
        <v>9221133.7703774832</v>
      </c>
      <c r="N40" s="56">
        <v>10463836.309118571</v>
      </c>
      <c r="O40" s="56">
        <v>11104806.760915397</v>
      </c>
      <c r="P40" s="56">
        <v>13677792.476409197</v>
      </c>
      <c r="Q40" s="56">
        <v>16023358.938739263</v>
      </c>
      <c r="R40" s="56">
        <v>16527514.83926796</v>
      </c>
      <c r="S40" s="56">
        <v>19128471.591340162</v>
      </c>
      <c r="T40" s="56">
        <v>25107720.806637689</v>
      </c>
      <c r="U40" s="56">
        <v>27500728.29970238</v>
      </c>
      <c r="V40" s="56">
        <v>27136401.7917712</v>
      </c>
      <c r="W40" s="56">
        <v>28997733.113323811</v>
      </c>
      <c r="X40" s="56">
        <v>33616632.633013196</v>
      </c>
      <c r="Y40" s="56">
        <v>36993651.530459046</v>
      </c>
      <c r="Z40" s="56">
        <v>37001444.050097987</v>
      </c>
      <c r="AA40" s="56">
        <v>39563355.516203538</v>
      </c>
      <c r="AB40" s="56">
        <v>38277428.914159149</v>
      </c>
      <c r="AC40" s="56">
        <v>37041690.914538518</v>
      </c>
      <c r="AD40" s="56">
        <v>37013652.179099239</v>
      </c>
      <c r="AE40" s="56">
        <v>39826919.486779258</v>
      </c>
      <c r="AF40" s="56">
        <v>41107857.719472304</v>
      </c>
      <c r="AG40" s="56">
        <v>34773535.741359293</v>
      </c>
      <c r="AH40" s="56">
        <v>32022085.944997977</v>
      </c>
    </row>
    <row r="41" spans="2:34" x14ac:dyDescent="0.25">
      <c r="B41" t="str">
        <v>Weg ON</v>
      </c>
      <c r="C41" t="str">
        <v>PL com inflação (corrigido)</v>
      </c>
      <c r="D41" s="59">
        <v>0</v>
      </c>
      <c r="E41">
        <v>0</v>
      </c>
      <c r="F41" s="56">
        <v>277794.59337319998</v>
      </c>
      <c r="G41" s="56">
        <v>318763.31343621708</v>
      </c>
      <c r="H41" s="56">
        <v>378984.47403451026</v>
      </c>
      <c r="I41" s="56">
        <v>10547339.913585482</v>
      </c>
      <c r="J41" s="56">
        <v>10623970.551258171</v>
      </c>
      <c r="K41" s="56">
        <v>652157.10905585834</v>
      </c>
      <c r="L41" s="56">
        <v>816345.57056056289</v>
      </c>
      <c r="M41" s="56">
        <v>1023593.7530113967</v>
      </c>
      <c r="N41" s="56">
        <v>1363579.7856938825</v>
      </c>
      <c r="O41" s="56">
        <v>1604234.9580948292</v>
      </c>
      <c r="P41" s="56">
        <v>1791774.1726407949</v>
      </c>
      <c r="Q41" s="56">
        <v>2092127.1965504335</v>
      </c>
      <c r="R41" s="56">
        <v>2495887.6318927999</v>
      </c>
      <c r="S41" s="56">
        <v>2716222.9287422919</v>
      </c>
      <c r="T41" s="56">
        <v>3916078.3137444193</v>
      </c>
      <c r="U41" s="56">
        <v>4443697.504069712</v>
      </c>
      <c r="V41" s="56">
        <v>4854222.3051703684</v>
      </c>
      <c r="W41" s="56">
        <v>5539392.9947471879</v>
      </c>
      <c r="X41" s="56">
        <v>6227971.6165140625</v>
      </c>
      <c r="Y41" s="56">
        <v>7315758.6268763067</v>
      </c>
      <c r="Z41" s="56">
        <v>7226604.8013118999</v>
      </c>
      <c r="AA41" s="56">
        <v>7896552.91620168</v>
      </c>
      <c r="AB41" s="56">
        <v>8958693.3605633769</v>
      </c>
      <c r="AC41" s="56">
        <v>10013932.905265655</v>
      </c>
      <c r="AD41" s="56">
        <v>12756530.069801658</v>
      </c>
      <c r="AE41" s="56">
        <v>14829268.290649576</v>
      </c>
      <c r="AF41" s="56">
        <v>16021626.295822732</v>
      </c>
      <c r="AG41" s="56">
        <v>15899876.400690043</v>
      </c>
      <c r="AH41" s="56">
        <v>17632406.196067259</v>
      </c>
    </row>
    <row r="42" spans="2:34" x14ac:dyDescent="0.25">
      <c r="B42" t="str">
        <v>Btgp Banco UNT</v>
      </c>
      <c r="C42" t="str">
        <v>PL com inflação (corrigido)</v>
      </c>
      <c r="D42" s="59">
        <v>0</v>
      </c>
      <c r="E42">
        <v>0</v>
      </c>
      <c r="F42" s="56">
        <v>0</v>
      </c>
      <c r="G42" s="56">
        <v>0</v>
      </c>
      <c r="H42" s="56">
        <v>0</v>
      </c>
      <c r="I42" s="56">
        <v>10502002</v>
      </c>
      <c r="J42" s="56">
        <v>10565590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1200481</v>
      </c>
      <c r="Q42" s="56">
        <v>3830280.7039000001</v>
      </c>
      <c r="R42" s="56">
        <v>3868283.0438618697</v>
      </c>
      <c r="S42" s="56">
        <v>3249096.6657536654</v>
      </c>
      <c r="T42" s="56">
        <v>5543571.6806600615</v>
      </c>
      <c r="U42" s="56">
        <v>6348108.401025828</v>
      </c>
      <c r="V42" s="56">
        <v>10111577.973687338</v>
      </c>
      <c r="W42" s="56">
        <v>12145030.563510522</v>
      </c>
      <c r="X42" s="56">
        <v>14758935.14543795</v>
      </c>
      <c r="Y42" s="56">
        <v>19732455.609841712</v>
      </c>
      <c r="Z42" s="56">
        <v>17702353.515366532</v>
      </c>
      <c r="AA42" s="56">
        <v>18581955.162779946</v>
      </c>
      <c r="AB42" s="56">
        <v>18904281.295027919</v>
      </c>
      <c r="AC42" s="56">
        <v>21452473.989350431</v>
      </c>
      <c r="AD42" s="56">
        <v>26683421.205435213</v>
      </c>
      <c r="AE42" s="56">
        <v>37241134.295726188</v>
      </c>
      <c r="AF42" s="56">
        <v>42515939.198782817</v>
      </c>
      <c r="AG42" s="56">
        <v>42760003.725892082</v>
      </c>
      <c r="AH42" s="56">
        <v>43759706.640712388</v>
      </c>
    </row>
    <row r="43" spans="2:34" x14ac:dyDescent="0.25">
      <c r="B43" t="str">
        <v>Equatorial ON</v>
      </c>
      <c r="C43" t="str">
        <v>PL com inflação (corrigido)</v>
      </c>
      <c r="D43" s="59">
        <v>0</v>
      </c>
      <c r="E43">
        <v>0</v>
      </c>
      <c r="F43" s="56">
        <v>0</v>
      </c>
      <c r="G43" s="56">
        <v>0</v>
      </c>
      <c r="H43" s="56">
        <v>0</v>
      </c>
      <c r="I43" s="56">
        <v>10502002</v>
      </c>
      <c r="J43" s="56">
        <v>10565590</v>
      </c>
      <c r="K43" s="56">
        <v>0</v>
      </c>
      <c r="L43" s="56">
        <v>0</v>
      </c>
      <c r="M43" s="56">
        <v>138431.481</v>
      </c>
      <c r="N43" s="56">
        <v>403179.55593399558</v>
      </c>
      <c r="O43" s="56">
        <v>628293.89977966191</v>
      </c>
      <c r="P43" s="56">
        <v>845310.06775316305</v>
      </c>
      <c r="Q43" s="56">
        <v>885757.28954754223</v>
      </c>
      <c r="R43" s="56">
        <v>1355929.0692014794</v>
      </c>
      <c r="S43" s="56">
        <v>1538682.3116785572</v>
      </c>
      <c r="T43" s="56">
        <v>1768703.8656365895</v>
      </c>
      <c r="U43" s="56">
        <v>1904797.328051812</v>
      </c>
      <c r="V43" s="56">
        <v>3279042.4742891458</v>
      </c>
      <c r="W43" s="56">
        <v>3385840.1243406907</v>
      </c>
      <c r="X43" s="56">
        <v>3934316.6209222693</v>
      </c>
      <c r="Y43" s="56">
        <v>4709907.4066161709</v>
      </c>
      <c r="Z43" s="56">
        <v>5314896.8557240749</v>
      </c>
      <c r="AA43" s="56">
        <v>6047196.8805161584</v>
      </c>
      <c r="AB43" s="56">
        <v>7038624.048509853</v>
      </c>
      <c r="AC43" s="56">
        <v>9623475.5998716969</v>
      </c>
      <c r="AD43" s="56">
        <v>11968564.744087417</v>
      </c>
      <c r="AE43" s="56">
        <v>14755502.810363078</v>
      </c>
      <c r="AF43" s="56">
        <v>19181740.627393026</v>
      </c>
      <c r="AG43" s="56">
        <v>19593445.166635346</v>
      </c>
      <c r="AH43" s="56">
        <v>20386371.476034727</v>
      </c>
    </row>
    <row r="44" spans="2:34" x14ac:dyDescent="0.25">
      <c r="B44" t="str">
        <v>Suzano S.A. ON</v>
      </c>
      <c r="C44" t="str">
        <v>PL com inflação (corrigido)</v>
      </c>
      <c r="D44" s="59">
        <v>0</v>
      </c>
      <c r="E44">
        <v>0</v>
      </c>
      <c r="F44" s="56">
        <v>1722813.6396000001</v>
      </c>
      <c r="G44" s="56">
        <v>1859019.7474582396</v>
      </c>
      <c r="H44" s="56">
        <v>1839302.6079985029</v>
      </c>
      <c r="I44" s="56">
        <v>11233738.524676148</v>
      </c>
      <c r="J44" s="56">
        <v>11460064.570140552</v>
      </c>
      <c r="K44" s="56">
        <v>2430190.0517533487</v>
      </c>
      <c r="L44" s="56">
        <v>3444424.8426719499</v>
      </c>
      <c r="M44" s="56">
        <v>4480007.360297286</v>
      </c>
      <c r="N44" s="56">
        <v>5340286.6457115449</v>
      </c>
      <c r="O44" s="56">
        <v>6043120.1474438794</v>
      </c>
      <c r="P44" s="56">
        <v>7062007.1417626683</v>
      </c>
      <c r="Q44" s="56">
        <v>7792108.2921501528</v>
      </c>
      <c r="R44" s="56">
        <v>7707378.4974721801</v>
      </c>
      <c r="S44" s="56">
        <v>8721445.1259926353</v>
      </c>
      <c r="T44" s="56">
        <v>13717749.403227545</v>
      </c>
      <c r="U44" s="56">
        <v>15838899.744498167</v>
      </c>
      <c r="V44" s="56">
        <v>18145115.441633232</v>
      </c>
      <c r="W44" s="56">
        <v>19106153.225280039</v>
      </c>
      <c r="X44" s="56">
        <v>20175936.561518002</v>
      </c>
      <c r="Y44" s="56">
        <v>20396662.6649382</v>
      </c>
      <c r="Z44" s="56">
        <v>21866225.979936246</v>
      </c>
      <c r="AA44" s="56">
        <v>23120615.335337721</v>
      </c>
      <c r="AB44" s="56">
        <v>24033391.773411088</v>
      </c>
      <c r="AC44" s="56">
        <v>31665203.137165934</v>
      </c>
      <c r="AD44" s="56">
        <v>20906756.431681808</v>
      </c>
      <c r="AE44" s="56">
        <v>30236183.920717344</v>
      </c>
      <c r="AF44" s="56">
        <v>48725547.077932604</v>
      </c>
      <c r="AG44" s="56">
        <v>48751636.683964185</v>
      </c>
      <c r="AH44" s="56">
        <v>50089668.544208132</v>
      </c>
    </row>
    <row r="45" spans="2:34" x14ac:dyDescent="0.25">
      <c r="B45" t="str">
        <v>Petrorio ON</v>
      </c>
      <c r="C45" t="str">
        <v>PL com inflação (corrigido)</v>
      </c>
      <c r="D45" s="59">
        <v>0</v>
      </c>
      <c r="E45">
        <v>0</v>
      </c>
      <c r="F45" s="56">
        <v>0</v>
      </c>
      <c r="G45" s="56">
        <v>0</v>
      </c>
      <c r="H45" s="56">
        <v>0</v>
      </c>
      <c r="I45" s="56">
        <v>10502002</v>
      </c>
      <c r="J45" s="56">
        <v>10565590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56">
        <v>0</v>
      </c>
      <c r="S45" s="56">
        <v>406962.65175000002</v>
      </c>
      <c r="T45" s="56">
        <v>2666961.7103984212</v>
      </c>
      <c r="U45" s="56">
        <v>3967606.3771472271</v>
      </c>
      <c r="V45" s="56">
        <v>3785394.5044095796</v>
      </c>
      <c r="W45" s="56">
        <v>1719445.868292897</v>
      </c>
      <c r="X45" s="56">
        <v>914400.58239542565</v>
      </c>
      <c r="Y45" s="56">
        <v>1262579.4651178438</v>
      </c>
      <c r="Z45" s="56">
        <v>1219534.8514473811</v>
      </c>
      <c r="AA45" s="56">
        <v>1272934.5699793259</v>
      </c>
      <c r="AB45" s="56">
        <v>1457130.6946513103</v>
      </c>
      <c r="AC45" s="56">
        <v>2719412.916870757</v>
      </c>
      <c r="AD45" s="56">
        <v>3766706.4058322171</v>
      </c>
      <c r="AE45" s="56">
        <v>7393336.2486746097</v>
      </c>
      <c r="AF45" s="56">
        <v>10831297.105826264</v>
      </c>
      <c r="AG45" s="56">
        <v>10974441.713299178</v>
      </c>
      <c r="AH45" s="56">
        <v>11159457.563166058</v>
      </c>
    </row>
    <row r="46" spans="2:34" x14ac:dyDescent="0.25">
      <c r="B46" t="str">
        <v>RaiaDrogasil ON</v>
      </c>
      <c r="C46" t="str">
        <v>PL com inflação (corrigido)</v>
      </c>
      <c r="D46" s="59">
        <v>0</v>
      </c>
      <c r="E46">
        <v>0</v>
      </c>
      <c r="F46" s="56">
        <v>83298</v>
      </c>
      <c r="G46" s="56">
        <v>82966</v>
      </c>
      <c r="H46" s="56">
        <v>84732</v>
      </c>
      <c r="I46" s="56">
        <v>10502002</v>
      </c>
      <c r="J46" s="56">
        <v>10565590</v>
      </c>
      <c r="K46" s="56">
        <v>87080</v>
      </c>
      <c r="L46" s="56">
        <v>92426</v>
      </c>
      <c r="M46" s="56">
        <v>96867</v>
      </c>
      <c r="N46" s="56">
        <v>101525</v>
      </c>
      <c r="O46" s="56">
        <v>107216.99999999999</v>
      </c>
      <c r="P46" s="56">
        <v>121478</v>
      </c>
      <c r="Q46" s="56">
        <v>368520</v>
      </c>
      <c r="R46" s="56">
        <v>355313</v>
      </c>
      <c r="S46" s="56">
        <v>414101.90360000002</v>
      </c>
      <c r="T46" s="56">
        <v>609018.95829069836</v>
      </c>
      <c r="U46" s="56">
        <v>2216328.4385089083</v>
      </c>
      <c r="V46" s="56">
        <v>2301347.9673320963</v>
      </c>
      <c r="W46" s="56">
        <v>2391236.8292281684</v>
      </c>
      <c r="X46" s="56">
        <v>2551155.5637672762</v>
      </c>
      <c r="Y46" s="56">
        <v>2798035.9905962804</v>
      </c>
      <c r="Z46" s="56">
        <v>3069162.4601327651</v>
      </c>
      <c r="AA46" s="56">
        <v>3371799.8038216266</v>
      </c>
      <c r="AB46" s="56">
        <v>3721920.4980785544</v>
      </c>
      <c r="AC46" s="56">
        <v>4340788.158502968</v>
      </c>
      <c r="AD46" s="56">
        <v>4631925.9742794475</v>
      </c>
      <c r="AE46" s="56">
        <v>4941586.3133194074</v>
      </c>
      <c r="AF46" s="56">
        <v>5549010.0180759355</v>
      </c>
      <c r="AG46" s="56">
        <v>5472471.6025815196</v>
      </c>
      <c r="AH46" s="56">
        <v>6863228.62675336</v>
      </c>
    </row>
    <row r="47" spans="2:34" x14ac:dyDescent="0.25">
      <c r="B47" t="str">
        <v>Rede D Or ON</v>
      </c>
      <c r="C47" t="str">
        <v>PL com inflação (corrigido)</v>
      </c>
      <c r="D47" s="59">
        <v>0</v>
      </c>
      <c r="E47">
        <v>0</v>
      </c>
      <c r="F47" s="56">
        <v>0</v>
      </c>
      <c r="G47" s="56">
        <v>0</v>
      </c>
      <c r="H47" s="56">
        <v>0</v>
      </c>
      <c r="I47" s="56">
        <v>10502002</v>
      </c>
      <c r="J47" s="56">
        <v>10565590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73492</v>
      </c>
      <c r="R47" s="56">
        <v>78033.873500000002</v>
      </c>
      <c r="S47" s="56">
        <v>107932.48134765563</v>
      </c>
      <c r="T47" s="56">
        <v>937341.68477291055</v>
      </c>
      <c r="U47" s="56">
        <v>1028630.3021168172</v>
      </c>
      <c r="V47" s="56">
        <v>1036020.5727980746</v>
      </c>
      <c r="W47" s="56">
        <v>1391773.3905736546</v>
      </c>
      <c r="X47" s="56">
        <v>1797388.3197409865</v>
      </c>
      <c r="Y47" s="56">
        <v>4342927.3241563877</v>
      </c>
      <c r="Z47" s="56">
        <v>4958424.2813420789</v>
      </c>
      <c r="AA47" s="56">
        <v>5005198.1134984158</v>
      </c>
      <c r="AB47" s="56">
        <v>5132031.0092781149</v>
      </c>
      <c r="AC47" s="56">
        <v>6303162.3344936324</v>
      </c>
      <c r="AD47" s="56">
        <v>14801256.521309394</v>
      </c>
      <c r="AE47" s="56">
        <v>15087651.819359971</v>
      </c>
      <c r="AF47" s="56">
        <v>23309894.936887443</v>
      </c>
      <c r="AG47" s="56">
        <v>23286685.038902145</v>
      </c>
      <c r="AH47" s="56">
        <v>23398164.760152977</v>
      </c>
    </row>
    <row r="48" spans="2:34" x14ac:dyDescent="0.25">
      <c r="B48" t="str">
        <v>Rumo S.A. ON</v>
      </c>
      <c r="C48" t="str">
        <v>PL com inflação (corrigido)</v>
      </c>
      <c r="D48" s="59">
        <v>0</v>
      </c>
      <c r="E48">
        <v>0</v>
      </c>
      <c r="F48" s="56">
        <v>0</v>
      </c>
      <c r="G48" s="56">
        <v>4289</v>
      </c>
      <c r="H48" s="56">
        <v>40690.999999999993</v>
      </c>
      <c r="I48" s="56">
        <v>10513592.3971</v>
      </c>
      <c r="J48" s="56">
        <v>10596671.5757208</v>
      </c>
      <c r="K48" s="56">
        <v>294003.58443218918</v>
      </c>
      <c r="L48" s="56">
        <v>379249.67835329135</v>
      </c>
      <c r="M48" s="56">
        <v>504213.52764747676</v>
      </c>
      <c r="N48" s="56">
        <v>975719.89478332293</v>
      </c>
      <c r="O48" s="56">
        <v>1229939.1483981649</v>
      </c>
      <c r="P48" s="56">
        <v>2764592.3417284391</v>
      </c>
      <c r="Q48" s="56">
        <v>3016110.5851007053</v>
      </c>
      <c r="R48" s="56">
        <v>3248110.8775219233</v>
      </c>
      <c r="S48" s="56">
        <v>4812022.1414465914</v>
      </c>
      <c r="T48" s="56">
        <v>5280397.1863153502</v>
      </c>
      <c r="U48" s="56">
        <v>6205488.819887911</v>
      </c>
      <c r="V48" s="56">
        <v>6906043.809776633</v>
      </c>
      <c r="W48" s="56">
        <v>7868578.9355966793</v>
      </c>
      <c r="X48" s="56">
        <v>6305217.5568453604</v>
      </c>
      <c r="Y48" s="56">
        <v>7385892.4782999009</v>
      </c>
      <c r="Z48" s="56">
        <v>11334504.107192291</v>
      </c>
      <c r="AA48" s="56">
        <v>13741535.527501054</v>
      </c>
      <c r="AB48" s="56">
        <v>14846586.104881562</v>
      </c>
      <c r="AC48" s="56">
        <v>15842090.254726695</v>
      </c>
      <c r="AD48" s="56">
        <v>22764248.115649723</v>
      </c>
      <c r="AE48" s="56">
        <v>23758617.847170923</v>
      </c>
      <c r="AF48" s="56">
        <v>24949731.626195047</v>
      </c>
      <c r="AG48" s="56">
        <v>25486028.073068988</v>
      </c>
      <c r="AH48" s="56">
        <v>27066204.156663127</v>
      </c>
    </row>
    <row r="49" spans="2:34" x14ac:dyDescent="0.25">
      <c r="B49" t="str">
        <v>Gerdau PN</v>
      </c>
      <c r="C49" t="str">
        <v>PL com inflação (corrigido)</v>
      </c>
      <c r="D49" s="59">
        <v>0</v>
      </c>
      <c r="E49">
        <v>0</v>
      </c>
      <c r="F49" s="56">
        <v>1288518.9374000002</v>
      </c>
      <c r="G49" s="56">
        <v>1814975.4419692282</v>
      </c>
      <c r="H49" s="56">
        <v>1982132.6150703195</v>
      </c>
      <c r="I49" s="56">
        <v>10928612.617676385</v>
      </c>
      <c r="J49" s="56">
        <v>11212818.385879248</v>
      </c>
      <c r="K49" s="56">
        <v>3718071.4578341213</v>
      </c>
      <c r="L49" s="56">
        <v>5284015.1993563557</v>
      </c>
      <c r="M49" s="56">
        <v>6913623.344205047</v>
      </c>
      <c r="N49" s="56">
        <v>9470936.3021717574</v>
      </c>
      <c r="O49" s="56">
        <v>11795991.817004133</v>
      </c>
      <c r="P49" s="56">
        <v>13618103.576006979</v>
      </c>
      <c r="Q49" s="56">
        <v>16655969.797779072</v>
      </c>
      <c r="R49" s="56">
        <v>24909127.422499284</v>
      </c>
      <c r="S49" s="56">
        <v>23529650.890743762</v>
      </c>
      <c r="T49" s="56">
        <v>25311296.008503586</v>
      </c>
      <c r="U49" s="56">
        <v>32102682.230898786</v>
      </c>
      <c r="V49" s="56">
        <v>34749501.182819992</v>
      </c>
      <c r="W49" s="56">
        <v>38879246.562304355</v>
      </c>
      <c r="X49" s="56">
        <v>41154829.84763667</v>
      </c>
      <c r="Y49" s="56">
        <v>40734470.132451564</v>
      </c>
      <c r="Z49" s="56">
        <v>30995097.110403288</v>
      </c>
      <c r="AA49" s="56">
        <v>27549860.155095696</v>
      </c>
      <c r="AB49" s="56">
        <v>27482268.902922772</v>
      </c>
      <c r="AC49" s="56">
        <v>26148610.03889497</v>
      </c>
      <c r="AD49" s="56">
        <v>26450234.951927796</v>
      </c>
      <c r="AE49" s="56">
        <v>35107175.371103331</v>
      </c>
      <c r="AF49" s="56">
        <v>33533143.213661019</v>
      </c>
      <c r="AG49" s="56">
        <v>27592836.749604337</v>
      </c>
      <c r="AH49" s="56">
        <v>22790988.534259688</v>
      </c>
    </row>
    <row r="50" spans="2:34" x14ac:dyDescent="0.25">
      <c r="B50" t="str">
        <v>Ultrapar ON</v>
      </c>
      <c r="C50" t="str">
        <v>PL com inflação (corrigido)</v>
      </c>
      <c r="D50" s="59">
        <v>0</v>
      </c>
      <c r="E50">
        <v>0</v>
      </c>
      <c r="F50" s="56">
        <v>0</v>
      </c>
      <c r="G50" s="56">
        <v>787799</v>
      </c>
      <c r="H50" s="56">
        <v>480064.43090000004</v>
      </c>
      <c r="I50" s="56">
        <v>10570490.344066691</v>
      </c>
      <c r="J50" s="56">
        <v>10674444.345432399</v>
      </c>
      <c r="K50" s="56">
        <v>965524.21350889804</v>
      </c>
      <c r="L50" s="56">
        <v>1471495.2906720436</v>
      </c>
      <c r="M50" s="56">
        <v>1736011.1455261307</v>
      </c>
      <c r="N50" s="56">
        <v>2065907.7890400263</v>
      </c>
      <c r="O50" s="56">
        <v>2307530.8087666896</v>
      </c>
      <c r="P50" s="56">
        <v>2444452.3437754265</v>
      </c>
      <c r="Q50" s="56">
        <v>5155370.4917005841</v>
      </c>
      <c r="R50" s="56">
        <v>5341722.4060524721</v>
      </c>
      <c r="S50" s="56">
        <v>5616507.6766836774</v>
      </c>
      <c r="T50" s="56">
        <v>6172908.0297098653</v>
      </c>
      <c r="U50" s="56">
        <v>6898723.2034562379</v>
      </c>
      <c r="V50" s="56">
        <v>7532380.3561909273</v>
      </c>
      <c r="W50" s="56">
        <v>8383280.2695795326</v>
      </c>
      <c r="X50" s="56">
        <v>9816635.1278857924</v>
      </c>
      <c r="Y50" s="56">
        <v>10131422.885735001</v>
      </c>
      <c r="Z50" s="56">
        <v>10511857.646334635</v>
      </c>
      <c r="AA50" s="56">
        <v>10982111.439312613</v>
      </c>
      <c r="AB50" s="56">
        <v>11009294.249393487</v>
      </c>
      <c r="AC50" s="56">
        <v>10903613.678926708</v>
      </c>
      <c r="AD50" s="56">
        <v>10459054.648607302</v>
      </c>
      <c r="AE50" s="56">
        <v>10464179.22612381</v>
      </c>
      <c r="AF50" s="56">
        <v>11505968.424048303</v>
      </c>
      <c r="AG50" s="56">
        <v>10737925.131996637</v>
      </c>
      <c r="AH50" s="56">
        <v>11935027.822606018</v>
      </c>
    </row>
    <row r="51" spans="2:34" x14ac:dyDescent="0.25">
      <c r="B51" t="str">
        <v>JBS ON</v>
      </c>
      <c r="C51" t="str">
        <v>PL com inflação (corrigido)</v>
      </c>
      <c r="D51" s="59">
        <v>0</v>
      </c>
      <c r="E51">
        <v>0</v>
      </c>
      <c r="F51" s="56">
        <v>0</v>
      </c>
      <c r="G51" s="56">
        <v>0</v>
      </c>
      <c r="H51" s="56">
        <v>0</v>
      </c>
      <c r="I51" s="56">
        <v>10502002</v>
      </c>
      <c r="J51" s="56">
        <v>10565590</v>
      </c>
      <c r="K51" s="56">
        <v>0</v>
      </c>
      <c r="L51" s="56">
        <v>0</v>
      </c>
      <c r="M51" s="56">
        <v>0</v>
      </c>
      <c r="N51" s="56">
        <v>354917.158</v>
      </c>
      <c r="O51" s="56">
        <v>422335.06194098614</v>
      </c>
      <c r="P51" s="56">
        <v>219166.54417152156</v>
      </c>
      <c r="Q51" s="56">
        <v>3172620.6541621666</v>
      </c>
      <c r="R51" s="56">
        <v>6476716.8397535123</v>
      </c>
      <c r="S51" s="56">
        <v>17464882.78008819</v>
      </c>
      <c r="T51" s="56">
        <v>19574875.530561335</v>
      </c>
      <c r="U51" s="56">
        <v>24552728.12371606</v>
      </c>
      <c r="V51" s="56">
        <v>25520041.56686043</v>
      </c>
      <c r="W51" s="56">
        <v>28903759.021438513</v>
      </c>
      <c r="X51" s="56">
        <v>32513516.950892072</v>
      </c>
      <c r="Y51" s="56">
        <v>38911220.87147218</v>
      </c>
      <c r="Z51" s="56">
        <v>34761466.962120272</v>
      </c>
      <c r="AA51" s="56">
        <v>34907304.046311118</v>
      </c>
      <c r="AB51" s="56">
        <v>38264949.209615774</v>
      </c>
      <c r="AC51" s="56">
        <v>43484815.448783636</v>
      </c>
      <c r="AD51" s="56">
        <v>54111331.919489011</v>
      </c>
      <c r="AE51" s="56">
        <v>60345470.985242628</v>
      </c>
      <c r="AF51" s="56">
        <v>62612100.110930376</v>
      </c>
      <c r="AG51" s="56">
        <v>62017517.444272153</v>
      </c>
      <c r="AH51" s="56">
        <v>62833163.546130575</v>
      </c>
    </row>
    <row r="52" spans="2:34" x14ac:dyDescent="0.25">
      <c r="B52" t="str">
        <v>Vibra ON</v>
      </c>
      <c r="C52" t="str">
        <v>PL com inflação (corrigido)</v>
      </c>
      <c r="D52" s="59">
        <v>0</v>
      </c>
      <c r="E52">
        <v>0</v>
      </c>
      <c r="F52" s="56">
        <v>1218194</v>
      </c>
      <c r="G52" s="56">
        <v>1662464</v>
      </c>
      <c r="H52" s="56">
        <v>1812259</v>
      </c>
      <c r="I52" s="56">
        <v>10502002</v>
      </c>
      <c r="J52" s="56">
        <v>10565590.000000002</v>
      </c>
      <c r="K52" s="56">
        <v>2714346.6239999998</v>
      </c>
      <c r="L52" s="56">
        <v>3441422.9817038807</v>
      </c>
      <c r="M52" s="56">
        <v>4348247.2513907151</v>
      </c>
      <c r="N52" s="56">
        <v>6318467.9506537337</v>
      </c>
      <c r="O52" s="56">
        <v>8304701.0498567531</v>
      </c>
      <c r="P52" s="56">
        <v>10233354.842333112</v>
      </c>
      <c r="Q52" s="56">
        <v>12993958.139609126</v>
      </c>
      <c r="R52" s="56">
        <v>20468511.435005292</v>
      </c>
      <c r="S52" s="56">
        <v>18899334.907495681</v>
      </c>
      <c r="T52" s="56">
        <v>20115217.850808278</v>
      </c>
      <c r="U52" s="56">
        <v>25981614.525879189</v>
      </c>
      <c r="V52" s="56">
        <v>28540855.453765418</v>
      </c>
      <c r="W52" s="56">
        <v>32038482.155098163</v>
      </c>
      <c r="X52" s="56">
        <v>34388207.038917691</v>
      </c>
      <c r="Y52" s="56">
        <v>34173400.534687221</v>
      </c>
      <c r="Z52" s="56">
        <v>26674179.257773586</v>
      </c>
      <c r="AA52" s="56">
        <v>26362898.288053315</v>
      </c>
      <c r="AB52" s="56">
        <v>28762082.772758417</v>
      </c>
      <c r="AC52" s="56">
        <v>30378929.377193764</v>
      </c>
      <c r="AD52" s="56">
        <v>34398591.534982003</v>
      </c>
      <c r="AE52" s="56">
        <v>46594130.830614604</v>
      </c>
      <c r="AF52" s="56">
        <v>50438287.073958613</v>
      </c>
      <c r="AG52" s="56">
        <v>50676786.112182818</v>
      </c>
      <c r="AH52" s="56">
        <v>51964899.532306165</v>
      </c>
    </row>
    <row r="53" spans="2:34" x14ac:dyDescent="0.25">
      <c r="B53" t="str">
        <v>BBSeguridade ON</v>
      </c>
      <c r="C53" t="str">
        <v>PL com inflação (corrigido)</v>
      </c>
      <c r="D53" s="59">
        <v>0</v>
      </c>
      <c r="E53">
        <v>0</v>
      </c>
      <c r="F53" s="56">
        <v>0</v>
      </c>
      <c r="G53" s="56">
        <v>0</v>
      </c>
      <c r="H53" s="56">
        <v>0</v>
      </c>
      <c r="I53" s="56">
        <v>10502002</v>
      </c>
      <c r="J53" s="56">
        <v>10565590</v>
      </c>
      <c r="K53" s="56">
        <v>0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56">
        <v>0</v>
      </c>
      <c r="S53" s="56">
        <v>0</v>
      </c>
      <c r="T53" s="56">
        <v>3248163</v>
      </c>
      <c r="U53" s="56">
        <v>5015683</v>
      </c>
      <c r="V53" s="56">
        <v>5638374</v>
      </c>
      <c r="W53" s="56">
        <v>6941273</v>
      </c>
      <c r="X53" s="56">
        <v>8269197.3062999994</v>
      </c>
      <c r="Y53" s="56">
        <v>8534905.4676644206</v>
      </c>
      <c r="Z53" s="56">
        <v>9337819.3948563021</v>
      </c>
      <c r="AA53" s="56">
        <v>10020151.454307625</v>
      </c>
      <c r="AB53" s="56">
        <v>8031609.8660877002</v>
      </c>
      <c r="AC53" s="56">
        <v>6875207.7940385211</v>
      </c>
      <c r="AD53" s="56">
        <v>8349580.8695646012</v>
      </c>
      <c r="AE53" s="56">
        <v>9275488.1444483697</v>
      </c>
      <c r="AF53" s="56">
        <v>9908159.2575276531</v>
      </c>
      <c r="AG53" s="56">
        <v>10185937.455654342</v>
      </c>
      <c r="AH53" s="56">
        <v>13158220.213099658</v>
      </c>
    </row>
    <row r="54" spans="2:34" x14ac:dyDescent="0.25">
      <c r="C54" s="52" t="s">
        <v>112</v>
      </c>
      <c r="D54" s="54"/>
      <c r="E54" s="54"/>
      <c r="F54" s="57">
        <f>+ AVERAGEIF(F30:F53, "&lt;&gt;",F30:F53)</f>
        <v>5940284.0027488843</v>
      </c>
      <c r="G54" s="57">
        <f t="shared" ref="G54" si="1">+ AVERAGEIF(G30:G53, "&lt;&gt;",G30:G53)</f>
        <v>6453370.1242260532</v>
      </c>
      <c r="H54" s="57">
        <f t="shared" ref="H54" si="2">+ AVERAGEIF(H30:H53, "&lt;&gt;",H30:H53)</f>
        <v>6563084.5305738999</v>
      </c>
      <c r="I54" s="57">
        <f t="shared" ref="I54" si="3">+ AVERAGEIF(I30:I53, "&lt;&gt;",I30:I53)</f>
        <v>11710396.299722428</v>
      </c>
      <c r="J54" s="57">
        <f t="shared" ref="J54" si="4">+ AVERAGEIF(J30:J53, "&lt;&gt;",J30:J53)</f>
        <v>12108699.866886159</v>
      </c>
      <c r="K54" s="57">
        <f t="shared" ref="K54" si="5">+ AVERAGEIF(K30:K53, "&lt;&gt;",K30:K53)</f>
        <v>9431434.2422220279</v>
      </c>
      <c r="L54" s="57">
        <f t="shared" ref="L54" si="6">+ AVERAGEIF(L30:L53, "&lt;&gt;",L30:L53)</f>
        <v>11497308.863237871</v>
      </c>
      <c r="M54" s="57">
        <f t="shared" ref="M54" si="7">+ AVERAGEIF(M30:M53, "&lt;&gt;",M30:M53)</f>
        <v>14428626.975163391</v>
      </c>
      <c r="N54" s="57">
        <f t="shared" ref="N54" si="8">+ AVERAGEIF(N30:N53, "&lt;&gt;",N30:N53)</f>
        <v>17664386.02294236</v>
      </c>
      <c r="O54" s="57">
        <f t="shared" ref="O54" si="9">+ AVERAGEIF(O30:O53, "&lt;&gt;",O30:O53)</f>
        <v>20778535.021291897</v>
      </c>
      <c r="P54" s="57">
        <f t="shared" ref="P54" si="10">+ AVERAGEIF(P30:P53, "&lt;&gt;",P30:P53)</f>
        <v>24016706.281974792</v>
      </c>
      <c r="Q54" s="57">
        <f t="shared" ref="Q54" si="11">+ AVERAGEIF(Q30:Q53, "&lt;&gt;",Q30:Q53)</f>
        <v>27825463.908051047</v>
      </c>
      <c r="R54" s="57">
        <f t="shared" ref="R54" si="12">+ AVERAGEIF(R30:R53, "&lt;&gt;",R30:R53)</f>
        <v>35273493.090462722</v>
      </c>
      <c r="S54" s="57">
        <f t="shared" ref="S54" si="13">+ AVERAGEIF(S30:S53, "&lt;&gt;",S30:S53)</f>
        <v>38728536.076907001</v>
      </c>
      <c r="T54" s="57">
        <f t="shared" ref="T54" si="14">+ AVERAGEIF(T30:T53, "&lt;&gt;",T30:T53)</f>
        <v>55526112.852854602</v>
      </c>
      <c r="U54" s="57">
        <f t="shared" ref="U54" si="15">+ AVERAGEIF(U30:U53, "&lt;&gt;",U30:U53)</f>
        <v>63899879.153402716</v>
      </c>
      <c r="V54" s="57">
        <f t="shared" ref="V54" si="16">+ AVERAGEIF(V30:V53, "&lt;&gt;",V30:V53)</f>
        <v>68408905.466267988</v>
      </c>
      <c r="W54" s="57">
        <f t="shared" ref="W54" si="17">+ AVERAGEIF(W30:W53, "&lt;&gt;",W30:W53)</f>
        <v>73042500.864188507</v>
      </c>
      <c r="X54" s="57">
        <f t="shared" ref="X54" si="18">+ AVERAGEIF(X30:X53, "&lt;&gt;",X30:X53)</f>
        <v>74445348.434930861</v>
      </c>
      <c r="Y54" s="57">
        <f t="shared" ref="Y54" si="19">+ AVERAGEIF(Y30:Y53, "&lt;&gt;",Y30:Y53)</f>
        <v>72404625.548879132</v>
      </c>
      <c r="Z54" s="57">
        <f t="shared" ref="Z54" si="20">+ AVERAGEIF(Z30:Z53, "&lt;&gt;",Z30:Z53)</f>
        <v>71390422.241581187</v>
      </c>
      <c r="AA54" s="57">
        <f t="shared" ref="AA54" si="21">+ AVERAGEIF(AA30:AA53, "&lt;&gt;",AA30:AA53)</f>
        <v>72365075.463984594</v>
      </c>
      <c r="AB54" s="57">
        <f t="shared" ref="AB54" si="22">+ AVERAGEIF(AB30:AB53, "&lt;&gt;",AB30:AB53)</f>
        <v>76529801.120903</v>
      </c>
      <c r="AC54" s="57">
        <f t="shared" ref="AC54" si="23">+ AVERAGEIF(AC30:AC53, "&lt;&gt;",AC30:AC53)</f>
        <v>80481833.231146649</v>
      </c>
      <c r="AD54" s="57">
        <f t="shared" ref="AD54" si="24">+ AVERAGEIF(AD30:AD53, "&lt;&gt;",AD30:AD53)</f>
        <v>83197352.937717006</v>
      </c>
      <c r="AE54" s="57">
        <f t="shared" ref="AE54" si="25">+ AVERAGEIF(AE30:AE53, "&lt;&gt;",AE30:AE53)</f>
        <v>94050537.704700246</v>
      </c>
      <c r="AF54" s="57">
        <f t="shared" ref="AF54" si="26">+ AVERAGEIF(AF30:AF53, "&lt;&gt;",AF30:AF53)</f>
        <v>92849980.39445807</v>
      </c>
      <c r="AG54" s="57">
        <f t="shared" ref="AG54" si="27">+ AVERAGEIF(AG30:AG53, "&lt;&gt;",AG30:AG53)</f>
        <v>86613731.086759657</v>
      </c>
      <c r="AH54" s="57">
        <f t="shared" ref="AH54" si="28">+ AVERAGEIF(AH30:AH53, "&lt;&gt;",AH30:AH53)</f>
        <v>84311118.898801744</v>
      </c>
    </row>
    <row r="57" spans="2:34" x14ac:dyDescent="0.25">
      <c r="B57" s="52" t="s">
        <v>111</v>
      </c>
      <c r="C57" s="53" t="s">
        <v>14</v>
      </c>
      <c r="D57" s="52"/>
      <c r="E57" s="54"/>
      <c r="F57" s="55">
        <v>1996</v>
      </c>
      <c r="G57" s="55">
        <v>1997</v>
      </c>
      <c r="H57" s="55">
        <v>1998</v>
      </c>
      <c r="I57" s="55">
        <v>1999</v>
      </c>
      <c r="J57" s="55">
        <v>2000</v>
      </c>
      <c r="K57" s="55">
        <v>2001</v>
      </c>
      <c r="L57" s="55">
        <v>2002</v>
      </c>
      <c r="M57" s="55">
        <v>2003</v>
      </c>
      <c r="N57" s="55">
        <v>2004</v>
      </c>
      <c r="O57" s="55">
        <v>2005</v>
      </c>
      <c r="P57" s="55">
        <v>2006</v>
      </c>
      <c r="Q57" s="55">
        <v>2007</v>
      </c>
      <c r="R57" s="55">
        <v>2008</v>
      </c>
      <c r="S57" s="55">
        <v>2009</v>
      </c>
      <c r="T57" s="55">
        <v>2010</v>
      </c>
      <c r="U57" s="55">
        <v>2011</v>
      </c>
      <c r="V57" s="55">
        <v>2012</v>
      </c>
      <c r="W57" s="55">
        <v>2013</v>
      </c>
      <c r="X57" s="55">
        <v>2014</v>
      </c>
      <c r="Y57" s="55">
        <v>2015</v>
      </c>
      <c r="Z57" s="55">
        <v>2016</v>
      </c>
      <c r="AA57" s="55">
        <v>2017</v>
      </c>
      <c r="AB57" s="55">
        <v>2018</v>
      </c>
      <c r="AC57" s="55">
        <v>2019</v>
      </c>
      <c r="AD57" s="55">
        <v>2020</v>
      </c>
      <c r="AE57" s="55">
        <v>2021</v>
      </c>
      <c r="AF57" s="55">
        <v>2022</v>
      </c>
      <c r="AG57" s="55">
        <v>2023</v>
      </c>
      <c r="AH57" s="55">
        <v>2024</v>
      </c>
    </row>
    <row r="58" spans="2:34" x14ac:dyDescent="0.25">
      <c r="B58" t="str" cm="1">
        <f t="array" ref="B58:AH81">_xlfn.VSTACK(VALE3:BBSE3!L24:AR24)</f>
        <v>Vale ON</v>
      </c>
      <c r="C58" t="str">
        <v>Valor de Mercado</v>
      </c>
      <c r="D58" s="59">
        <v>0</v>
      </c>
      <c r="E58">
        <v>0</v>
      </c>
      <c r="F58" s="56">
        <v>9288841</v>
      </c>
      <c r="G58" s="56">
        <v>8125005.7422000002</v>
      </c>
      <c r="H58" s="56">
        <v>4699923.0522999996</v>
      </c>
      <c r="I58" s="56">
        <v>17428087.655999999</v>
      </c>
      <c r="J58" s="56">
        <v>16748049.408</v>
      </c>
      <c r="K58" s="56">
        <v>20187451.802000001</v>
      </c>
      <c r="L58" s="56">
        <v>38788908.873000003</v>
      </c>
      <c r="M58" s="56">
        <v>61970724.399999999</v>
      </c>
      <c r="N58" s="56">
        <v>82221307.900000006</v>
      </c>
      <c r="O58" s="56">
        <v>105085485.25</v>
      </c>
      <c r="P58" s="56">
        <v>144843532.19999999</v>
      </c>
      <c r="Q58" s="56">
        <v>270437772.20999998</v>
      </c>
      <c r="R58" s="56">
        <v>136641588.47999999</v>
      </c>
      <c r="S58" s="56">
        <v>243203602.09999999</v>
      </c>
      <c r="T58" s="56">
        <v>275006440.5</v>
      </c>
      <c r="U58" s="56">
        <v>197946380.25999999</v>
      </c>
      <c r="V58" s="56">
        <v>215110249.25999999</v>
      </c>
      <c r="W58" s="56">
        <v>178163245.40000001</v>
      </c>
      <c r="X58" s="56">
        <v>107636951.29000001</v>
      </c>
      <c r="Y58" s="56">
        <v>61678209.090000004</v>
      </c>
      <c r="Z58" s="56">
        <v>127734200.52</v>
      </c>
      <c r="AA58" s="56">
        <v>209248612.80000001</v>
      </c>
      <c r="AB58" s="56">
        <v>261439209.61000001</v>
      </c>
      <c r="AC58" s="56">
        <v>273337484.54000002</v>
      </c>
      <c r="AD58" s="56">
        <v>448610718</v>
      </c>
      <c r="AE58" s="56">
        <v>377296542.25999999</v>
      </c>
      <c r="AF58" s="56">
        <v>398455973.70999998</v>
      </c>
      <c r="AG58" s="56">
        <v>282697169.366063</v>
      </c>
      <c r="AH58" s="56">
        <v>219809105.16387299</v>
      </c>
    </row>
    <row r="59" spans="2:34" x14ac:dyDescent="0.25">
      <c r="B59" t="str">
        <v>Petrobras PN</v>
      </c>
      <c r="C59" t="str">
        <v>Valor de Mercado</v>
      </c>
      <c r="D59" s="59">
        <v>0</v>
      </c>
      <c r="E59">
        <v>0</v>
      </c>
      <c r="F59" s="56">
        <v>15406640.593</v>
      </c>
      <c r="G59" s="56">
        <v>23527637.241999999</v>
      </c>
      <c r="H59" s="56">
        <v>10884364.799000001</v>
      </c>
      <c r="I59" s="56">
        <v>17428087.655999999</v>
      </c>
      <c r="J59" s="56">
        <v>16748049.408</v>
      </c>
      <c r="K59" s="56">
        <v>56404006.473999999</v>
      </c>
      <c r="L59" s="56">
        <v>54453901.005999997</v>
      </c>
      <c r="M59" s="56">
        <v>88658596.799999997</v>
      </c>
      <c r="N59" s="56">
        <v>112458137.5</v>
      </c>
      <c r="O59" s="56">
        <v>171390636.58000001</v>
      </c>
      <c r="P59" s="56">
        <v>228397326.36000001</v>
      </c>
      <c r="Q59" s="56">
        <v>429922947.60000002</v>
      </c>
      <c r="R59" s="56">
        <v>223990959.38999999</v>
      </c>
      <c r="S59" s="56">
        <v>347084649.56</v>
      </c>
      <c r="T59" s="56">
        <v>380246723.17000002</v>
      </c>
      <c r="U59" s="56">
        <v>291564346.06999999</v>
      </c>
      <c r="V59" s="56">
        <v>254851855.06</v>
      </c>
      <c r="W59" s="56">
        <v>214687733.90000001</v>
      </c>
      <c r="X59" s="56">
        <v>127505604.72</v>
      </c>
      <c r="Y59" s="56">
        <v>101315518.88</v>
      </c>
      <c r="Z59" s="56">
        <v>209377550.16999999</v>
      </c>
      <c r="AA59" s="56">
        <v>216044789.44</v>
      </c>
      <c r="AB59" s="56">
        <v>316085347</v>
      </c>
      <c r="AC59" s="56">
        <v>407218846.60000002</v>
      </c>
      <c r="AD59" s="56">
        <v>373468194.14999998</v>
      </c>
      <c r="AE59" s="56">
        <v>387852546.49000001</v>
      </c>
      <c r="AF59" s="56">
        <v>345928429.99000001</v>
      </c>
      <c r="AG59" s="56">
        <v>375102344.89854503</v>
      </c>
      <c r="AH59" s="56">
        <v>454317205.33956999</v>
      </c>
    </row>
    <row r="60" spans="2:34" x14ac:dyDescent="0.25">
      <c r="B60" t="str">
        <v>ItauUnibanco PN</v>
      </c>
      <c r="C60" t="str">
        <v>Valor de Mercado</v>
      </c>
      <c r="D60" s="59">
        <v>0</v>
      </c>
      <c r="E60">
        <v>0</v>
      </c>
      <c r="F60" s="56">
        <v>5287458.3660000004</v>
      </c>
      <c r="G60" s="56">
        <v>6187454.7375999996</v>
      </c>
      <c r="H60" s="56">
        <v>6778330.8526999997</v>
      </c>
      <c r="I60" s="56">
        <v>17428087.655999999</v>
      </c>
      <c r="J60" s="56">
        <v>16748049.408</v>
      </c>
      <c r="K60" s="56">
        <v>19572441.355999999</v>
      </c>
      <c r="L60" s="56">
        <v>17790255.984000001</v>
      </c>
      <c r="M60" s="56">
        <v>29935542.048</v>
      </c>
      <c r="N60" s="56">
        <v>42205296.93</v>
      </c>
      <c r="O60" s="56">
        <v>56543890.761</v>
      </c>
      <c r="P60" s="56">
        <v>84767711.988000005</v>
      </c>
      <c r="Q60" s="56">
        <v>105930220.88</v>
      </c>
      <c r="R60" s="56">
        <v>96984164.974000007</v>
      </c>
      <c r="S60" s="56">
        <v>154410753.97999999</v>
      </c>
      <c r="T60" s="56">
        <v>159666024.81999999</v>
      </c>
      <c r="U60" s="56">
        <v>137385257.59999999</v>
      </c>
      <c r="V60" s="56">
        <v>145741614.86000001</v>
      </c>
      <c r="W60" s="56">
        <v>150610705.24000001</v>
      </c>
      <c r="X60" s="56">
        <v>183051033.66999999</v>
      </c>
      <c r="Y60" s="56">
        <v>150488035.06</v>
      </c>
      <c r="Z60" s="56">
        <v>207453001.65000001</v>
      </c>
      <c r="AA60" s="56">
        <v>259002948.91999999</v>
      </c>
      <c r="AB60" s="56">
        <v>317910007.19</v>
      </c>
      <c r="AC60" s="56">
        <v>336277119.87</v>
      </c>
      <c r="AD60" s="56">
        <v>290294405.06</v>
      </c>
      <c r="AE60" s="56">
        <v>195493661.03999999</v>
      </c>
      <c r="AF60" s="56">
        <v>229428382.81999999</v>
      </c>
      <c r="AG60" s="56">
        <v>243011046.991992</v>
      </c>
      <c r="AH60" s="56">
        <v>238896352.13518801</v>
      </c>
    </row>
    <row r="61" spans="2:34" x14ac:dyDescent="0.25">
      <c r="B61" t="str">
        <v>Petrobras ON</v>
      </c>
      <c r="C61" t="str">
        <v>Valor de Mercado</v>
      </c>
      <c r="D61" s="59">
        <v>0</v>
      </c>
      <c r="E61">
        <v>0</v>
      </c>
      <c r="F61" s="56">
        <v>15406640.593</v>
      </c>
      <c r="G61" s="56">
        <v>23527637.241999999</v>
      </c>
      <c r="H61" s="56">
        <v>10884364.799000001</v>
      </c>
      <c r="I61" s="56">
        <v>17428087.655999999</v>
      </c>
      <c r="J61" s="56">
        <v>16748049.408</v>
      </c>
      <c r="K61" s="56">
        <v>56404006.473999999</v>
      </c>
      <c r="L61" s="56">
        <v>54453901.005999997</v>
      </c>
      <c r="M61" s="56">
        <v>88658596.799999997</v>
      </c>
      <c r="N61" s="56">
        <v>112458137.5</v>
      </c>
      <c r="O61" s="56">
        <v>171390636.58000001</v>
      </c>
      <c r="P61" s="56">
        <v>228397326.36000001</v>
      </c>
      <c r="Q61" s="56">
        <v>429922947.60000002</v>
      </c>
      <c r="R61" s="56">
        <v>223990959.38999999</v>
      </c>
      <c r="S61" s="56">
        <v>347084649.56</v>
      </c>
      <c r="T61" s="56">
        <v>380246723.17000002</v>
      </c>
      <c r="U61" s="56">
        <v>291564346.06999999</v>
      </c>
      <c r="V61" s="56">
        <v>254851855.06</v>
      </c>
      <c r="W61" s="56">
        <v>214687733.90000001</v>
      </c>
      <c r="X61" s="56">
        <v>127505604.72</v>
      </c>
      <c r="Y61" s="56">
        <v>101315518.88</v>
      </c>
      <c r="Z61" s="56">
        <v>209377550.16999999</v>
      </c>
      <c r="AA61" s="56">
        <v>216044789.44</v>
      </c>
      <c r="AB61" s="56">
        <v>316085347</v>
      </c>
      <c r="AC61" s="56">
        <v>407218846.60000002</v>
      </c>
      <c r="AD61" s="56">
        <v>373468194.14999998</v>
      </c>
      <c r="AE61" s="56">
        <v>387852546.49000001</v>
      </c>
      <c r="AF61" s="56">
        <v>345928429.99000001</v>
      </c>
      <c r="AG61" s="56">
        <v>381384934.58745301</v>
      </c>
      <c r="AH61" s="56">
        <v>456485261.93771899</v>
      </c>
    </row>
    <row r="62" spans="2:34" x14ac:dyDescent="0.25">
      <c r="B62" t="str">
        <v>Eletrobras ON</v>
      </c>
      <c r="C62" t="str">
        <v>Valor de Mercado</v>
      </c>
      <c r="D62" s="59">
        <v>0</v>
      </c>
      <c r="E62">
        <v>0</v>
      </c>
      <c r="F62" s="56">
        <v>20113082.390000001</v>
      </c>
      <c r="G62" s="56">
        <v>29958876.370999999</v>
      </c>
      <c r="H62" s="56">
        <v>11384030.252</v>
      </c>
      <c r="I62" s="56">
        <v>17428087.655999999</v>
      </c>
      <c r="J62" s="56">
        <v>16748049.408</v>
      </c>
      <c r="K62" s="56">
        <v>16908117.640999999</v>
      </c>
      <c r="L62" s="56">
        <v>12671297.507999999</v>
      </c>
      <c r="M62" s="56">
        <v>25788402.721999999</v>
      </c>
      <c r="N62" s="56">
        <v>20753913.537999999</v>
      </c>
      <c r="O62" s="56">
        <v>21640780.202</v>
      </c>
      <c r="P62" s="56">
        <v>28495223.25</v>
      </c>
      <c r="Q62" s="56">
        <v>26809961.920000002</v>
      </c>
      <c r="R62" s="56">
        <v>28927983.300000001</v>
      </c>
      <c r="S62" s="56">
        <v>40100342.259999998</v>
      </c>
      <c r="T62" s="56">
        <v>26211137.806000002</v>
      </c>
      <c r="U62" s="56">
        <v>26523902.409000002</v>
      </c>
      <c r="V62" s="56">
        <v>9664346.6355000008</v>
      </c>
      <c r="W62" s="56">
        <v>9018232.4071999993</v>
      </c>
      <c r="X62" s="56">
        <v>8477017.3703000005</v>
      </c>
      <c r="Y62" s="56">
        <v>9034104.6140000001</v>
      </c>
      <c r="Z62" s="56">
        <v>31671129.421</v>
      </c>
      <c r="AA62" s="56">
        <v>27051811.421</v>
      </c>
      <c r="AB62" s="56">
        <v>33820949.214000002</v>
      </c>
      <c r="AC62" s="56">
        <v>51246978.273000002</v>
      </c>
      <c r="AD62" s="56">
        <v>57626440.546999998</v>
      </c>
      <c r="AE62" s="56">
        <v>52310576.016000003</v>
      </c>
      <c r="AF62" s="56">
        <v>97238415.839000002</v>
      </c>
      <c r="AG62" s="56">
        <v>87944465.214327097</v>
      </c>
      <c r="AH62" s="56">
        <v>73332650.480117202</v>
      </c>
    </row>
    <row r="63" spans="2:34" x14ac:dyDescent="0.25">
      <c r="B63" t="str">
        <v>Bradesco PN</v>
      </c>
      <c r="C63" t="str">
        <v>Valor de Mercado</v>
      </c>
      <c r="D63" s="59">
        <v>0</v>
      </c>
      <c r="E63">
        <v>0</v>
      </c>
      <c r="F63" s="56">
        <v>6896759.3513000002</v>
      </c>
      <c r="G63" s="56">
        <v>10327833.515000001</v>
      </c>
      <c r="H63" s="56">
        <v>6435282.7752999999</v>
      </c>
      <c r="I63" s="56">
        <v>17428087.655999999</v>
      </c>
      <c r="J63" s="56">
        <v>16748049.408</v>
      </c>
      <c r="K63" s="56">
        <v>16545627.073999999</v>
      </c>
      <c r="L63" s="56">
        <v>14538426.843</v>
      </c>
      <c r="M63" s="56">
        <v>22699491.068</v>
      </c>
      <c r="N63" s="56">
        <v>28749553.859999999</v>
      </c>
      <c r="O63" s="56">
        <v>64733500.799999997</v>
      </c>
      <c r="P63" s="56">
        <v>84801127.450000003</v>
      </c>
      <c r="Q63" s="56">
        <v>107474447.59999999</v>
      </c>
      <c r="R63" s="56">
        <v>65354162.939999998</v>
      </c>
      <c r="S63" s="56">
        <v>103287043.88</v>
      </c>
      <c r="T63" s="56">
        <v>109759327.25</v>
      </c>
      <c r="U63" s="56">
        <v>106970502.15000001</v>
      </c>
      <c r="V63" s="56">
        <v>131907965.98</v>
      </c>
      <c r="W63" s="56">
        <v>128084557.48999999</v>
      </c>
      <c r="X63" s="56">
        <v>145535827.28</v>
      </c>
      <c r="Y63" s="56">
        <v>100043545.18000001</v>
      </c>
      <c r="Z63" s="56">
        <v>160812747.63999999</v>
      </c>
      <c r="AA63" s="56">
        <v>200521275.03999999</v>
      </c>
      <c r="AB63" s="56">
        <v>242605819.25</v>
      </c>
      <c r="AC63" s="56">
        <v>282075111.29000002</v>
      </c>
      <c r="AD63" s="56">
        <v>226778470.78</v>
      </c>
      <c r="AE63" s="56">
        <v>171479631.44</v>
      </c>
      <c r="AF63" s="56">
        <v>152273967.09</v>
      </c>
      <c r="AG63" s="56">
        <v>147969996.99716499</v>
      </c>
      <c r="AH63" s="56">
        <v>107472305.22264101</v>
      </c>
    </row>
    <row r="64" spans="2:34" x14ac:dyDescent="0.25">
      <c r="B64" t="str">
        <v>B3 ON</v>
      </c>
      <c r="C64" t="str">
        <v>Valor de Mercado</v>
      </c>
      <c r="D64" s="59">
        <v>0</v>
      </c>
      <c r="E64">
        <v>0</v>
      </c>
      <c r="F64" s="56">
        <v>0</v>
      </c>
      <c r="G64" s="56">
        <v>0</v>
      </c>
      <c r="H64" s="56">
        <v>0</v>
      </c>
      <c r="I64" s="56">
        <v>17428087.655999999</v>
      </c>
      <c r="J64" s="56">
        <v>16748049.408</v>
      </c>
      <c r="K64" s="56">
        <v>0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56">
        <v>0</v>
      </c>
      <c r="R64" s="56">
        <v>11966905.317</v>
      </c>
      <c r="S64" s="56">
        <v>24558387.322000001</v>
      </c>
      <c r="T64" s="56">
        <v>25996365.263999999</v>
      </c>
      <c r="U64" s="56">
        <v>18894321.482000001</v>
      </c>
      <c r="V64" s="56">
        <v>27042014.93</v>
      </c>
      <c r="W64" s="56">
        <v>20943026.386999998</v>
      </c>
      <c r="X64" s="56">
        <v>17810558.776999999</v>
      </c>
      <c r="Y64" s="56">
        <v>19407013.526000001</v>
      </c>
      <c r="Z64" s="56">
        <v>29492587.559</v>
      </c>
      <c r="AA64" s="56">
        <v>46452051.814999998</v>
      </c>
      <c r="AB64" s="56">
        <v>54805425.785999998</v>
      </c>
      <c r="AC64" s="56">
        <v>87196861.422999993</v>
      </c>
      <c r="AD64" s="56">
        <v>124944357.93000001</v>
      </c>
      <c r="AE64" s="56">
        <v>67351603.637999997</v>
      </c>
      <c r="AF64" s="56">
        <v>76043469.056999996</v>
      </c>
      <c r="AG64" s="56">
        <v>77216323.907957494</v>
      </c>
      <c r="AH64" s="56">
        <v>53464253.593140602</v>
      </c>
    </row>
    <row r="65" spans="2:34" x14ac:dyDescent="0.25">
      <c r="B65" t="str">
        <v>Brasil ON</v>
      </c>
      <c r="C65" t="str">
        <v>Valor de Mercado</v>
      </c>
      <c r="D65" s="59">
        <v>0</v>
      </c>
      <c r="E65">
        <v>0</v>
      </c>
      <c r="F65" s="56">
        <v>6607342.8657999998</v>
      </c>
      <c r="G65" s="56">
        <v>5454627.7078</v>
      </c>
      <c r="H65" s="56">
        <v>5327872.8470999999</v>
      </c>
      <c r="I65" s="56">
        <v>17428087.655999999</v>
      </c>
      <c r="J65" s="56">
        <v>16748049.408</v>
      </c>
      <c r="K65" s="56">
        <v>8103070.9139999999</v>
      </c>
      <c r="L65" s="56">
        <v>7173774.7994999997</v>
      </c>
      <c r="M65" s="56">
        <v>17568427.872000001</v>
      </c>
      <c r="N65" s="56">
        <v>25979191.484999999</v>
      </c>
      <c r="O65" s="56">
        <v>33732980.943999998</v>
      </c>
      <c r="P65" s="56">
        <v>52820251.071999997</v>
      </c>
      <c r="Q65" s="56">
        <v>75268857.777999997</v>
      </c>
      <c r="R65" s="56">
        <v>37684090.241999999</v>
      </c>
      <c r="S65" s="56">
        <v>76290691.246999994</v>
      </c>
      <c r="T65" s="56">
        <v>89883806.502000004</v>
      </c>
      <c r="U65" s="56">
        <v>67910381.856999993</v>
      </c>
      <c r="V65" s="56">
        <v>72837554.509000003</v>
      </c>
      <c r="W65" s="56">
        <v>68532638.484999999</v>
      </c>
      <c r="X65" s="56">
        <v>66473647.504000001</v>
      </c>
      <c r="Y65" s="56">
        <v>41162228.626000002</v>
      </c>
      <c r="Z65" s="56">
        <v>78223642.191</v>
      </c>
      <c r="AA65" s="56">
        <v>88617221.769999996</v>
      </c>
      <c r="AB65" s="56">
        <v>129499323.34999999</v>
      </c>
      <c r="AC65" s="56">
        <v>150587593.69</v>
      </c>
      <c r="AD65" s="56">
        <v>110705777.37</v>
      </c>
      <c r="AE65" s="56">
        <v>82321812.777999997</v>
      </c>
      <c r="AF65" s="56">
        <v>99106787.275000006</v>
      </c>
      <c r="AG65" s="56">
        <v>69935925.426922902</v>
      </c>
      <c r="AH65" s="56">
        <v>132315311.288948</v>
      </c>
    </row>
    <row r="66" spans="2:34" x14ac:dyDescent="0.25">
      <c r="B66" t="str">
        <v>Ambev S/A ON</v>
      </c>
      <c r="C66" t="str">
        <v>Valor de Mercado</v>
      </c>
      <c r="D66" s="59">
        <v>0</v>
      </c>
      <c r="E66">
        <v>0</v>
      </c>
      <c r="F66" s="56">
        <v>4191067.5043000001</v>
      </c>
      <c r="G66" s="56">
        <v>5119656.2489999998</v>
      </c>
      <c r="H66" s="56">
        <v>3636725.3818999999</v>
      </c>
      <c r="I66" s="56">
        <v>17428087.655999999</v>
      </c>
      <c r="J66" s="56">
        <v>16748049.408</v>
      </c>
      <c r="K66" s="56">
        <v>17424971.035</v>
      </c>
      <c r="L66" s="56">
        <v>19685615.545000002</v>
      </c>
      <c r="M66" s="56">
        <v>26391777.998</v>
      </c>
      <c r="N66" s="56">
        <v>55180719.972000003</v>
      </c>
      <c r="O66" s="56">
        <v>53645514.494000003</v>
      </c>
      <c r="P66" s="56">
        <v>63334183.397</v>
      </c>
      <c r="Q66" s="56">
        <v>77936433.099999994</v>
      </c>
      <c r="R66" s="56">
        <v>56506644.369999997</v>
      </c>
      <c r="S66" s="56">
        <v>98213284</v>
      </c>
      <c r="T66" s="56">
        <v>144362370.28</v>
      </c>
      <c r="U66" s="56">
        <v>187553882.19999999</v>
      </c>
      <c r="V66" s="56">
        <v>264301506.06</v>
      </c>
      <c r="W66" s="56">
        <v>270935478.31999999</v>
      </c>
      <c r="X66" s="56">
        <v>254851916.44</v>
      </c>
      <c r="Y66" s="56">
        <v>279978927.89999998</v>
      </c>
      <c r="Z66" s="56">
        <v>257498089.19999999</v>
      </c>
      <c r="AA66" s="56">
        <v>334313502.88</v>
      </c>
      <c r="AB66" s="56">
        <v>241790810.22</v>
      </c>
      <c r="AC66" s="56">
        <v>293678222.50999999</v>
      </c>
      <c r="AD66" s="56">
        <v>246251419.75</v>
      </c>
      <c r="AE66" s="56">
        <v>242690275.97999999</v>
      </c>
      <c r="AF66" s="56">
        <v>228569992.19999999</v>
      </c>
      <c r="AG66" s="56">
        <v>197562019.671666</v>
      </c>
      <c r="AH66" s="56">
        <v>177587063.34797901</v>
      </c>
    </row>
    <row r="67" spans="2:34" x14ac:dyDescent="0.25">
      <c r="B67" t="str">
        <v>Localiza ON</v>
      </c>
      <c r="C67" t="str">
        <v>Valor de Mercado</v>
      </c>
      <c r="D67" s="59">
        <v>0</v>
      </c>
      <c r="E67">
        <v>0</v>
      </c>
      <c r="F67" s="56">
        <v>0</v>
      </c>
      <c r="G67" s="56">
        <v>0</v>
      </c>
      <c r="H67" s="56">
        <v>0</v>
      </c>
      <c r="I67" s="56">
        <v>17428087.655999999</v>
      </c>
      <c r="J67" s="56">
        <v>16748049.408</v>
      </c>
      <c r="K67" s="56">
        <v>0</v>
      </c>
      <c r="L67" s="56">
        <v>0</v>
      </c>
      <c r="M67" s="56">
        <v>0</v>
      </c>
      <c r="N67" s="56">
        <v>0</v>
      </c>
      <c r="O67" s="56">
        <v>1799777.7215</v>
      </c>
      <c r="P67" s="56">
        <v>4310759.4237000002</v>
      </c>
      <c r="Q67" s="56">
        <v>3810264.12</v>
      </c>
      <c r="R67" s="56">
        <v>1402122.2</v>
      </c>
      <c r="S67" s="56">
        <v>3815352.24</v>
      </c>
      <c r="T67" s="56">
        <v>5292433.7059000004</v>
      </c>
      <c r="U67" s="56">
        <v>5042572.0562000005</v>
      </c>
      <c r="V67" s="56">
        <v>7429773.6106000002</v>
      </c>
      <c r="W67" s="56">
        <v>6906602.5440999996</v>
      </c>
      <c r="X67" s="56">
        <v>7421331.0552000003</v>
      </c>
      <c r="Y67" s="56">
        <v>5133259.8437000001</v>
      </c>
      <c r="Z67" s="56">
        <v>7121182</v>
      </c>
      <c r="AA67" s="56">
        <v>14568357.82</v>
      </c>
      <c r="AB67" s="56">
        <v>19694053.75</v>
      </c>
      <c r="AC67" s="56">
        <v>35826172.469999999</v>
      </c>
      <c r="AD67" s="56">
        <v>51827715.450000003</v>
      </c>
      <c r="AE67" s="56">
        <v>39866176</v>
      </c>
      <c r="AF67" s="56">
        <v>52059498.399999999</v>
      </c>
      <c r="AG67" s="56">
        <v>62211455.953674302</v>
      </c>
      <c r="AH67" s="56">
        <v>32642433.143158</v>
      </c>
    </row>
    <row r="68" spans="2:34" x14ac:dyDescent="0.25">
      <c r="B68" t="str">
        <v>Itausa PN</v>
      </c>
      <c r="C68" t="str">
        <v>Valor de Mercado</v>
      </c>
      <c r="D68" s="59">
        <v>0</v>
      </c>
      <c r="E68">
        <v>0</v>
      </c>
      <c r="F68" s="56">
        <v>2396497.6521000001</v>
      </c>
      <c r="G68" s="56">
        <v>2485566.5172000001</v>
      </c>
      <c r="H68" s="56">
        <v>2139130.2097999998</v>
      </c>
      <c r="I68" s="56">
        <v>17428087.655999999</v>
      </c>
      <c r="J68" s="56">
        <v>16748049.408</v>
      </c>
      <c r="K68" s="56">
        <v>7979476.2060000002</v>
      </c>
      <c r="L68" s="56">
        <v>7561381.7554000001</v>
      </c>
      <c r="M68" s="56">
        <v>11105426.83</v>
      </c>
      <c r="N68" s="56">
        <v>15315531</v>
      </c>
      <c r="O68" s="56">
        <v>23683218.949999999</v>
      </c>
      <c r="P68" s="56">
        <v>36977854.240000002</v>
      </c>
      <c r="Q68" s="56">
        <v>48494713</v>
      </c>
      <c r="R68" s="56">
        <v>35875430.684</v>
      </c>
      <c r="S68" s="56">
        <v>54569188.305</v>
      </c>
      <c r="T68" s="56">
        <v>59509615.920999996</v>
      </c>
      <c r="U68" s="56">
        <v>55001977.200000003</v>
      </c>
      <c r="V68" s="56">
        <v>55930079.399999999</v>
      </c>
      <c r="W68" s="56">
        <v>56692598.899999999</v>
      </c>
      <c r="X68" s="56">
        <v>58006760.299999997</v>
      </c>
      <c r="Y68" s="56">
        <v>46861259.520000003</v>
      </c>
      <c r="Z68" s="56">
        <v>60592204.920000002</v>
      </c>
      <c r="AA68" s="56">
        <v>80017631.400000006</v>
      </c>
      <c r="AB68" s="56">
        <v>105126836.64</v>
      </c>
      <c r="AC68" s="56">
        <v>118392789.83</v>
      </c>
      <c r="AD68" s="56">
        <v>100421661.13</v>
      </c>
      <c r="AE68" s="56">
        <v>79911699.180000007</v>
      </c>
      <c r="AF68" s="56">
        <v>83859228.290000007</v>
      </c>
      <c r="AG68" s="56">
        <v>87400811.584384799</v>
      </c>
      <c r="AH68" s="56">
        <v>87632203.743354499</v>
      </c>
    </row>
    <row r="69" spans="2:34" x14ac:dyDescent="0.25">
      <c r="B69" t="str">
        <v>Weg ON</v>
      </c>
      <c r="C69" t="str">
        <v>Valor de Mercado</v>
      </c>
      <c r="D69" s="59">
        <v>0</v>
      </c>
      <c r="E69">
        <v>0</v>
      </c>
      <c r="F69" s="56">
        <v>322159.81627000001</v>
      </c>
      <c r="G69" s="56">
        <v>431676.37258999998</v>
      </c>
      <c r="H69" s="56">
        <v>354163.16631</v>
      </c>
      <c r="I69" s="56">
        <v>17428087.655999999</v>
      </c>
      <c r="J69" s="56">
        <v>16748049.408</v>
      </c>
      <c r="K69" s="56">
        <v>1182806.3655999999</v>
      </c>
      <c r="L69" s="56">
        <v>1911505.3699</v>
      </c>
      <c r="M69" s="56">
        <v>2974060.8</v>
      </c>
      <c r="N69" s="56">
        <v>4409856.78</v>
      </c>
      <c r="O69" s="56">
        <v>4693965.2</v>
      </c>
      <c r="P69" s="56">
        <v>8764123.1146000009</v>
      </c>
      <c r="Q69" s="56">
        <v>15564193.57</v>
      </c>
      <c r="R69" s="56">
        <v>7720334.1124999998</v>
      </c>
      <c r="S69" s="56">
        <v>11424652.533</v>
      </c>
      <c r="T69" s="56">
        <v>13535729.631999999</v>
      </c>
      <c r="U69" s="56">
        <v>11641816.444</v>
      </c>
      <c r="V69" s="56">
        <v>16737435.783</v>
      </c>
      <c r="W69" s="56">
        <v>19332645.976</v>
      </c>
      <c r="X69" s="56">
        <v>24682949.543000001</v>
      </c>
      <c r="Y69" s="56">
        <v>24112073.055</v>
      </c>
      <c r="Z69" s="56">
        <v>25006171.778000001</v>
      </c>
      <c r="AA69" s="56">
        <v>38890468.056000002</v>
      </c>
      <c r="AB69" s="56">
        <v>36784269.119000003</v>
      </c>
      <c r="AC69" s="56">
        <v>72700765.202000007</v>
      </c>
      <c r="AD69" s="56">
        <v>158882831.46000001</v>
      </c>
      <c r="AE69" s="56">
        <v>138384464.22</v>
      </c>
      <c r="AF69" s="56">
        <v>161588553.28999999</v>
      </c>
      <c r="AG69" s="56">
        <v>149411041.32284501</v>
      </c>
      <c r="AH69" s="56">
        <v>217445225.49279299</v>
      </c>
    </row>
    <row r="70" spans="2:34" x14ac:dyDescent="0.25">
      <c r="B70" t="str">
        <v>Btgp Banco UNT</v>
      </c>
      <c r="C70" t="str">
        <v>Valor de Mercado</v>
      </c>
      <c r="D70" s="59">
        <v>0</v>
      </c>
      <c r="E70">
        <v>0</v>
      </c>
      <c r="F70" s="56">
        <v>0</v>
      </c>
      <c r="G70" s="56">
        <v>0</v>
      </c>
      <c r="H70" s="56">
        <v>0</v>
      </c>
      <c r="I70" s="56">
        <v>17428087.655999999</v>
      </c>
      <c r="J70" s="56">
        <v>16748049.408</v>
      </c>
      <c r="K70" s="56">
        <v>0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0</v>
      </c>
      <c r="U70" s="56">
        <v>0</v>
      </c>
      <c r="V70" s="56">
        <v>0</v>
      </c>
      <c r="W70" s="56">
        <v>0</v>
      </c>
      <c r="X70" s="56">
        <v>0</v>
      </c>
      <c r="Y70" s="56">
        <v>0</v>
      </c>
      <c r="Z70" s="56">
        <v>0</v>
      </c>
      <c r="AA70" s="56">
        <v>19916268.627999999</v>
      </c>
      <c r="AB70" s="56">
        <v>21130685.302000001</v>
      </c>
      <c r="AC70" s="56">
        <v>90296461.743000001</v>
      </c>
      <c r="AD70" s="56">
        <v>105092856.16</v>
      </c>
      <c r="AE70" s="56">
        <v>117620172.55</v>
      </c>
      <c r="AF70" s="56">
        <v>120658235.91</v>
      </c>
      <c r="AG70" s="56">
        <v>120798903.10678101</v>
      </c>
      <c r="AH70" s="56">
        <v>89792482.459875003</v>
      </c>
    </row>
    <row r="71" spans="2:34" x14ac:dyDescent="0.25">
      <c r="B71" t="str">
        <v>Equatorial ON</v>
      </c>
      <c r="C71" t="str">
        <v>Valor de Mercado</v>
      </c>
      <c r="D71" s="59">
        <v>0</v>
      </c>
      <c r="E71">
        <v>0</v>
      </c>
      <c r="F71" s="56">
        <v>0</v>
      </c>
      <c r="G71" s="56">
        <v>0</v>
      </c>
      <c r="H71" s="56">
        <v>0</v>
      </c>
      <c r="I71" s="56">
        <v>17428087.655999999</v>
      </c>
      <c r="J71" s="56">
        <v>16748049.408</v>
      </c>
      <c r="K71" s="56">
        <v>0</v>
      </c>
      <c r="L71" s="56">
        <v>0</v>
      </c>
      <c r="M71" s="56">
        <v>0</v>
      </c>
      <c r="N71" s="56">
        <v>0</v>
      </c>
      <c r="O71" s="56">
        <v>0</v>
      </c>
      <c r="P71" s="56">
        <v>1235774.5833000001</v>
      </c>
      <c r="Q71" s="56">
        <v>1238810.5053999999</v>
      </c>
      <c r="R71" s="56">
        <v>1058492.76</v>
      </c>
      <c r="S71" s="56">
        <v>1954456.1</v>
      </c>
      <c r="T71" s="56">
        <v>1240620.105</v>
      </c>
      <c r="U71" s="56">
        <v>1383901.9342</v>
      </c>
      <c r="V71" s="56">
        <v>3469618.2845000001</v>
      </c>
      <c r="W71" s="56">
        <v>4594056.1988000004</v>
      </c>
      <c r="X71" s="56">
        <v>5496991.6503999997</v>
      </c>
      <c r="Y71" s="56">
        <v>6799630.9325000001</v>
      </c>
      <c r="Z71" s="56">
        <v>10807972.604</v>
      </c>
      <c r="AA71" s="56">
        <v>13047508.607999999</v>
      </c>
      <c r="AB71" s="56">
        <v>14820270.098999999</v>
      </c>
      <c r="AC71" s="56">
        <v>23022140.877</v>
      </c>
      <c r="AD71" s="56">
        <v>23371707.528999999</v>
      </c>
      <c r="AE71" s="56">
        <v>22195547.056000002</v>
      </c>
      <c r="AF71" s="56">
        <v>29723742.385000002</v>
      </c>
      <c r="AG71" s="56">
        <v>38672496.621704102</v>
      </c>
      <c r="AH71" s="56">
        <v>33422537.758338898</v>
      </c>
    </row>
    <row r="72" spans="2:34" x14ac:dyDescent="0.25">
      <c r="B72" t="str">
        <v>Suzano S.A. ON</v>
      </c>
      <c r="C72" t="str">
        <v>Valor de Mercado</v>
      </c>
      <c r="D72" s="59">
        <v>0</v>
      </c>
      <c r="E72">
        <v>0</v>
      </c>
      <c r="F72" s="56">
        <v>603760.51066000003</v>
      </c>
      <c r="G72" s="56">
        <v>451162</v>
      </c>
      <c r="H72" s="56">
        <v>122668.91164999999</v>
      </c>
      <c r="I72" s="56">
        <v>17428087.655999999</v>
      </c>
      <c r="J72" s="56">
        <v>16748049.408</v>
      </c>
      <c r="K72" s="56">
        <v>1238686.3788999999</v>
      </c>
      <c r="L72" s="56">
        <v>1344288.3507000001</v>
      </c>
      <c r="M72" s="56">
        <v>3470918.04</v>
      </c>
      <c r="N72" s="56">
        <v>3893128.3064000001</v>
      </c>
      <c r="O72" s="56">
        <v>3343715.76</v>
      </c>
      <c r="P72" s="56">
        <v>6638186.4000000004</v>
      </c>
      <c r="Q72" s="56">
        <v>9080596</v>
      </c>
      <c r="R72" s="56">
        <v>3705778.44</v>
      </c>
      <c r="S72" s="56">
        <v>6277187.7196000004</v>
      </c>
      <c r="T72" s="56">
        <v>5881715.7800000003</v>
      </c>
      <c r="U72" s="56">
        <v>2682189.7400000002</v>
      </c>
      <c r="V72" s="56">
        <v>7652031.6600000001</v>
      </c>
      <c r="W72" s="56">
        <v>10023533.52</v>
      </c>
      <c r="X72" s="56">
        <v>12224227.5</v>
      </c>
      <c r="Y72" s="56">
        <v>20340586.355999999</v>
      </c>
      <c r="Z72" s="56">
        <v>15480754.800000001</v>
      </c>
      <c r="AA72" s="56">
        <v>20409180.960000001</v>
      </c>
      <c r="AB72" s="56">
        <v>41651294.719999999</v>
      </c>
      <c r="AC72" s="56">
        <v>53537112.294</v>
      </c>
      <c r="AD72" s="56">
        <v>78983431.292999998</v>
      </c>
      <c r="AE72" s="56">
        <v>81101709.173999995</v>
      </c>
      <c r="AF72" s="56">
        <v>63163141.204000004</v>
      </c>
      <c r="AG72" s="56">
        <v>69461026.948010698</v>
      </c>
      <c r="AH72" s="56">
        <v>76560241.733335897</v>
      </c>
    </row>
    <row r="73" spans="2:34" x14ac:dyDescent="0.25">
      <c r="B73" t="str">
        <v>Petrorio ON</v>
      </c>
      <c r="C73" t="str">
        <v>Valor de Mercado</v>
      </c>
      <c r="D73" s="59">
        <v>0</v>
      </c>
      <c r="E73">
        <v>0</v>
      </c>
      <c r="F73" s="56">
        <v>0</v>
      </c>
      <c r="G73" s="56">
        <v>0</v>
      </c>
      <c r="H73" s="56">
        <v>0</v>
      </c>
      <c r="I73" s="56">
        <v>17428087.655999999</v>
      </c>
      <c r="J73" s="56">
        <v>16748049.408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7344764.9100000001</v>
      </c>
      <c r="U73" s="56">
        <v>3326348.2960000001</v>
      </c>
      <c r="V73" s="56">
        <v>1397301.8345000001</v>
      </c>
      <c r="W73" s="56">
        <v>270694.73885999998</v>
      </c>
      <c r="X73" s="56">
        <v>137437.83437999999</v>
      </c>
      <c r="Y73" s="56">
        <v>161553.67864999999</v>
      </c>
      <c r="Z73" s="56">
        <v>286357.95143999998</v>
      </c>
      <c r="AA73" s="56">
        <v>1024061.2348</v>
      </c>
      <c r="AB73" s="56">
        <v>1206248.3903999999</v>
      </c>
      <c r="AC73" s="56">
        <v>4419458.8163999999</v>
      </c>
      <c r="AD73" s="56">
        <v>9606915.6179000009</v>
      </c>
      <c r="AE73" s="56">
        <v>17347365.298</v>
      </c>
      <c r="AF73" s="56">
        <v>31386412.484000001</v>
      </c>
      <c r="AG73" s="56">
        <v>38448572.281398199</v>
      </c>
      <c r="AH73" s="56">
        <v>33498190.8154805</v>
      </c>
    </row>
    <row r="74" spans="2:34" x14ac:dyDescent="0.25">
      <c r="B74" t="str">
        <v>RaiaDrogasil ON</v>
      </c>
      <c r="C74" t="str">
        <v>Valor de Mercado</v>
      </c>
      <c r="D74" s="59">
        <v>0</v>
      </c>
      <c r="E74">
        <v>0</v>
      </c>
      <c r="F74" s="56">
        <v>0</v>
      </c>
      <c r="G74" s="56">
        <v>0</v>
      </c>
      <c r="H74" s="56">
        <v>0</v>
      </c>
      <c r="I74" s="56">
        <v>17428087.655999999</v>
      </c>
      <c r="J74" s="56">
        <v>16748049.408</v>
      </c>
      <c r="K74" s="56">
        <v>0</v>
      </c>
      <c r="L74" s="56">
        <v>0</v>
      </c>
      <c r="M74" s="56">
        <v>0</v>
      </c>
      <c r="N74" s="56">
        <v>45342.31</v>
      </c>
      <c r="O74" s="56">
        <v>38871.56</v>
      </c>
      <c r="P74" s="56">
        <v>233958.79</v>
      </c>
      <c r="Q74" s="56">
        <v>900692.1</v>
      </c>
      <c r="R74" s="56">
        <v>590600</v>
      </c>
      <c r="S74" s="56">
        <v>1660988</v>
      </c>
      <c r="T74" s="56">
        <v>2531744.7480000001</v>
      </c>
      <c r="U74" s="56">
        <v>4285106.42</v>
      </c>
      <c r="V74" s="56">
        <v>7622005.0199999996</v>
      </c>
      <c r="W74" s="56">
        <v>4883105.08</v>
      </c>
      <c r="X74" s="56">
        <v>8347400.0999999996</v>
      </c>
      <c r="Y74" s="56">
        <v>11683067.279999999</v>
      </c>
      <c r="Z74" s="56">
        <v>20163856.013</v>
      </c>
      <c r="AA74" s="56">
        <v>30267547.463</v>
      </c>
      <c r="AB74" s="56">
        <v>18821748.309999999</v>
      </c>
      <c r="AC74" s="56">
        <v>36802859.027999997</v>
      </c>
      <c r="AD74" s="56">
        <v>41302241.020999998</v>
      </c>
      <c r="AE74" s="56">
        <v>40025978.887999997</v>
      </c>
      <c r="AF74" s="56">
        <v>39084634.458999999</v>
      </c>
      <c r="AG74" s="56">
        <v>48948197.241164103</v>
      </c>
      <c r="AH74" s="56">
        <v>37137577.0694414</v>
      </c>
    </row>
    <row r="75" spans="2:34" x14ac:dyDescent="0.25">
      <c r="B75" t="str">
        <v>Rede D Or ON</v>
      </c>
      <c r="C75" t="str">
        <v>Valor de Mercado</v>
      </c>
      <c r="D75" s="59">
        <v>0</v>
      </c>
      <c r="E75">
        <v>0</v>
      </c>
      <c r="F75" s="56">
        <v>0</v>
      </c>
      <c r="G75" s="56">
        <v>0</v>
      </c>
      <c r="H75" s="56">
        <v>0</v>
      </c>
      <c r="I75" s="56">
        <v>17428087.655999999</v>
      </c>
      <c r="J75" s="56">
        <v>16748049.408</v>
      </c>
      <c r="K75" s="56">
        <v>0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0</v>
      </c>
      <c r="U75" s="56">
        <v>0</v>
      </c>
      <c r="V75" s="56">
        <v>0</v>
      </c>
      <c r="W75" s="56">
        <v>0</v>
      </c>
      <c r="X75" s="56">
        <v>0</v>
      </c>
      <c r="Y75" s="56">
        <v>0</v>
      </c>
      <c r="Z75" s="56">
        <v>0</v>
      </c>
      <c r="AA75" s="56">
        <v>0</v>
      </c>
      <c r="AB75" s="56">
        <v>0</v>
      </c>
      <c r="AC75" s="56">
        <v>0</v>
      </c>
      <c r="AD75" s="56">
        <v>132674559.33</v>
      </c>
      <c r="AE75" s="56">
        <v>88380248.525000006</v>
      </c>
      <c r="AF75" s="56">
        <v>66642510.478</v>
      </c>
      <c r="AG75" s="56">
        <v>62232760.572451197</v>
      </c>
      <c r="AH75" s="56">
        <v>55776662.637879401</v>
      </c>
    </row>
    <row r="76" spans="2:34" x14ac:dyDescent="0.25">
      <c r="B76" t="str">
        <v>Rumo S.A. ON</v>
      </c>
      <c r="C76" t="str">
        <v>Valor de Mercado</v>
      </c>
      <c r="D76" s="59">
        <v>0</v>
      </c>
      <c r="E76">
        <v>0</v>
      </c>
      <c r="F76" s="56">
        <v>0</v>
      </c>
      <c r="G76" s="56">
        <v>0</v>
      </c>
      <c r="H76" s="56">
        <v>0</v>
      </c>
      <c r="I76" s="56">
        <v>17428087.655999999</v>
      </c>
      <c r="J76" s="56">
        <v>16748049.408</v>
      </c>
      <c r="K76" s="56">
        <v>0</v>
      </c>
      <c r="L76" s="56">
        <v>0</v>
      </c>
      <c r="M76" s="56">
        <v>0</v>
      </c>
      <c r="N76" s="56">
        <v>3238260.9742000001</v>
      </c>
      <c r="O76" s="56">
        <v>4240517.835</v>
      </c>
      <c r="P76" s="56">
        <v>13743487.619999999</v>
      </c>
      <c r="Q76" s="56">
        <v>14589883.859999999</v>
      </c>
      <c r="R76" s="56">
        <v>6702784.2400000002</v>
      </c>
      <c r="S76" s="56">
        <v>13244743.800000001</v>
      </c>
      <c r="T76" s="56">
        <v>10328267.52</v>
      </c>
      <c r="U76" s="56">
        <v>6330368.9934</v>
      </c>
      <c r="V76" s="56">
        <v>5656491.0038000001</v>
      </c>
      <c r="W76" s="56">
        <v>4482508.6210000003</v>
      </c>
      <c r="X76" s="56">
        <v>3450912.2329000002</v>
      </c>
      <c r="Y76" s="56">
        <v>0</v>
      </c>
      <c r="Z76" s="56">
        <v>0</v>
      </c>
      <c r="AA76" s="56">
        <v>20220436.197000001</v>
      </c>
      <c r="AB76" s="56">
        <v>26503270.265999999</v>
      </c>
      <c r="AC76" s="56">
        <v>40690314.938000001</v>
      </c>
      <c r="AD76" s="56">
        <v>35646655.493000001</v>
      </c>
      <c r="AE76" s="56">
        <v>32914947.535999998</v>
      </c>
      <c r="AF76" s="56">
        <v>34472760.795999996</v>
      </c>
      <c r="AG76" s="56">
        <v>40493664.619115502</v>
      </c>
      <c r="AH76" s="56">
        <v>31642883.594042499</v>
      </c>
    </row>
    <row r="77" spans="2:34" x14ac:dyDescent="0.25">
      <c r="B77" t="str">
        <v>Gerdau PN</v>
      </c>
      <c r="C77" t="str">
        <v>Valor de Mercado</v>
      </c>
      <c r="D77" s="59">
        <v>0</v>
      </c>
      <c r="E77">
        <v>0</v>
      </c>
      <c r="F77" s="56">
        <v>377166.18703999999</v>
      </c>
      <c r="G77" s="56">
        <v>828018.59149999998</v>
      </c>
      <c r="H77" s="56">
        <v>536181.91628999996</v>
      </c>
      <c r="I77" s="56">
        <v>17428087.655999999</v>
      </c>
      <c r="J77" s="56">
        <v>16748049.408</v>
      </c>
      <c r="K77" s="56">
        <v>2198448.1589000002</v>
      </c>
      <c r="L77" s="56">
        <v>3438305.6164000002</v>
      </c>
      <c r="M77" s="56">
        <v>8393780.6199999992</v>
      </c>
      <c r="N77" s="56">
        <v>13401296.5</v>
      </c>
      <c r="O77" s="56">
        <v>15885852.699999999</v>
      </c>
      <c r="P77" s="56">
        <v>22256683.579999998</v>
      </c>
      <c r="Q77" s="56">
        <v>32239044.739999998</v>
      </c>
      <c r="R77" s="56">
        <v>19901731.600000001</v>
      </c>
      <c r="S77" s="56">
        <v>37941907.479999997</v>
      </c>
      <c r="T77" s="56">
        <v>31141151.02</v>
      </c>
      <c r="U77" s="56">
        <v>23434183.785999998</v>
      </c>
      <c r="V77" s="56">
        <v>29048061.258000001</v>
      </c>
      <c r="W77" s="56">
        <v>29396537.142999999</v>
      </c>
      <c r="X77" s="56">
        <v>15448754.681</v>
      </c>
      <c r="Y77" s="56">
        <v>7173878.3103</v>
      </c>
      <c r="Z77" s="56">
        <v>16798047.122000001</v>
      </c>
      <c r="AA77" s="56">
        <v>20011024.068</v>
      </c>
      <c r="AB77" s="56">
        <v>23661566.776000001</v>
      </c>
      <c r="AC77" s="56">
        <v>32325937.899</v>
      </c>
      <c r="AD77" s="56">
        <v>39208449.141999997</v>
      </c>
      <c r="AE77" s="56">
        <v>43759114.585000001</v>
      </c>
      <c r="AF77" s="56">
        <v>46079187.652999997</v>
      </c>
      <c r="AG77" s="56">
        <v>31445501.442035198</v>
      </c>
      <c r="AH77" s="56">
        <v>35680045.735257797</v>
      </c>
    </row>
    <row r="78" spans="2:34" x14ac:dyDescent="0.25">
      <c r="B78" t="str">
        <v>Ultrapar ON</v>
      </c>
      <c r="C78" t="str">
        <v>Valor de Mercado</v>
      </c>
      <c r="D78" s="59">
        <v>0</v>
      </c>
      <c r="E78">
        <v>0</v>
      </c>
      <c r="F78" s="56">
        <v>0</v>
      </c>
      <c r="G78" s="56">
        <v>0</v>
      </c>
      <c r="H78" s="56">
        <v>0</v>
      </c>
      <c r="I78" s="56">
        <v>17428087.655999999</v>
      </c>
      <c r="J78" s="56">
        <v>16748049.408</v>
      </c>
      <c r="K78" s="56">
        <v>991099.99462999997</v>
      </c>
      <c r="L78" s="56">
        <v>1483612.9802999999</v>
      </c>
      <c r="M78" s="56">
        <v>2358206.8108999999</v>
      </c>
      <c r="N78" s="56">
        <v>3544599.6030000001</v>
      </c>
      <c r="O78" s="56">
        <v>2636920</v>
      </c>
      <c r="P78" s="56">
        <v>3975881.43</v>
      </c>
      <c r="Q78" s="56">
        <v>5086494</v>
      </c>
      <c r="R78" s="56">
        <v>6804188.1600000001</v>
      </c>
      <c r="S78" s="56">
        <v>10730814.609999999</v>
      </c>
      <c r="T78" s="56">
        <v>14078250.1</v>
      </c>
      <c r="U78" s="56">
        <v>17163199.903999999</v>
      </c>
      <c r="V78" s="56">
        <v>24830531.848000001</v>
      </c>
      <c r="W78" s="56">
        <v>30012276.017999999</v>
      </c>
      <c r="X78" s="56">
        <v>28259269.563000001</v>
      </c>
      <c r="Y78" s="56">
        <v>32829412.083000001</v>
      </c>
      <c r="Z78" s="56">
        <v>37187087.502999999</v>
      </c>
      <c r="AA78" s="56">
        <v>40752280.5</v>
      </c>
      <c r="AB78" s="56">
        <v>28888395.18</v>
      </c>
      <c r="AC78" s="56">
        <v>27672041.699000001</v>
      </c>
      <c r="AD78" s="56">
        <v>25882916.881999999</v>
      </c>
      <c r="AE78" s="56">
        <v>15868247.755999999</v>
      </c>
      <c r="AF78" s="56">
        <v>13810453.387</v>
      </c>
      <c r="AG78" s="56">
        <v>26929302.108871099</v>
      </c>
      <c r="AH78" s="56">
        <v>16542474.6257664</v>
      </c>
    </row>
    <row r="79" spans="2:34" x14ac:dyDescent="0.25">
      <c r="B79" t="str">
        <v>JBS ON</v>
      </c>
      <c r="C79" t="str">
        <v>Valor de Mercado</v>
      </c>
      <c r="D79" s="59">
        <v>0</v>
      </c>
      <c r="E79">
        <v>0</v>
      </c>
      <c r="F79" s="56">
        <v>0</v>
      </c>
      <c r="G79" s="56">
        <v>0</v>
      </c>
      <c r="H79" s="56">
        <v>0</v>
      </c>
      <c r="I79" s="56">
        <v>17428087.655999999</v>
      </c>
      <c r="J79" s="56">
        <v>16748049.408</v>
      </c>
      <c r="K79" s="56">
        <v>0</v>
      </c>
      <c r="L79" s="56">
        <v>0</v>
      </c>
      <c r="M79" s="56">
        <v>0</v>
      </c>
      <c r="N79" s="56">
        <v>0</v>
      </c>
      <c r="O79" s="56">
        <v>0</v>
      </c>
      <c r="P79" s="56">
        <v>0</v>
      </c>
      <c r="Q79" s="56">
        <v>6464400</v>
      </c>
      <c r="R79" s="56">
        <v>6920993.9391999999</v>
      </c>
      <c r="S79" s="56">
        <v>21654846.423999999</v>
      </c>
      <c r="T79" s="56">
        <v>17872790.039000001</v>
      </c>
      <c r="U79" s="56">
        <v>18022684.967999998</v>
      </c>
      <c r="V79" s="56">
        <v>17076744.677999999</v>
      </c>
      <c r="W79" s="56">
        <v>25156340.079999998</v>
      </c>
      <c r="X79" s="56">
        <v>32354722.691</v>
      </c>
      <c r="Y79" s="56">
        <v>34492401.512000002</v>
      </c>
      <c r="Z79" s="56">
        <v>31026199.576000001</v>
      </c>
      <c r="AA79" s="56">
        <v>26581915.370000001</v>
      </c>
      <c r="AB79" s="56">
        <v>30865422.265000001</v>
      </c>
      <c r="AC79" s="56">
        <v>68758050.807999998</v>
      </c>
      <c r="AD79" s="56">
        <v>61765024.954000004</v>
      </c>
      <c r="AE79" s="56">
        <v>87049860.662</v>
      </c>
      <c r="AF79" s="56">
        <v>48776378.976000004</v>
      </c>
      <c r="AG79" s="56">
        <v>0</v>
      </c>
      <c r="AH79" s="56">
        <v>0</v>
      </c>
    </row>
    <row r="80" spans="2:34" x14ac:dyDescent="0.25">
      <c r="B80" t="str">
        <v>Vibra ON</v>
      </c>
      <c r="C80" t="str">
        <v>Valor de Mercado</v>
      </c>
      <c r="D80" s="59">
        <v>0</v>
      </c>
      <c r="E80">
        <v>0</v>
      </c>
      <c r="F80" s="56">
        <v>377166.18703999999</v>
      </c>
      <c r="G80" s="56">
        <v>828018.59149999998</v>
      </c>
      <c r="H80" s="56">
        <v>536181.91628999996</v>
      </c>
      <c r="I80" s="56">
        <v>17428087.655999999</v>
      </c>
      <c r="J80" s="56">
        <v>16748049.408</v>
      </c>
      <c r="K80" s="56">
        <v>2198448.1589000002</v>
      </c>
      <c r="L80" s="56">
        <v>3438305.6164000002</v>
      </c>
      <c r="M80" s="56">
        <v>8393780.6199999992</v>
      </c>
      <c r="N80" s="56">
        <v>13401296.5</v>
      </c>
      <c r="O80" s="56">
        <v>15885852.699999999</v>
      </c>
      <c r="P80" s="56">
        <v>22256683.579999998</v>
      </c>
      <c r="Q80" s="56">
        <v>32239044.739999998</v>
      </c>
      <c r="R80" s="56">
        <v>19901731.600000001</v>
      </c>
      <c r="S80" s="56">
        <v>37941907.479999997</v>
      </c>
      <c r="T80" s="56">
        <v>31141151.02</v>
      </c>
      <c r="U80" s="56">
        <v>23434183.785999998</v>
      </c>
      <c r="V80" s="56">
        <v>29048061.258000001</v>
      </c>
      <c r="W80" s="56">
        <v>29396537.142999999</v>
      </c>
      <c r="X80" s="56">
        <v>15448754.681</v>
      </c>
      <c r="Y80" s="56">
        <v>7173878.3103</v>
      </c>
      <c r="Z80" s="56">
        <v>16798047.122000001</v>
      </c>
      <c r="AA80" s="56">
        <v>20011024.068</v>
      </c>
      <c r="AB80" s="56">
        <v>23661566.776000001</v>
      </c>
      <c r="AC80" s="56">
        <v>32325937.899</v>
      </c>
      <c r="AD80" s="56">
        <v>39208449.141999997</v>
      </c>
      <c r="AE80" s="56">
        <v>43759114.585000001</v>
      </c>
      <c r="AF80" s="56">
        <v>46079187.652999997</v>
      </c>
      <c r="AG80" s="56">
        <v>22555314.7205039</v>
      </c>
      <c r="AH80" s="56">
        <v>19004389.032334</v>
      </c>
    </row>
    <row r="81" spans="2:34" x14ac:dyDescent="0.25">
      <c r="B81" t="str">
        <v>BBSeguridade ON</v>
      </c>
      <c r="C81" t="str">
        <v>Valor de Mercado</v>
      </c>
      <c r="D81" s="59">
        <v>0</v>
      </c>
      <c r="E81">
        <v>0</v>
      </c>
      <c r="F81" s="56">
        <v>0</v>
      </c>
      <c r="G81" s="56">
        <v>0</v>
      </c>
      <c r="H81" s="56">
        <v>0</v>
      </c>
      <c r="I81" s="56">
        <v>17428087.655999999</v>
      </c>
      <c r="J81" s="56">
        <v>16748049.408</v>
      </c>
      <c r="K81" s="56">
        <v>0</v>
      </c>
      <c r="L81" s="56">
        <v>0</v>
      </c>
      <c r="M81" s="56">
        <v>0</v>
      </c>
      <c r="N81" s="56">
        <v>0</v>
      </c>
      <c r="O81" s="56">
        <v>0</v>
      </c>
      <c r="P81" s="56">
        <v>0</v>
      </c>
      <c r="Q81" s="56">
        <v>0</v>
      </c>
      <c r="R81" s="56">
        <v>0</v>
      </c>
      <c r="S81" s="56">
        <v>0</v>
      </c>
      <c r="T81" s="56">
        <v>0</v>
      </c>
      <c r="U81" s="56">
        <v>0</v>
      </c>
      <c r="V81" s="56">
        <v>0</v>
      </c>
      <c r="W81" s="56">
        <v>49000000</v>
      </c>
      <c r="X81" s="56">
        <v>64319701.329999998</v>
      </c>
      <c r="Y81" s="56">
        <v>48613688.283</v>
      </c>
      <c r="Z81" s="56">
        <v>56503965.280000001</v>
      </c>
      <c r="AA81" s="56">
        <v>56883033.858000003</v>
      </c>
      <c r="AB81" s="56">
        <v>55086113.520000003</v>
      </c>
      <c r="AC81" s="56">
        <v>75271863.996000007</v>
      </c>
      <c r="AD81" s="56">
        <v>59160285.597999997</v>
      </c>
      <c r="AE81" s="56">
        <v>41431245.476999998</v>
      </c>
      <c r="AF81" s="56">
        <v>67309648.056999996</v>
      </c>
      <c r="AG81" s="56">
        <v>55058533.415562503</v>
      </c>
      <c r="AH81" s="56">
        <v>62507208.602480002</v>
      </c>
    </row>
    <row r="82" spans="2:34" x14ac:dyDescent="0.25">
      <c r="C82" s="52" t="s">
        <v>112</v>
      </c>
      <c r="D82" s="54"/>
      <c r="E82" s="54"/>
      <c r="F82" s="57">
        <f>+ AVERAGEIF(F58:F81, "&lt;&gt;",F58:F81)</f>
        <v>3636440.9590212493</v>
      </c>
      <c r="G82" s="57">
        <f t="shared" ref="G82" si="29">+ AVERAGEIF(G58:G81, "&lt;&gt;",G58:G81)</f>
        <v>4885548.7866412504</v>
      </c>
      <c r="H82" s="57">
        <f t="shared" ref="H82" si="30">+ AVERAGEIF(H58:H81, "&lt;&gt;",H58:H81)</f>
        <v>2654967.5366516658</v>
      </c>
      <c r="I82" s="57">
        <f t="shared" ref="I82" si="31">+ AVERAGEIF(I58:I81, "&lt;&gt;",I58:I81)</f>
        <v>17428087.656000003</v>
      </c>
      <c r="J82" s="57">
        <f t="shared" ref="J82" si="32">+ AVERAGEIF(J58:J81, "&lt;&gt;",J58:J81)</f>
        <v>16748049.407999994</v>
      </c>
      <c r="K82" s="57">
        <f t="shared" ref="K82" si="33">+ AVERAGEIF(K58:K81, "&lt;&gt;",K58:K81)</f>
        <v>9472444.0847054161</v>
      </c>
      <c r="L82" s="57">
        <f t="shared" ref="L82" si="34">+ AVERAGEIF(L58:L81, "&lt;&gt;",L58:L81)</f>
        <v>9947228.3855666649</v>
      </c>
      <c r="M82" s="57">
        <f t="shared" ref="M82" si="35">+ AVERAGEIF(M58:M81, "&lt;&gt;",M58:M81)</f>
        <v>16598655.5595375</v>
      </c>
      <c r="N82" s="57">
        <f t="shared" ref="N82" si="36">+ AVERAGEIF(N58:N81, "&lt;&gt;",N58:N81)</f>
        <v>22385648.777441669</v>
      </c>
      <c r="O82" s="57">
        <f t="shared" ref="O82" si="37">+ AVERAGEIF(O58:O81, "&lt;&gt;",O58:O81)</f>
        <v>31265504.918229174</v>
      </c>
      <c r="P82" s="57">
        <f t="shared" ref="P82" si="38">+ AVERAGEIF(P58:P81, "&lt;&gt;",P58:P81)</f>
        <v>43177086.45160833</v>
      </c>
      <c r="Q82" s="57">
        <f t="shared" ref="Q82" si="39">+ AVERAGEIF(Q58:Q81, "&lt;&gt;",Q58:Q81)</f>
        <v>70558821.888474971</v>
      </c>
      <c r="R82" s="57">
        <f t="shared" ref="R82" si="40">+ AVERAGEIF(R58:R81, "&lt;&gt;",R58:R81)</f>
        <v>41359651.922445841</v>
      </c>
      <c r="S82" s="57">
        <f t="shared" ref="S82" si="41">+ AVERAGEIF(S58:S81, "&lt;&gt;",S58:S81)</f>
        <v>68143727.025024995</v>
      </c>
      <c r="T82" s="57">
        <f t="shared" ref="T82" si="42">+ AVERAGEIF(T58:T81, "&lt;&gt;",T58:T81)</f>
        <v>74636548.052620828</v>
      </c>
      <c r="U82" s="57">
        <f t="shared" ref="U82" si="43">+ AVERAGEIF(U58:U81, "&lt;&gt;",U58:U81)</f>
        <v>62419243.901075013</v>
      </c>
      <c r="V82" s="57">
        <f t="shared" ref="V82" si="44">+ AVERAGEIF(V58:V81, "&lt;&gt;",V58:V81)</f>
        <v>65925295.749704152</v>
      </c>
      <c r="W82" s="57">
        <f t="shared" ref="W82" si="45">+ AVERAGEIF(W58:W81, "&lt;&gt;",W58:W81)</f>
        <v>63575449.478831649</v>
      </c>
      <c r="X82" s="57">
        <f t="shared" ref="X82" si="46">+ AVERAGEIF(X58:X81, "&lt;&gt;",X58:X81)</f>
        <v>54768640.622215807</v>
      </c>
      <c r="Y82" s="57">
        <f t="shared" ref="Y82" si="47">+ AVERAGEIF(Y58:Y81, "&lt;&gt;",Y58:Y81)</f>
        <v>46241574.621685416</v>
      </c>
      <c r="Z82" s="57">
        <f t="shared" ref="Z82" si="48">+ AVERAGEIF(Z58:Z81, "&lt;&gt;",Z58:Z81)</f>
        <v>67058847.716268338</v>
      </c>
      <c r="AA82" s="57">
        <f t="shared" ref="AA82" si="49">+ AVERAGEIF(AA58:AA81, "&lt;&gt;",AA58:AA81)</f>
        <v>83329072.573200017</v>
      </c>
      <c r="AB82" s="57">
        <f t="shared" ref="AB82" si="50">+ AVERAGEIF(AB58:AB81, "&lt;&gt;",AB58:AB81)</f>
        <v>98414332.488891646</v>
      </c>
      <c r="AC82" s="57">
        <f t="shared" ref="AC82" si="51">+ AVERAGEIF(AC58:AC81, "&lt;&gt;",AC58:AC81)</f>
        <v>125036623.84564169</v>
      </c>
      <c r="AD82" s="57">
        <f t="shared" ref="AD82" si="52">+ AVERAGEIF(AD58:AD81, "&lt;&gt;",AD58:AD81)</f>
        <v>133965986.58078749</v>
      </c>
      <c r="AE82" s="57">
        <f t="shared" ref="AE82" si="53">+ AVERAGEIF(AE58:AE81, "&lt;&gt;",AE58:AE81)</f>
        <v>118927711.98433335</v>
      </c>
      <c r="AF82" s="57">
        <f t="shared" ref="AF82" si="54">+ AVERAGEIF(AF58:AF81, "&lt;&gt;",AF58:AF81)</f>
        <v>119902809.22470836</v>
      </c>
      <c r="AG82" s="57">
        <f t="shared" ref="AG82" si="55">+ AVERAGEIF(AG58:AG81, "&lt;&gt;",AG58:AG81)</f>
        <v>113203825.37502472</v>
      </c>
      <c r="AH82" s="57">
        <f t="shared" ref="AH82" si="56">+ AVERAGEIF(AH58:AH81, "&lt;&gt;",AH58:AH81)</f>
        <v>114290169.37302969</v>
      </c>
    </row>
    <row r="86" spans="2:34" x14ac:dyDescent="0.25">
      <c r="C86" s="55" t="str">
        <f>+C57</f>
        <v>Ano</v>
      </c>
      <c r="E86" s="62">
        <v>1995</v>
      </c>
      <c r="F86" s="55">
        <v>1996</v>
      </c>
      <c r="G86" s="55">
        <v>1997</v>
      </c>
      <c r="H86" s="55">
        <v>1998</v>
      </c>
      <c r="I86" s="55">
        <v>1999</v>
      </c>
      <c r="J86" s="55">
        <v>2000</v>
      </c>
      <c r="K86" s="55">
        <v>2001</v>
      </c>
      <c r="L86" s="55">
        <v>2002</v>
      </c>
      <c r="M86" s="55">
        <v>2003</v>
      </c>
      <c r="N86" s="55">
        <v>2004</v>
      </c>
      <c r="O86" s="55">
        <v>2005</v>
      </c>
      <c r="P86" s="55">
        <v>2006</v>
      </c>
      <c r="Q86" s="55">
        <v>2007</v>
      </c>
      <c r="R86" s="55">
        <v>2008</v>
      </c>
      <c r="S86" s="55">
        <v>2009</v>
      </c>
      <c r="T86" s="55">
        <v>2010</v>
      </c>
      <c r="U86" s="55">
        <v>2011</v>
      </c>
      <c r="V86" s="55">
        <v>2012</v>
      </c>
      <c r="W86" s="55">
        <v>2013</v>
      </c>
      <c r="X86" s="55">
        <v>2014</v>
      </c>
      <c r="Y86" s="55">
        <v>2015</v>
      </c>
      <c r="Z86" s="55">
        <v>2016</v>
      </c>
      <c r="AA86" s="55">
        <v>2017</v>
      </c>
      <c r="AB86" s="55">
        <v>2018</v>
      </c>
      <c r="AC86" s="55">
        <v>2019</v>
      </c>
      <c r="AD86" s="55">
        <v>2020</v>
      </c>
      <c r="AE86" s="55">
        <v>2021</v>
      </c>
      <c r="AF86" s="55">
        <v>2022</v>
      </c>
      <c r="AG86" s="55">
        <v>2023</v>
      </c>
      <c r="AH86" s="55">
        <v>2024</v>
      </c>
    </row>
    <row r="87" spans="2:34" x14ac:dyDescent="0.25">
      <c r="C87" s="52" t="str">
        <f>+C2</f>
        <v xml:space="preserve">PL </v>
      </c>
      <c r="F87" s="64">
        <f>+F26</f>
        <v>5526738.166666667</v>
      </c>
      <c r="G87" s="64">
        <f t="shared" ref="G87:AH87" si="57">+G26</f>
        <v>5793103</v>
      </c>
      <c r="H87" s="64">
        <f t="shared" si="57"/>
        <v>5880635.833333333</v>
      </c>
      <c r="I87" s="64">
        <f t="shared" si="57"/>
        <v>10502002</v>
      </c>
      <c r="J87" s="64">
        <f t="shared" si="57"/>
        <v>10565590</v>
      </c>
      <c r="K87" s="64">
        <f t="shared" si="57"/>
        <v>7376538.958333333</v>
      </c>
      <c r="L87" s="64">
        <f t="shared" si="57"/>
        <v>8263626.333333333</v>
      </c>
      <c r="M87" s="64">
        <f t="shared" si="57"/>
        <v>10191028.666666666</v>
      </c>
      <c r="N87" s="64">
        <f t="shared" si="57"/>
        <v>12583569.416666666</v>
      </c>
      <c r="O87" s="64">
        <f t="shared" si="57"/>
        <v>15178619.958333334</v>
      </c>
      <c r="P87" s="64">
        <f t="shared" si="57"/>
        <v>18608572.833333332</v>
      </c>
      <c r="Q87" s="64">
        <f t="shared" si="57"/>
        <v>22085872.791666668</v>
      </c>
      <c r="R87" s="64">
        <f t="shared" si="57"/>
        <v>28545893.333333332</v>
      </c>
      <c r="S87" s="64">
        <f t="shared" si="57"/>
        <v>31496027.875</v>
      </c>
      <c r="T87" s="64">
        <f t="shared" si="57"/>
        <v>46586719.625</v>
      </c>
      <c r="U87" s="64">
        <f t="shared" si="57"/>
        <v>52231011.625</v>
      </c>
      <c r="V87" s="64">
        <f t="shared" si="57"/>
        <v>55019000.125</v>
      </c>
      <c r="W87" s="64">
        <f t="shared" si="57"/>
        <v>56580295.791666664</v>
      </c>
      <c r="X87" s="64">
        <f t="shared" si="57"/>
        <v>55046320.208333336</v>
      </c>
      <c r="Y87" s="64">
        <f t="shared" si="57"/>
        <v>51032526.041666664</v>
      </c>
      <c r="Z87" s="64">
        <f t="shared" si="57"/>
        <v>51211055.333333336</v>
      </c>
      <c r="AA87" s="64">
        <f t="shared" si="57"/>
        <v>55172472.708333336</v>
      </c>
      <c r="AB87" s="64">
        <f t="shared" si="57"/>
        <v>59565044.333333336</v>
      </c>
      <c r="AC87" s="64">
        <f t="shared" si="57"/>
        <v>63223876.916666664</v>
      </c>
      <c r="AD87" s="64">
        <f t="shared" si="57"/>
        <v>68853305.458333328</v>
      </c>
      <c r="AE87" s="64">
        <f t="shared" si="57"/>
        <v>80023988.291666672</v>
      </c>
      <c r="AF87" s="64">
        <f t="shared" si="57"/>
        <v>83785578.041666672</v>
      </c>
      <c r="AG87" s="64">
        <f t="shared" si="57"/>
        <v>83785578.041666672</v>
      </c>
      <c r="AH87" s="64">
        <f t="shared" si="57"/>
        <v>83785578.041666672</v>
      </c>
    </row>
    <row r="88" spans="2:34" x14ac:dyDescent="0.25">
      <c r="C88" s="52" t="s">
        <v>115</v>
      </c>
      <c r="F88" s="64">
        <f>+F54</f>
        <v>5940284.0027488843</v>
      </c>
      <c r="G88" s="64">
        <f t="shared" ref="G88:AH88" si="58">+G54</f>
        <v>6453370.1242260532</v>
      </c>
      <c r="H88" s="64">
        <f t="shared" si="58"/>
        <v>6563084.5305738999</v>
      </c>
      <c r="I88" s="64">
        <f t="shared" si="58"/>
        <v>11710396.299722428</v>
      </c>
      <c r="J88" s="64">
        <f t="shared" si="58"/>
        <v>12108699.866886159</v>
      </c>
      <c r="K88" s="64">
        <f t="shared" si="58"/>
        <v>9431434.2422220279</v>
      </c>
      <c r="L88" s="64">
        <f t="shared" si="58"/>
        <v>11497308.863237871</v>
      </c>
      <c r="M88" s="64">
        <f t="shared" si="58"/>
        <v>14428626.975163391</v>
      </c>
      <c r="N88" s="64">
        <f t="shared" si="58"/>
        <v>17664386.02294236</v>
      </c>
      <c r="O88" s="64">
        <f t="shared" si="58"/>
        <v>20778535.021291897</v>
      </c>
      <c r="P88" s="64">
        <f t="shared" si="58"/>
        <v>24016706.281974792</v>
      </c>
      <c r="Q88" s="64">
        <f t="shared" si="58"/>
        <v>27825463.908051047</v>
      </c>
      <c r="R88" s="64">
        <f t="shared" si="58"/>
        <v>35273493.090462722</v>
      </c>
      <c r="S88" s="64">
        <f t="shared" si="58"/>
        <v>38728536.076907001</v>
      </c>
      <c r="T88" s="64">
        <f t="shared" si="58"/>
        <v>55526112.852854602</v>
      </c>
      <c r="U88" s="64">
        <f t="shared" si="58"/>
        <v>63899879.153402716</v>
      </c>
      <c r="V88" s="64">
        <f t="shared" si="58"/>
        <v>68408905.466267988</v>
      </c>
      <c r="W88" s="64">
        <f t="shared" si="58"/>
        <v>73042500.864188507</v>
      </c>
      <c r="X88" s="64">
        <f t="shared" si="58"/>
        <v>74445348.434930861</v>
      </c>
      <c r="Y88" s="64">
        <f t="shared" si="58"/>
        <v>72404625.548879132</v>
      </c>
      <c r="Z88" s="64">
        <f t="shared" si="58"/>
        <v>71390422.241581187</v>
      </c>
      <c r="AA88" s="64">
        <f t="shared" si="58"/>
        <v>72365075.463984594</v>
      </c>
      <c r="AB88" s="64">
        <f t="shared" si="58"/>
        <v>76529801.120903</v>
      </c>
      <c r="AC88" s="64">
        <f t="shared" si="58"/>
        <v>80481833.231146649</v>
      </c>
      <c r="AD88" s="64">
        <f t="shared" si="58"/>
        <v>83197352.937717006</v>
      </c>
      <c r="AE88" s="64">
        <f t="shared" si="58"/>
        <v>94050537.704700246</v>
      </c>
      <c r="AF88" s="64">
        <f t="shared" si="58"/>
        <v>92849980.39445807</v>
      </c>
      <c r="AG88" s="64">
        <f t="shared" si="58"/>
        <v>86613731.086759657</v>
      </c>
      <c r="AH88" s="64">
        <f t="shared" si="58"/>
        <v>84311118.898801744</v>
      </c>
    </row>
    <row r="89" spans="2:34" x14ac:dyDescent="0.25">
      <c r="C89" s="52" t="str">
        <f>+C58</f>
        <v>Valor de Mercado</v>
      </c>
      <c r="F89" s="64">
        <f>+F82</f>
        <v>3636440.9590212493</v>
      </c>
      <c r="G89" s="64">
        <f t="shared" ref="G89:AH89" si="59">+G82</f>
        <v>4885548.7866412504</v>
      </c>
      <c r="H89" s="64">
        <f t="shared" si="59"/>
        <v>2654967.5366516658</v>
      </c>
      <c r="I89" s="64">
        <f t="shared" si="59"/>
        <v>17428087.656000003</v>
      </c>
      <c r="J89" s="64">
        <f t="shared" si="59"/>
        <v>16748049.407999994</v>
      </c>
      <c r="K89" s="64">
        <f t="shared" si="59"/>
        <v>9472444.0847054161</v>
      </c>
      <c r="L89" s="64">
        <f t="shared" si="59"/>
        <v>9947228.3855666649</v>
      </c>
      <c r="M89" s="64">
        <f t="shared" si="59"/>
        <v>16598655.5595375</v>
      </c>
      <c r="N89" s="64">
        <f t="shared" si="59"/>
        <v>22385648.777441669</v>
      </c>
      <c r="O89" s="64">
        <f t="shared" si="59"/>
        <v>31265504.918229174</v>
      </c>
      <c r="P89" s="64">
        <f t="shared" si="59"/>
        <v>43177086.45160833</v>
      </c>
      <c r="Q89" s="64">
        <f t="shared" si="59"/>
        <v>70558821.888474971</v>
      </c>
      <c r="R89" s="64">
        <f t="shared" si="59"/>
        <v>41359651.922445841</v>
      </c>
      <c r="S89" s="64">
        <f t="shared" si="59"/>
        <v>68143727.025024995</v>
      </c>
      <c r="T89" s="64">
        <f t="shared" si="59"/>
        <v>74636548.052620828</v>
      </c>
      <c r="U89" s="64">
        <f t="shared" si="59"/>
        <v>62419243.901075013</v>
      </c>
      <c r="V89" s="64">
        <f t="shared" si="59"/>
        <v>65925295.749704152</v>
      </c>
      <c r="W89" s="64">
        <f t="shared" si="59"/>
        <v>63575449.478831649</v>
      </c>
      <c r="X89" s="64">
        <f t="shared" si="59"/>
        <v>54768640.622215807</v>
      </c>
      <c r="Y89" s="64">
        <f t="shared" si="59"/>
        <v>46241574.621685416</v>
      </c>
      <c r="Z89" s="64">
        <f t="shared" si="59"/>
        <v>67058847.716268338</v>
      </c>
      <c r="AA89" s="64">
        <f t="shared" si="59"/>
        <v>83329072.573200017</v>
      </c>
      <c r="AB89" s="64">
        <f t="shared" si="59"/>
        <v>98414332.488891646</v>
      </c>
      <c r="AC89" s="64">
        <f t="shared" si="59"/>
        <v>125036623.84564169</v>
      </c>
      <c r="AD89" s="64">
        <f t="shared" si="59"/>
        <v>133965986.58078749</v>
      </c>
      <c r="AE89" s="64">
        <f t="shared" si="59"/>
        <v>118927711.98433335</v>
      </c>
      <c r="AF89" s="64">
        <f t="shared" si="59"/>
        <v>119902809.22470836</v>
      </c>
      <c r="AG89" s="64">
        <f t="shared" si="59"/>
        <v>113203825.37502472</v>
      </c>
      <c r="AH89" s="64">
        <f t="shared" si="59"/>
        <v>114290169.37302969</v>
      </c>
    </row>
    <row r="90" spans="2:34" x14ac:dyDescent="0.25">
      <c r="C90" s="52" t="s">
        <v>116</v>
      </c>
      <c r="F90" s="64">
        <f>+F89-F87</f>
        <v>-1890297.2076454177</v>
      </c>
      <c r="G90" s="64">
        <f t="shared" ref="G90:AH90" si="60">+G89-G87</f>
        <v>-907554.21335874964</v>
      </c>
      <c r="H90" s="64">
        <f t="shared" si="60"/>
        <v>-3225668.2966816672</v>
      </c>
      <c r="I90" s="64">
        <f t="shared" si="60"/>
        <v>6926085.6560000032</v>
      </c>
      <c r="J90" s="64">
        <f t="shared" si="60"/>
        <v>6182459.4079999942</v>
      </c>
      <c r="K90" s="64">
        <f t="shared" si="60"/>
        <v>2095905.1263720831</v>
      </c>
      <c r="L90" s="64">
        <f t="shared" si="60"/>
        <v>1683602.0522333318</v>
      </c>
      <c r="M90" s="64">
        <f t="shared" si="60"/>
        <v>6407626.8928708341</v>
      </c>
      <c r="N90" s="64">
        <f t="shared" si="60"/>
        <v>9802079.3607750032</v>
      </c>
      <c r="O90" s="64">
        <f t="shared" si="60"/>
        <v>16086884.95989584</v>
      </c>
      <c r="P90" s="64">
        <f t="shared" si="60"/>
        <v>24568513.618274998</v>
      </c>
      <c r="Q90" s="64">
        <f t="shared" si="60"/>
        <v>48472949.096808299</v>
      </c>
      <c r="R90" s="64">
        <f t="shared" si="60"/>
        <v>12813758.589112509</v>
      </c>
      <c r="S90" s="64">
        <f t="shared" si="60"/>
        <v>36647699.150024995</v>
      </c>
      <c r="T90" s="64">
        <f t="shared" si="60"/>
        <v>28049828.427620828</v>
      </c>
      <c r="U90" s="64">
        <f t="shared" si="60"/>
        <v>10188232.276075013</v>
      </c>
      <c r="V90" s="64">
        <f t="shared" si="60"/>
        <v>10906295.624704152</v>
      </c>
      <c r="W90" s="64">
        <f t="shared" si="60"/>
        <v>6995153.6871649846</v>
      </c>
      <c r="X90" s="64">
        <f t="shared" si="60"/>
        <v>-277679.58611752838</v>
      </c>
      <c r="Y90" s="64">
        <f t="shared" si="60"/>
        <v>-4790951.4199812487</v>
      </c>
      <c r="Z90" s="64">
        <f t="shared" si="60"/>
        <v>15847792.382935002</v>
      </c>
      <c r="AA90" s="64">
        <f t="shared" si="60"/>
        <v>28156599.864866681</v>
      </c>
      <c r="AB90" s="64">
        <f t="shared" si="60"/>
        <v>38849288.15555831</v>
      </c>
      <c r="AC90" s="64">
        <f t="shared" si="60"/>
        <v>61812746.928975023</v>
      </c>
      <c r="AD90" s="64">
        <f t="shared" si="60"/>
        <v>65112681.122454166</v>
      </c>
      <c r="AE90" s="64">
        <f t="shared" si="60"/>
        <v>38903723.69266668</v>
      </c>
      <c r="AF90" s="64">
        <f t="shared" si="60"/>
        <v>36117231.183041692</v>
      </c>
      <c r="AG90" s="64">
        <f t="shared" si="60"/>
        <v>29418247.333358049</v>
      </c>
      <c r="AH90" s="64">
        <f t="shared" si="60"/>
        <v>30504591.331363022</v>
      </c>
    </row>
    <row r="92" spans="2:34" x14ac:dyDescent="0.25">
      <c r="C92" t="s">
        <v>114</v>
      </c>
      <c r="E92" s="63">
        <v>4.7067850384898762</v>
      </c>
      <c r="F92" s="58">
        <v>4.2088216853686333</v>
      </c>
      <c r="G92" s="58">
        <v>3.9504102693106198</v>
      </c>
      <c r="H92" s="58">
        <v>3.8695753190149711</v>
      </c>
      <c r="I92" s="58">
        <v>3.4699608215668913</v>
      </c>
      <c r="J92" s="58">
        <v>3.2181379839264785</v>
      </c>
      <c r="K92" s="58">
        <v>2.917653927673892</v>
      </c>
      <c r="L92" s="58">
        <v>2.4814306653104876</v>
      </c>
      <c r="M92" s="58">
        <v>2.1852064641450037</v>
      </c>
      <c r="N92" s="58">
        <v>1.9602290558968427</v>
      </c>
      <c r="O92" s="58">
        <v>1.8008601153343196</v>
      </c>
      <c r="P92" s="58">
        <v>1.7155905713925925</v>
      </c>
      <c r="Q92" s="58">
        <v>1.5996463444309716</v>
      </c>
      <c r="R92" s="58">
        <v>1.4548124121161208</v>
      </c>
      <c r="S92" s="58">
        <v>1.3533816624639261</v>
      </c>
      <c r="T92" s="58">
        <v>1.2220580327296049</v>
      </c>
      <c r="U92" s="58">
        <v>1.086439467351743</v>
      </c>
      <c r="V92" s="58">
        <v>0.97131468948577337</v>
      </c>
      <c r="W92" s="58">
        <v>0.86131119770160836</v>
      </c>
      <c r="X92" s="58">
        <v>0.74918823202857632</v>
      </c>
      <c r="Y92" s="58">
        <v>0.58054416917735296</v>
      </c>
      <c r="Z92" s="58">
        <v>0.48701116678648315</v>
      </c>
      <c r="AA92" s="58">
        <v>0.44440132762164497</v>
      </c>
      <c r="AB92" s="58">
        <v>0.39219405071965729</v>
      </c>
      <c r="AC92" s="58">
        <v>0.33466978306936768</v>
      </c>
      <c r="AD92" s="58">
        <v>0.27695157201432052</v>
      </c>
      <c r="AE92" s="58">
        <v>0.16023221153400025</v>
      </c>
      <c r="AF92" s="58">
        <v>9.6731459999999991E-2</v>
      </c>
      <c r="AG92" s="58">
        <v>4.830000000000001E-2</v>
      </c>
      <c r="AH92" s="58">
        <v>0</v>
      </c>
    </row>
    <row r="93" spans="2:34" x14ac:dyDescent="0.25">
      <c r="E93" s="59"/>
    </row>
    <row r="94" spans="2:34" x14ac:dyDescent="0.25">
      <c r="C94" s="55" t="str">
        <f>+C86</f>
        <v>Ano</v>
      </c>
      <c r="E94" s="62"/>
      <c r="F94" s="55">
        <v>1996</v>
      </c>
      <c r="G94" s="55">
        <v>1997</v>
      </c>
      <c r="H94" s="55">
        <v>1998</v>
      </c>
      <c r="I94" s="55">
        <v>1999</v>
      </c>
      <c r="J94" s="55">
        <v>2000</v>
      </c>
      <c r="K94" s="55">
        <v>2001</v>
      </c>
      <c r="L94" s="55">
        <v>2002</v>
      </c>
      <c r="M94" s="55">
        <v>2003</v>
      </c>
      <c r="N94" s="55">
        <v>2004</v>
      </c>
      <c r="O94" s="55">
        <v>2005</v>
      </c>
      <c r="P94" s="55">
        <v>2006</v>
      </c>
      <c r="Q94" s="55">
        <v>2007</v>
      </c>
      <c r="R94" s="55">
        <v>2008</v>
      </c>
      <c r="S94" s="55">
        <v>2009</v>
      </c>
      <c r="T94" s="55">
        <v>2010</v>
      </c>
      <c r="U94" s="55">
        <v>2011</v>
      </c>
      <c r="V94" s="55">
        <v>2012</v>
      </c>
      <c r="W94" s="55">
        <v>2013</v>
      </c>
      <c r="X94" s="55">
        <v>2014</v>
      </c>
      <c r="Y94" s="55">
        <v>2015</v>
      </c>
      <c r="Z94" s="55">
        <v>2016</v>
      </c>
      <c r="AA94" s="55">
        <v>2017</v>
      </c>
      <c r="AB94" s="55">
        <v>2018</v>
      </c>
      <c r="AC94" s="55">
        <v>2019</v>
      </c>
      <c r="AD94" s="55">
        <v>2020</v>
      </c>
      <c r="AE94" s="55">
        <v>2021</v>
      </c>
      <c r="AF94" s="55">
        <v>2022</v>
      </c>
      <c r="AG94" s="55">
        <v>2023</v>
      </c>
      <c r="AH94" s="55">
        <v>2024</v>
      </c>
    </row>
    <row r="95" spans="2:34" x14ac:dyDescent="0.25">
      <c r="C95" s="52" t="str">
        <f>+C87</f>
        <v xml:space="preserve">PL </v>
      </c>
      <c r="F95" s="65">
        <f>+F87*(100%+F92)</f>
        <v>28787793.61188782</v>
      </c>
      <c r="G95" s="65">
        <f t="shared" ref="G95:AH95" si="61">+G87*(100%+G92)</f>
        <v>28678236.582374159</v>
      </c>
      <c r="H95" s="65">
        <f t="shared" si="61"/>
        <v>28636199.114115037</v>
      </c>
      <c r="I95" s="65">
        <f t="shared" si="61"/>
        <v>46943537.488017134</v>
      </c>
      <c r="J95" s="65">
        <f t="shared" si="61"/>
        <v>44567116.501593761</v>
      </c>
      <c r="K95" s="65">
        <f t="shared" si="61"/>
        <v>28898726.822754063</v>
      </c>
      <c r="L95" s="65">
        <f t="shared" si="61"/>
        <v>28769242.123533931</v>
      </c>
      <c r="M95" s="65">
        <f t="shared" si="61"/>
        <v>32460530.385353703</v>
      </c>
      <c r="N95" s="65">
        <f t="shared" si="61"/>
        <v>37250247.814111546</v>
      </c>
      <c r="O95" s="65">
        <f t="shared" si="61"/>
        <v>42513191.24711331</v>
      </c>
      <c r="P95" s="65">
        <f t="shared" si="61"/>
        <v>50533264.933272339</v>
      </c>
      <c r="Q95" s="65">
        <f t="shared" si="61"/>
        <v>57415458.466423713</v>
      </c>
      <c r="R95" s="65">
        <f t="shared" si="61"/>
        <v>70074813.269609481</v>
      </c>
      <c r="S95" s="65">
        <f t="shared" si="61"/>
        <v>74122174.441477656</v>
      </c>
      <c r="T95" s="65">
        <f t="shared" si="61"/>
        <v>103518394.56125318</v>
      </c>
      <c r="U95" s="65">
        <f t="shared" si="61"/>
        <v>108976844.07410769</v>
      </c>
      <c r="V95" s="65">
        <f t="shared" si="61"/>
        <v>108459763.1472321</v>
      </c>
      <c r="W95" s="65">
        <f t="shared" si="61"/>
        <v>105313538.12629835</v>
      </c>
      <c r="X95" s="65">
        <f t="shared" si="61"/>
        <v>96286375.524893478</v>
      </c>
      <c r="Y95" s="65">
        <f t="shared" si="61"/>
        <v>80659161.473547667</v>
      </c>
      <c r="Z95" s="65">
        <f t="shared" si="61"/>
        <v>76151411.143587157</v>
      </c>
      <c r="AA95" s="65">
        <f t="shared" si="61"/>
        <v>79691192.828085646</v>
      </c>
      <c r="AB95" s="65">
        <f t="shared" si="61"/>
        <v>82926100.351719305</v>
      </c>
      <c r="AC95" s="65">
        <f t="shared" si="61"/>
        <v>84382998.089171901</v>
      </c>
      <c r="AD95" s="65">
        <f t="shared" si="61"/>
        <v>87922336.643400937</v>
      </c>
      <c r="AE95" s="65">
        <f t="shared" si="61"/>
        <v>92846408.91141136</v>
      </c>
      <c r="AF95" s="65">
        <f t="shared" si="61"/>
        <v>91890279.332581028</v>
      </c>
      <c r="AG95" s="65">
        <f t="shared" si="61"/>
        <v>87832421.461079165</v>
      </c>
      <c r="AH95" s="65">
        <f t="shared" si="61"/>
        <v>83785578.041666672</v>
      </c>
    </row>
    <row r="96" spans="2:34" x14ac:dyDescent="0.25">
      <c r="C96" s="52" t="str">
        <f>+C88</f>
        <v>PL com efeito inflacionário</v>
      </c>
      <c r="E96" s="59"/>
      <c r="F96" s="65">
        <f>+F88*(100%+F92)</f>
        <v>30941880.130766775</v>
      </c>
      <c r="G96" s="65">
        <f t="shared" ref="G96:AH96" si="62">+G88*(100%+G92)</f>
        <v>31946829.734631006</v>
      </c>
      <c r="H96" s="65">
        <f t="shared" si="62"/>
        <v>31959434.446691621</v>
      </c>
      <c r="I96" s="65">
        <f t="shared" si="62"/>
        <v>52345012.664781146</v>
      </c>
      <c r="J96" s="65">
        <f t="shared" si="62"/>
        <v>51076166.844478004</v>
      </c>
      <c r="K96" s="65">
        <f t="shared" si="62"/>
        <v>36949095.402639166</v>
      </c>
      <c r="L96" s="65">
        <f t="shared" si="62"/>
        <v>40027083.645022385</v>
      </c>
      <c r="M96" s="65">
        <f t="shared" si="62"/>
        <v>45958155.910027407</v>
      </c>
      <c r="N96" s="65">
        <f t="shared" si="62"/>
        <v>52290628.759692051</v>
      </c>
      <c r="O96" s="65">
        <f t="shared" si="62"/>
        <v>58197769.996213824</v>
      </c>
      <c r="P96" s="65">
        <f t="shared" si="62"/>
        <v>65219541.135235995</v>
      </c>
      <c r="Q96" s="65">
        <f t="shared" si="62"/>
        <v>72336365.530660838</v>
      </c>
      <c r="R96" s="65">
        <f t="shared" si="62"/>
        <v>86589808.657160118</v>
      </c>
      <c r="S96" s="65">
        <f t="shared" si="62"/>
        <v>91143026.617465541</v>
      </c>
      <c r="T96" s="65">
        <f t="shared" si="62"/>
        <v>123382245.09093612</v>
      </c>
      <c r="U96" s="65">
        <f t="shared" si="62"/>
        <v>133323229.82466631</v>
      </c>
      <c r="V96" s="65">
        <f t="shared" si="62"/>
        <v>134855480.23729771</v>
      </c>
      <c r="W96" s="65">
        <f t="shared" si="62"/>
        <v>135954824.76664346</v>
      </c>
      <c r="X96" s="65">
        <f t="shared" si="62"/>
        <v>130218927.41164805</v>
      </c>
      <c r="Y96" s="65">
        <f t="shared" si="62"/>
        <v>114438708.73275051</v>
      </c>
      <c r="Z96" s="65">
        <f t="shared" si="62"/>
        <v>106158355.07483333</v>
      </c>
      <c r="AA96" s="65">
        <f t="shared" si="62"/>
        <v>104524211.07361987</v>
      </c>
      <c r="AB96" s="65">
        <f t="shared" si="62"/>
        <v>106544333.82327972</v>
      </c>
      <c r="AC96" s="65">
        <f t="shared" si="62"/>
        <v>107416670.89963952</v>
      </c>
      <c r="AD96" s="65">
        <f t="shared" si="62"/>
        <v>106238990.62124798</v>
      </c>
      <c r="AE96" s="65">
        <f t="shared" si="62"/>
        <v>109120463.35708624</v>
      </c>
      <c r="AF96" s="65">
        <f t="shared" si="62"/>
        <v>101831494.55898537</v>
      </c>
      <c r="AG96" s="65">
        <f t="shared" si="62"/>
        <v>90797174.298250154</v>
      </c>
      <c r="AH96" s="65">
        <f t="shared" si="62"/>
        <v>84311118.898801744</v>
      </c>
    </row>
    <row r="97" spans="3:34" x14ac:dyDescent="0.25">
      <c r="C97" s="52" t="str">
        <f>+C89</f>
        <v>Valor de Mercado</v>
      </c>
      <c r="E97" s="59"/>
      <c r="F97" s="65">
        <f>+F89*(100%+F92)</f>
        <v>18941572.524912592</v>
      </c>
      <c r="G97" s="65">
        <f t="shared" ref="G97:AH97" si="63">+G89*(100%+G92)</f>
        <v>24185470.884606883</v>
      </c>
      <c r="H97" s="65">
        <f t="shared" si="63"/>
        <v>12928564.389264928</v>
      </c>
      <c r="I97" s="65">
        <f t="shared" si="63"/>
        <v>77902869.017153576</v>
      </c>
      <c r="J97" s="65">
        <f t="shared" si="63"/>
        <v>70645583.364562154</v>
      </c>
      <c r="K97" s="65">
        <f t="shared" si="63"/>
        <v>37109757.773117498</v>
      </c>
      <c r="L97" s="65">
        <f t="shared" si="63"/>
        <v>34630585.93635872</v>
      </c>
      <c r="M97" s="65">
        <f t="shared" si="63"/>
        <v>52870144.984355249</v>
      </c>
      <c r="N97" s="65">
        <f t="shared" si="63"/>
        <v>66266647.946084462</v>
      </c>
      <c r="O97" s="65">
        <f t="shared" si="63"/>
        <v>87570305.7112571</v>
      </c>
      <c r="P97" s="65">
        <f t="shared" si="63"/>
        <v>117251288.86819042</v>
      </c>
      <c r="Q97" s="65">
        <f t="shared" si="63"/>
        <v>183427983.38972998</v>
      </c>
      <c r="R97" s="65">
        <f t="shared" si="63"/>
        <v>101530186.90002243</v>
      </c>
      <c r="S97" s="65">
        <f t="shared" si="63"/>
        <v>160368197.59264129</v>
      </c>
      <c r="T97" s="65">
        <f t="shared" si="63"/>
        <v>165846741.13553527</v>
      </c>
      <c r="U97" s="65">
        <f t="shared" si="63"/>
        <v>130233973.99745749</v>
      </c>
      <c r="V97" s="65">
        <f t="shared" si="63"/>
        <v>129959503.92008582</v>
      </c>
      <c r="W97" s="65">
        <f t="shared" si="63"/>
        <v>118333696.01386222</v>
      </c>
      <c r="X97" s="65">
        <f t="shared" si="63"/>
        <v>95800661.66058214</v>
      </c>
      <c r="Y97" s="65">
        <f t="shared" si="63"/>
        <v>73086851.141884342</v>
      </c>
      <c r="Z97" s="65">
        <f t="shared" si="63"/>
        <v>99717255.385925278</v>
      </c>
      <c r="AA97" s="65">
        <f t="shared" si="63"/>
        <v>120360623.05421051</v>
      </c>
      <c r="AB97" s="65">
        <f t="shared" si="63"/>
        <v>137011848.19658124</v>
      </c>
      <c r="AC97" s="65">
        <f t="shared" si="63"/>
        <v>166882603.62378871</v>
      </c>
      <c r="AD97" s="65">
        <f t="shared" si="63"/>
        <v>171068077.16078597</v>
      </c>
      <c r="AE97" s="65">
        <f t="shared" si="63"/>
        <v>137983762.28826171</v>
      </c>
      <c r="AF97" s="65">
        <f t="shared" si="63"/>
        <v>131501183.01911587</v>
      </c>
      <c r="AG97" s="65">
        <f t="shared" si="63"/>
        <v>118671570.14063841</v>
      </c>
      <c r="AH97" s="65">
        <f t="shared" si="63"/>
        <v>114290169.37302969</v>
      </c>
    </row>
    <row r="98" spans="3:34" x14ac:dyDescent="0.25">
      <c r="C98" s="52" t="str">
        <f>+C90</f>
        <v>Potencial Ganho</v>
      </c>
      <c r="E98" s="59"/>
      <c r="F98" s="64">
        <f>+F97-F95</f>
        <v>-9846221.086975228</v>
      </c>
      <c r="G98" s="64">
        <f t="shared" ref="G98:AH98" si="64">+G97-G95</f>
        <v>-4492765.6977672763</v>
      </c>
      <c r="H98" s="64">
        <f t="shared" si="64"/>
        <v>-15707634.724850109</v>
      </c>
      <c r="I98" s="64">
        <f t="shared" si="64"/>
        <v>30959331.529136442</v>
      </c>
      <c r="J98" s="64">
        <f t="shared" si="64"/>
        <v>26078466.862968393</v>
      </c>
      <c r="K98" s="64">
        <f t="shared" si="64"/>
        <v>8211030.9503634349</v>
      </c>
      <c r="L98" s="64">
        <f t="shared" si="64"/>
        <v>5861343.8128247894</v>
      </c>
      <c r="M98" s="64">
        <f t="shared" si="64"/>
        <v>20409614.599001545</v>
      </c>
      <c r="N98" s="64">
        <f t="shared" si="64"/>
        <v>29016400.131972916</v>
      </c>
      <c r="O98" s="64">
        <f t="shared" si="64"/>
        <v>45057114.46414379</v>
      </c>
      <c r="P98" s="64">
        <f t="shared" si="64"/>
        <v>66718023.934918083</v>
      </c>
      <c r="Q98" s="64">
        <f t="shared" si="64"/>
        <v>126012524.92330626</v>
      </c>
      <c r="R98" s="64">
        <f t="shared" si="64"/>
        <v>31455373.630412951</v>
      </c>
      <c r="S98" s="64">
        <f t="shared" si="64"/>
        <v>86246023.151163638</v>
      </c>
      <c r="T98" s="64">
        <f t="shared" si="64"/>
        <v>62328346.574282095</v>
      </c>
      <c r="U98" s="64">
        <f t="shared" si="64"/>
        <v>21257129.923349798</v>
      </c>
      <c r="V98" s="64">
        <f t="shared" si="64"/>
        <v>21499740.772853717</v>
      </c>
      <c r="W98" s="64">
        <f t="shared" si="64"/>
        <v>13020157.887563869</v>
      </c>
      <c r="X98" s="64">
        <f t="shared" si="64"/>
        <v>-485713.86431133747</v>
      </c>
      <c r="Y98" s="64">
        <f t="shared" si="64"/>
        <v>-7572310.3316633254</v>
      </c>
      <c r="Z98" s="64">
        <f t="shared" si="64"/>
        <v>23565844.242338121</v>
      </c>
      <c r="AA98" s="64">
        <f t="shared" si="64"/>
        <v>40669430.226124868</v>
      </c>
      <c r="AB98" s="64">
        <f t="shared" si="64"/>
        <v>54085747.84486194</v>
      </c>
      <c r="AC98" s="64">
        <f t="shared" si="64"/>
        <v>82499605.534616813</v>
      </c>
      <c r="AD98" s="64">
        <f t="shared" si="64"/>
        <v>83145740.517385036</v>
      </c>
      <c r="AE98" s="64">
        <f t="shared" si="64"/>
        <v>45137353.376850352</v>
      </c>
      <c r="AF98" s="64">
        <f t="shared" si="64"/>
        <v>39610903.686534837</v>
      </c>
      <c r="AG98" s="64">
        <f t="shared" si="64"/>
        <v>30839148.679559246</v>
      </c>
      <c r="AH98" s="64">
        <f t="shared" si="64"/>
        <v>30504591.331363022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9"/>
  <sheetViews>
    <sheetView showGridLines="0" topLeftCell="A4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2" width="13.85546875" customWidth="1"/>
    <col min="3" max="6" width="11" customWidth="1"/>
    <col min="7" max="7" width="13.5703125" customWidth="1"/>
    <col min="8" max="11" width="11" customWidth="1"/>
    <col min="12" max="12" width="9" customWidth="1"/>
    <col min="13" max="13" width="16.28515625" customWidth="1"/>
    <col min="14" max="14" width="16.5703125" customWidth="1"/>
    <col min="16" max="16" width="13.28515625" customWidth="1"/>
    <col min="17" max="17" width="13.140625" customWidth="1"/>
    <col min="18" max="24" width="13.28515625" customWidth="1"/>
    <col min="25" max="30" width="14.28515625" customWidth="1"/>
    <col min="31" max="31" width="11.85546875" customWidth="1"/>
    <col min="32" max="40" width="14.28515625" customWidth="1"/>
    <col min="41" max="42" width="15.28515625" customWidth="1"/>
    <col min="43" max="43" width="17" customWidth="1"/>
    <col min="44" max="44" width="14.7109375" customWidth="1"/>
  </cols>
  <sheetData>
    <row r="1" spans="1:44" ht="15" customHeight="1" x14ac:dyDescent="0.25">
      <c r="A1" s="6" t="s">
        <v>65</v>
      </c>
      <c r="M1" t="s">
        <v>1</v>
      </c>
      <c r="N1" s="7">
        <v>3.8600000000000002E-2</v>
      </c>
      <c r="P1" s="7"/>
    </row>
    <row r="2" spans="1:44" ht="15" customHeight="1" x14ac:dyDescent="0.25">
      <c r="A2" s="6"/>
      <c r="P2" s="7"/>
    </row>
    <row r="3" spans="1:44" ht="15" customHeight="1" x14ac:dyDescent="0.25">
      <c r="M3" s="2" t="s">
        <v>66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10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4">
        <v>10519790</v>
      </c>
      <c r="C5" s="14">
        <v>328627</v>
      </c>
      <c r="D5" s="15">
        <v>0</v>
      </c>
      <c r="E5" s="14">
        <v>7575844</v>
      </c>
      <c r="F5" s="15">
        <v>0</v>
      </c>
      <c r="G5" s="16">
        <f>-107*1000</f>
        <v>-107000</v>
      </c>
      <c r="H5" s="15">
        <v>0</v>
      </c>
      <c r="I5" s="14">
        <v>48569882</v>
      </c>
      <c r="J5" s="17">
        <v>0.59241276264999998</v>
      </c>
      <c r="K5" s="14">
        <v>10489747.559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4">
        <v>10228870</v>
      </c>
      <c r="C6" s="14">
        <v>516990</v>
      </c>
      <c r="D6" s="15">
        <v>0</v>
      </c>
      <c r="E6" s="14">
        <v>11997968</v>
      </c>
      <c r="F6" s="15">
        <v>0</v>
      </c>
      <c r="G6" s="16">
        <v>0</v>
      </c>
      <c r="H6" s="20">
        <v>1.3881333333000001</v>
      </c>
      <c r="I6" s="14">
        <v>376948</v>
      </c>
      <c r="J6" s="17">
        <v>0.52599139048999999</v>
      </c>
      <c r="K6" s="14">
        <v>9288841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4">
        <v>9472000</v>
      </c>
      <c r="C7" s="14">
        <v>756000</v>
      </c>
      <c r="D7" s="15">
        <v>0</v>
      </c>
      <c r="E7" s="14">
        <v>10830000</v>
      </c>
      <c r="F7" s="15">
        <v>0</v>
      </c>
      <c r="G7" s="16">
        <v>0</v>
      </c>
      <c r="H7" s="20">
        <v>3.9465876064000001</v>
      </c>
      <c r="I7" s="14">
        <v>376948</v>
      </c>
      <c r="J7" s="17">
        <v>0.42351868964</v>
      </c>
      <c r="K7" s="14">
        <v>8125005.7422000002</v>
      </c>
      <c r="M7" s="1" t="s">
        <v>20</v>
      </c>
      <c r="N7" s="1"/>
      <c r="O7" s="5"/>
      <c r="P7" s="5">
        <f>((D5+E5)*P5)</f>
        <v>724250.68640000001</v>
      </c>
      <c r="Q7" s="5">
        <f>((D6+E6+P7+P8)*Q5)</f>
        <v>675133.72234992008</v>
      </c>
      <c r="R7" s="5">
        <f>((D7+E7+Q7+P7+P8+Q8)*R5)</f>
        <v>206010.61432108868</v>
      </c>
      <c r="S7" s="5">
        <f>((D8+E8+R7+Q7+P7+SUM($P$8:R8))*S5)</f>
        <v>1074369.507497028</v>
      </c>
      <c r="T7" s="5">
        <f>((D9+E9+S7+R7+Q7+P7+SUM($P$8:S8))*T5)</f>
        <v>818090.91714817169</v>
      </c>
      <c r="U7" s="5">
        <f>((D10+E10+T7+S7+R7+Q7+P7+SUM($P$8:T8))*U5)</f>
        <v>1252893.1231863881</v>
      </c>
      <c r="V7" s="5">
        <f>((D11+E11+U7+T7+S7+R7+Q7+P7+SUM($P$8:U8))*V5)</f>
        <v>2230876.1254206449</v>
      </c>
      <c r="W7" s="5">
        <f>((D12+E12+V7+U7+T7+S7+R7+Q7+P7+SUM($P$8:V8))*W5)</f>
        <v>2147382.0053163618</v>
      </c>
      <c r="X7" s="5">
        <f>((D13+E13+W7+V7+U7+T7+S7+R7+Q7+P7+SUM($P$8:W8))*X5)</f>
        <v>2355491.5812982097</v>
      </c>
      <c r="Y7" s="5">
        <f>((D14+E14+X7+W7+V7+U7+T7+S7+R7+Q7+P7+SUM($P$8:X8))*Y5)</f>
        <v>2112071.7809529016</v>
      </c>
      <c r="Z7" s="5">
        <f>((E14+F14+Y7+X7+W7+V7+U7+T7+S7+R7+Q7+P7+SUM($P$8:Y8))*Z5)</f>
        <v>1239869.0524031583</v>
      </c>
      <c r="AA7" s="5">
        <f>((D16+E16+Z7+Y7+X7+W7+V7+U7+T7+S7+R7+P7+Q7+SUM($P$8:Z8))*AA5)</f>
        <v>4178135.2259200159</v>
      </c>
      <c r="AB7" s="5">
        <f>((D17+E17+AA7+Z7+Y7+X7+W7+V7+U7+T7+S7+P7+Q7+R7+SUM($P$8:AA8))*AB5)</f>
        <v>6639012.4686204689</v>
      </c>
      <c r="AC7" s="5">
        <f>((D18+E18+AB7+AA7+Z7+Y7+X7+W7+V7+U7+T7+S7+R7+Q7+P7+SUM($P$8:AB8))*AC5)</f>
        <v>5958419.1819485249</v>
      </c>
      <c r="AD7" s="5">
        <f>((D19+E19+AC7+AB7+AA7+Z7+Y7+X7+W7+V7+U7+T7+S7+R7+Q7+P7+SUM($P$8:AC8))*AD5)</f>
        <v>8804263.0582016613</v>
      </c>
      <c r="AE7" s="5">
        <f>((D20+E20+AD7+AC7+AB7+AA7+Z7+Y7+X7+W7+V7+U7+T7+S7+R7+Q7+P7+SUM($P$8:AD8))*AE5)</f>
        <v>12477259.960823743</v>
      </c>
      <c r="AF7" s="5">
        <f>((E20+F20+AE7+AD7+AC7+AB7+AA7+Z7+Y7+X7+W7+V7+U7+T7+S7+R7+Q7+P7+SUM($P$8:AE8))*AF5)</f>
        <v>11158221.406012364</v>
      </c>
      <c r="AG7" s="5">
        <f>((D22+E22+AF7+AE7+AD7+AC7+AB7+AA7+Z7+Y7+X7+W7+V7+U7+T7+R7+S7+Q7+P7+SUM($P$8:AF8))*AG5)</f>
        <v>15418542.279062854</v>
      </c>
      <c r="AH7" s="5">
        <f>((E22+F22+AG7+AF7+AE7+AD7+AC7+AB7+AA7+Z7+Y7+X7+W7+V7+U7+S7+T7+R7+Q7+P7+SUM($P$8:AG8))*AH5)</f>
        <v>17369627.653119534</v>
      </c>
      <c r="AI7" s="5">
        <f>((F22+G22+AH7+AG7+AF7+AE7+AD7+AC7+AB7+AA7+Z7+Y7+X7+W7+V7+T7+U7+S7+R7+Q7+P7+SUM($P$8:AH8))*AI5)</f>
        <v>11074344.11139941</v>
      </c>
      <c r="AJ7" s="5">
        <f>((G22+H22+AI7+AH7+AG7+AF7+AE7+AD7+AC7+AB7+AA7+Z7+Y7+X7+W7+U7+V7+T7+S7+R7+Q7+P7+SUM($P$8:AI8))*AJ5)</f>
        <v>6426010.7966758311</v>
      </c>
      <c r="AK7" s="5">
        <f>((H22+I22+AJ7+AI7+AH7+AG7+AF7+AE7+AD7+AC7+AB7+AA7+Z7+Y7+X7+V7+W7+U7+T7+S7+R7+Q7+P7+SUM($P$8:AJ8))*AK5)</f>
        <v>3673187.2501992458</v>
      </c>
      <c r="AL7" s="5">
        <f>((D27+E27+AK7+AJ7+AI7+AH7+AG7+AF7+AE7+AD7+AC7++AB7+AA7+Z7+Y7+X7+W7+V7+U7+T7+S7+R7+Q7+P7+SUM($P$8:AK8))*AL5)</f>
        <v>12478546.852960411</v>
      </c>
      <c r="AM7" s="5">
        <f>((E27+F27+AL7+AK7+AJ7+AI7+AH7+AG7+AF7+AE7+AD7++AC7+AB7+AA7+Z7+Y7+X7+W7+V7+U7+T7+S7+R7+Q7+P7+SUM($P$8:AL8))*AM5)</f>
        <v>14184657.832553634</v>
      </c>
      <c r="AN7" s="5">
        <f>((F27+G27+AM7+AL7+AK7+AJ7+AI7+AH7+AG7+AF7+AE7++AD7+AC7+AB7+AA7+Z7+Y7+X7+W7+V7+U7+T7+S7+R7+Q7+P7+SUM($P$8:AM8))*AN5)</f>
        <v>7104168.0019870764</v>
      </c>
      <c r="AO7" s="5">
        <f>((G27+H27+AN7+AM7+AL7+AK7+AJ7+AI7+AH7+AG7+AF7++AE7+AD7+AC7+AB7+AA7+Z7+Y7+X7+W7+V7+U7+T7+S7+R7+Q7+P7+SUM($P$8:AN8))*AO5)</f>
        <v>15430220.865404578</v>
      </c>
      <c r="AP7" s="5">
        <f>((H27+I27+AO7+AN7+AM7+AL7+AK7+AJ7+AI7+AH7+AG7++AF7+AE7+AD7+AC7+AB7+AA7+Z7+Y7+X7+W7+V7+U7+T7+S7+R7+Q7+P7+SUM($P$8:AO8))*AP5)</f>
        <v>10409858.841152193</v>
      </c>
      <c r="AQ7" s="5">
        <f>((I27+J27+AP7+AO7+AN7+AM7+AL7+AK7+AJ7+AI7+AH7++AG7+AF7+AE7+AD7+AC7+AB7+AA7+Z7+Y7+X7+W7+V7+U7+T7+S7+R7+Q7+P7+SUM($P$8:AP8))*AQ5)</f>
        <v>8476556.5543871745</v>
      </c>
      <c r="AR7" s="5">
        <f>((J27+K27+AQ7+AP7+AO7+AN7+AM7+AL7+AK7+AJ7+AI7++AH7+AG7+AF7+AE7+AD7+AC7+AB7+AA7+Z7+Y7+X7+W7+V7+U7+T7+S7+R7+Q7+P7+SUM($P$8:AQ8))*AR5)</f>
        <v>18867765.793453503</v>
      </c>
    </row>
    <row r="8" spans="1:44" ht="15" customHeight="1" x14ac:dyDescent="0.25">
      <c r="A8" s="13" t="s">
        <v>21</v>
      </c>
      <c r="B8" s="14">
        <v>9712283</v>
      </c>
      <c r="C8" s="14">
        <v>1029400</v>
      </c>
      <c r="D8" s="15">
        <v>0</v>
      </c>
      <c r="E8" s="14">
        <v>10236196</v>
      </c>
      <c r="F8" s="15">
        <v>0</v>
      </c>
      <c r="G8" s="16">
        <v>0</v>
      </c>
      <c r="H8" s="20">
        <v>22.480570493999998</v>
      </c>
      <c r="I8" s="14">
        <v>384990</v>
      </c>
      <c r="J8" s="17">
        <v>0.25538656830000001</v>
      </c>
      <c r="K8" s="14">
        <v>4699923.0522999996</v>
      </c>
      <c r="M8" s="1" t="s">
        <v>22</v>
      </c>
      <c r="N8" s="1"/>
      <c r="O8" s="4"/>
      <c r="P8" s="4">
        <f>((D6+E6)-(D5+E5))*(P5^1/2)</f>
        <v>211377.52720000001</v>
      </c>
      <c r="Q8" s="4">
        <f>((D7+E7)-(D6+E6))*(Q5^1/2)</f>
        <v>-30483.964800000002</v>
      </c>
      <c r="R8" s="4">
        <f>((D8+E8)-(D7+E7))*(R5^1/2)</f>
        <v>-4928.5731999999998</v>
      </c>
      <c r="S8" s="4">
        <f>((D9+E9)-(D8+E8))*(S5^1/2)</f>
        <v>26161.926599999999</v>
      </c>
      <c r="T8" s="4">
        <f>((D10+E10)-(D9+E9))*(T5^1/2)</f>
        <v>52564.685850000002</v>
      </c>
      <c r="U8" s="4">
        <f>((D11+E11)-(D10+E10))*(U5^1/2)</f>
        <v>7992.56185</v>
      </c>
      <c r="V8" s="4">
        <f>((D12+E12)-(D11+E11))*(V5^1/2)</f>
        <v>180110.22959999999</v>
      </c>
      <c r="W8" s="4">
        <f>((D13+E13)-(D12+E12))*(W5^1/2)</f>
        <v>255752.18549999999</v>
      </c>
      <c r="X8" s="4">
        <f>((D14+E14)-(D13+E13))*(X5^1/2)</f>
        <v>138023.106</v>
      </c>
      <c r="Y8" s="4">
        <f>((D15+E15)-(D14+E14))*(Y5^1/2)</f>
        <v>255191.80575</v>
      </c>
      <c r="Z8" s="4">
        <f>((E15+F15)-(E14+F14))*(Z5^1/2)</f>
        <v>140826.40949999998</v>
      </c>
      <c r="AA8" s="4">
        <f>((D17+E17)-(D16+E16))*(AA5^1/2)</f>
        <v>319946.81930000003</v>
      </c>
      <c r="AB8" s="4">
        <f>((D18+E18)-(D17+E17))*(AB5^1/2)</f>
        <v>546781.20199999993</v>
      </c>
      <c r="AC8" s="4">
        <f>((D19+E19)-(D18+E18))*(AC5^1/2)</f>
        <v>100572.2553</v>
      </c>
      <c r="AD8" s="4">
        <f>((D20+E20)-(D19+E19))*(AD5^1/2)</f>
        <v>981066.32369999995</v>
      </c>
      <c r="AE8" s="4">
        <f>((D21+E21)-(D20+E20))*(AE5^1/2)</f>
        <v>958655.52250000008</v>
      </c>
      <c r="AF8" s="4">
        <f>((D22+E22)-(D21+E21))*(AF5^1/2)</f>
        <v>421032.81440000003</v>
      </c>
      <c r="AG8" s="4">
        <f>((D23+E23)-(D22+E22))*(AG5^1/2)</f>
        <v>447014.93595000001</v>
      </c>
      <c r="AH8" s="4">
        <f>((D24+E24)-(D23+E23))*(AH5^1/2)</f>
        <v>583859.68955000001</v>
      </c>
      <c r="AI8" s="4">
        <f>((D25+E25)-(D24+E24))*(AI5^1/2)</f>
        <v>342902.53690000001</v>
      </c>
      <c r="AJ8" s="4">
        <f>((D26+E26)-(D25+E25))*(AJ5^1/2)</f>
        <v>-913254.56644999993</v>
      </c>
      <c r="AK8" s="4">
        <f>((D27+E27)-(D26+E26))*(AK5^1/2)</f>
        <v>97625.47099999999</v>
      </c>
      <c r="AL8" s="4">
        <f>((D28+E28)-(D27+E27))*(AL5^1/2)</f>
        <v>163179.28125</v>
      </c>
      <c r="AM8" s="4">
        <f>((D29+E29)-(D28+E28))*(AM5^1/2)</f>
        <v>78835.072</v>
      </c>
      <c r="AN8" s="4">
        <f>((D30+E30)-(D29+E29))*(AN5^1/2)</f>
        <v>907483.40579999995</v>
      </c>
      <c r="AO8" s="4">
        <f>((D31+E31)-(D30+E30))*(AO5^1/2)</f>
        <v>1113528.1207999999</v>
      </c>
      <c r="AP8" s="4">
        <f>((D32+E32)-(D31+E31))*(AP5^1/2)</f>
        <v>-6724940.25</v>
      </c>
      <c r="AQ8" s="4">
        <f>((D32+E32)-(D31+E31))*(AQ5^1/2)</f>
        <v>-5366014.5</v>
      </c>
      <c r="AR8" s="4">
        <f>((E32+F32)-(E31+F31))*(AR5^1/2)</f>
        <v>-4575145.05</v>
      </c>
    </row>
    <row r="9" spans="1:44" ht="15" customHeight="1" x14ac:dyDescent="0.25">
      <c r="A9" s="13" t="s">
        <v>23</v>
      </c>
      <c r="B9" s="14">
        <v>10502002</v>
      </c>
      <c r="C9" s="14">
        <v>1251199</v>
      </c>
      <c r="D9" s="15">
        <v>0</v>
      </c>
      <c r="E9" s="14">
        <v>10821474</v>
      </c>
      <c r="F9" s="15">
        <v>0</v>
      </c>
      <c r="G9" s="16">
        <f>-820*1000</f>
        <v>-820000</v>
      </c>
      <c r="H9" s="20">
        <v>6.6190476190999998</v>
      </c>
      <c r="I9" s="14">
        <v>388559.05599999998</v>
      </c>
      <c r="J9" s="17">
        <v>1.0792524166999999</v>
      </c>
      <c r="K9" s="14">
        <v>17428087.655999999</v>
      </c>
      <c r="M9" s="1" t="s">
        <v>24</v>
      </c>
      <c r="N9" s="1"/>
      <c r="O9" s="4"/>
      <c r="P9" s="4">
        <f>+B5*P5</f>
        <v>1005691.924</v>
      </c>
      <c r="Q9" s="4">
        <f>+(B6+P9+P10+P14)*Q5</f>
        <v>582786.80674992001</v>
      </c>
      <c r="R9" s="4">
        <f>+(B7+Q9+P9+P10+Q10+P14+Q14)*R5</f>
        <v>182837.0066013399</v>
      </c>
      <c r="S9" s="4">
        <f>+(B8+R9+Q9+P9+P10+Q10+R10+P14+Q14+R14)*S5</f>
        <v>1018419.2966868627</v>
      </c>
      <c r="T9" s="4">
        <f>+(B9+S9+R9+Q9+P9+P10+Q10+R10+S10+P14+Q14+R14+S14)*T5</f>
        <v>788270.83167263889</v>
      </c>
      <c r="U9" s="4">
        <f>+(B10+T9+S9+R9+Q9+P9+P10+Q10+R10+S10+T10+P14+Q14+R14+S14+T14)*U5</f>
        <v>1074592.495594613</v>
      </c>
      <c r="V9" s="4">
        <f>+(B11+U9+T9+S9+R9+Q9+P9+P10+Q10+R10+S10+T10+U10+P14+Q14+R14+S14+T14+U14)*V5</f>
        <v>2042193.0071265739</v>
      </c>
      <c r="W9" s="4">
        <f>+(B12+V9+U9+T9+S9+R9+Q9+P9+P10+Q10+R10+S10+T10+U10+V10+P14+Q14+R14+S14+T14+U14+V14)*W5</f>
        <v>1808205.1217358671</v>
      </c>
      <c r="X9" s="4">
        <f>+(B13+W9+V9+U9+T9+S9+R9+Q9+P9+P10+Q10+R10+S10+T10+U10+V10+W10+P14+Q14+R14+S14+T14+U14+V14+W14)*X5</f>
        <v>1798156.4521829553</v>
      </c>
      <c r="Y9" s="4">
        <f>+(B14+X9+W9+V9+U9+T9+S9+R9+Q9+P9+P10+Q10+R10+S10+T10+U10+V10+W10+X10+P14+Q14+R14+S14+T14+U14+V14+W14+X14)*Y5</f>
        <v>1643248.7600202151</v>
      </c>
      <c r="Z9" s="4">
        <f>+(B15+Y9+X9+W9+V9+U9+T9+S9+R9+Q9+P9+P10+Q10+R10+S10+T10+U10+V10+W10+X10+Y10+P14+Q14+R14+S14+T14+U14+V14+W14+X14+Y14)*Z5</f>
        <v>1145962.9258321982</v>
      </c>
      <c r="AA9" s="4">
        <f>+(B16+Z9+Y9+X9+W9+V9+U9+T9+S9+R9+Q9+P9+P10+Q10+R10+S10+T10+U10+V10+W10+X10+Y10+Z10+P14+Q14+R14+S14+T14+U14+V14+W14+X14+Y14+Z14)*AA5</f>
        <v>2326995.4866533675</v>
      </c>
      <c r="AB9" s="4">
        <f>+(B17+AA9+Z9+Y9+X9+W9+V9+U9+T9+S9+R9+Q9+P9+P10+Q10+R10+S10+T10+U10+V10+W10+X10+Y10+Z10+AA10+P14+Q14+R14+S14+T14+U14+V14+W14+X14+Y14+Z14+AA14)*AB5</f>
        <v>4352215.3057052409</v>
      </c>
      <c r="AC9" s="4">
        <f>+(B18+AB9+AA9+Z9+Y9+X9+W9+V9+U9+T9+S9+R9+Q9+P9+P10+Q10+R10+S10+T10+U10+V10+W10+X10+Y10+Z10+AA10+AB10+P14+Q14+R14+S14+T14+U14+V14+W14+X14+Y14+Z14+AA14+AB14)*AC5</f>
        <v>5134367.3088042419</v>
      </c>
      <c r="AD9" s="4">
        <f>+(B19+AC9+AB9+AA9+Z9+Y9+X9+W9+V9+U9+T9+S9+R9+Q9+P9+P10+Q10+R10+S10+T10+U10+V10+W10+X10+Y10+Z10+AA10+AB10+AC10+P14+Q14+R14+S14+T14+U14+V14+W14+X14+Y14+Z14+AA14+AB14+AC14)*AD5</f>
        <v>7283616.0955736181</v>
      </c>
      <c r="AE9" s="4">
        <f>+(B20+AD9+AC9+AB9+AA9+Z9+Y9+X9+W9+V9+U9+T9+S9+R9+Q9+P9+P10+Q10+R10+S10+T10+U10+V10+W10+X10+Y10+Z10+AA10+AB10+AC10+AD10+P14+Q14+S14++R14+T14+U14+V14+W14+X14+Y14+Z14+AA14+AB14+AC14+AD14)*AE5</f>
        <v>9598671.0360697936</v>
      </c>
      <c r="AF9" s="4">
        <f>+(B21+AE9+AD9+AC9+AB9+AA9+Z9+Y9+X9+W9+V9+U9+T9+S9+R9+Q9+P9+P10+Q10+R10+S10+T10+U10+V10+W10+X10+Y10+Z10+AA10+AB10+AC10+AD10+AE10+P14+Q14+R14+S14+T14+U14+V14+W14+X14+Y14+Z14+AA14+AB14+AC14+AD14+AE14)*AF5</f>
        <v>11108455.929053862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12279385.679967834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13846703.433681089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24282734.296767846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13714678.076497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6286825.7508873958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8492264.7385651097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11137290.045523759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11552284.885888064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28045761.70779568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16882536.644924942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5871325.8727336451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5867239.5442955969</v>
      </c>
    </row>
    <row r="10" spans="1:44" ht="15" customHeight="1" x14ac:dyDescent="0.25">
      <c r="A10" s="13" t="s">
        <v>25</v>
      </c>
      <c r="B10" s="14">
        <v>10565590</v>
      </c>
      <c r="C10" s="14">
        <v>2132657</v>
      </c>
      <c r="D10" s="15">
        <v>0</v>
      </c>
      <c r="E10" s="14">
        <v>12582435</v>
      </c>
      <c r="F10" s="15">
        <v>0</v>
      </c>
      <c r="G10" s="16">
        <f>-450*1000</f>
        <v>-450000</v>
      </c>
      <c r="H10" s="20">
        <v>0</v>
      </c>
      <c r="I10" s="14">
        <v>384893</v>
      </c>
      <c r="J10" s="17">
        <v>1.1948866041999999</v>
      </c>
      <c r="K10" s="14">
        <v>16748049.408</v>
      </c>
      <c r="M10" s="22" t="s">
        <v>26</v>
      </c>
      <c r="N10" s="22"/>
      <c r="O10" s="23"/>
      <c r="P10" s="23">
        <f>((B6-B5)*(P5^1/2))</f>
        <v>-13905.976000000001</v>
      </c>
      <c r="Q10" s="23">
        <f>((B7-B6)*(Q5^1/2))</f>
        <v>-19754.307000000001</v>
      </c>
      <c r="R10" s="23">
        <f>((B8-B7)*(R5^1/2))</f>
        <v>1994.3489</v>
      </c>
      <c r="S10" s="23">
        <f>((B9-B8)*(S5^1/2))</f>
        <v>35300.439299999998</v>
      </c>
      <c r="T10" s="23">
        <f>((B10-B9)*(T5^1/2))</f>
        <v>1898.1018000000001</v>
      </c>
      <c r="U10" s="23">
        <f>((B11-B10)*(U5^1/2))</f>
        <v>46057.314550000003</v>
      </c>
      <c r="V10" s="23">
        <f>((B12-B11)*(V5^1/2))</f>
        <v>61644.843399999998</v>
      </c>
      <c r="W10" s="23">
        <f>((B13-B12)*(W5^1/2))</f>
        <v>101791.0575</v>
      </c>
      <c r="X10" s="23">
        <f>((B14-B13)*(X5^1/2))</f>
        <v>122730.842</v>
      </c>
      <c r="Y10" s="23">
        <f>((B15-B14)*(Y5^1/2))</f>
        <v>167365.60310000001</v>
      </c>
      <c r="Z10" s="23">
        <f>((B16-B15)*(Z5^1/2))</f>
        <v>236232.07529999997</v>
      </c>
      <c r="AA10" s="23">
        <f>((B17-B16)*(AA5^1/2))</f>
        <v>399854.72149999999</v>
      </c>
      <c r="AB10" s="23">
        <f>((B18-B17)*(AB5^1/2))</f>
        <v>1157732.6624999999</v>
      </c>
      <c r="AC10" s="23">
        <f>((B19-B18)*(AC5^1/2))</f>
        <v>-11586.702299999999</v>
      </c>
      <c r="AD10" s="23">
        <f>((B20-B19)*(AD5^1/2))</f>
        <v>484059.43650000001</v>
      </c>
      <c r="AE10" s="23">
        <f>((B21-B20)*(AE5^1/2))</f>
        <v>1019115.3050000001</v>
      </c>
      <c r="AF10" s="23">
        <f>((B22-B21)*(AF5^1/2))</f>
        <v>260253.5264</v>
      </c>
      <c r="AG10" s="23">
        <f>((B23-B22)*(AG5^1/2))</f>
        <v>-119452.41765</v>
      </c>
      <c r="AH10" s="23">
        <f>((B24-B23)*(AH5^1/2))</f>
        <v>-61892.524200000007</v>
      </c>
      <c r="AI10" s="23">
        <f>((B25-B24)*(AI5^1/2))</f>
        <v>-813825.7611</v>
      </c>
      <c r="AJ10" s="23">
        <f>((B26-B25)*(AJ5^1/2))</f>
        <v>-123274.37629999999</v>
      </c>
      <c r="AK10" s="23">
        <f>((B27-B26)*(AK5^1/2))</f>
        <v>243625.91224999999</v>
      </c>
      <c r="AL10" s="23">
        <f>((B28-B27)*(AL5^1/2))</f>
        <v>499595.47499999998</v>
      </c>
      <c r="AM10" s="23">
        <f>((B29-B28)*(AM5^1/2))</f>
        <v>-192276.12529999999</v>
      </c>
      <c r="AN10" s="23">
        <f>((B30-B29)*(AN5^1/2))</f>
        <v>549285.74540000001</v>
      </c>
      <c r="AO10" s="23">
        <f>((B31-B30)*(AO5^1/2))</f>
        <v>332886.45629999996</v>
      </c>
      <c r="AP10" s="23">
        <f>((B32-B31)*(AP5^1/2))</f>
        <v>-4531717.2</v>
      </c>
      <c r="AQ10" s="23">
        <f>((C32-C31)*(AQ5^1/2))</f>
        <v>-2366364</v>
      </c>
      <c r="AR10" s="23">
        <f>((D32-D31)*(AR5^1/2))</f>
        <v>-1044197.7000000001</v>
      </c>
    </row>
    <row r="11" spans="1:44" ht="15" customHeight="1" x14ac:dyDescent="0.25">
      <c r="A11" s="13" t="s">
        <v>27</v>
      </c>
      <c r="B11" s="14">
        <v>11766563</v>
      </c>
      <c r="C11" s="14">
        <v>3050710</v>
      </c>
      <c r="D11" s="15">
        <v>0</v>
      </c>
      <c r="E11" s="14">
        <v>12790846</v>
      </c>
      <c r="F11" s="15">
        <v>0</v>
      </c>
      <c r="G11" s="16">
        <f>-2269*1000</f>
        <v>-2269000</v>
      </c>
      <c r="H11" s="20">
        <v>15.269230769</v>
      </c>
      <c r="I11" s="14">
        <v>383844</v>
      </c>
      <c r="J11" s="17">
        <v>1.5792999521</v>
      </c>
      <c r="K11" s="14">
        <v>20187451.802000001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4">
        <v>12750519</v>
      </c>
      <c r="C12" s="14">
        <v>2043256</v>
      </c>
      <c r="D12" s="15">
        <v>0</v>
      </c>
      <c r="E12" s="14">
        <v>15665710</v>
      </c>
      <c r="F12" s="15">
        <v>0</v>
      </c>
      <c r="G12" s="16">
        <f>-1807*1000</f>
        <v>-1807000</v>
      </c>
      <c r="H12" s="20">
        <v>2.6044703209</v>
      </c>
      <c r="I12" s="14">
        <v>383839</v>
      </c>
      <c r="J12" s="17">
        <v>3.2168977320000001</v>
      </c>
      <c r="K12" s="14">
        <v>38788908.873000003</v>
      </c>
      <c r="M12" s="1" t="s">
        <v>30</v>
      </c>
      <c r="N12" s="1"/>
      <c r="O12" s="1"/>
      <c r="P12" s="4">
        <v>0</v>
      </c>
      <c r="Q12" s="24">
        <f>-($P$7+$P$8)*$N$1</f>
        <v>-36115.249044960001</v>
      </c>
      <c r="R12" s="24">
        <f>-((($P$7+$P$8)*(1+Q5))+($Q$7+$Q$8))*N1</f>
        <v>-62883.945686533836</v>
      </c>
      <c r="S12" s="24">
        <f>-((($P$7+$P$8)*(1+Q5)*(1+R5))+(($Q$7+$Q$8)*(1+R5))+((R7+R8)))*$N$1</f>
        <v>-71689.585972204324</v>
      </c>
      <c r="T12" s="24">
        <f>-((($P$7+$P$8)*(1+R5)*(1+S5)*(1+Q5))+(($Q$7+$Q$8)*(1+S5)*(1+R5))+((R7+R8)*(1+S5))+((S7+S8)))*$N$1</f>
        <v>-120579.14831426466</v>
      </c>
      <c r="U12" s="24">
        <f>-((($P$7+$P$8)*(1+T5)*(1+R5)*(1+S5)*(1+Q5))+(($Q$7+$Q$8)*(1+T5)*(1+S5)*(1+R5))+((R7+R8)*(1+S5)*(1+T5))+((S7+S8)*(1+T5))+(T7+T8))*$N$1</f>
        <v>-161385.02974435571</v>
      </c>
      <c r="V12" s="24">
        <f>-((($P$7+$P$8)*(1+U5)*(1+S5)*(1+T5)*(1+R5)*(1+Q5))+(($Q$7+$Q$8)*(1+U5)*(1+T5)*(1+S5)*(1+R5))+(($R$7+$R$8)*(1+U5)*(1+T5)*(1+S5))+((S7+S8)*(1+T5)*(1+U5))+((T7+T8)*(1+U5))+(U7+U8))*$N$1</f>
        <v>-222433.44896815237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-343368.43342765875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-468062.67750194255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-599885.10792180116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-725394.94500928361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-801467.19111203717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-1010838.5947811265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-1347849.707559163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-1639819.099432756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-2114446.1223506355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-2770511.4579597237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-3379268.5400124886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-4191393.8192267232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-5153066.7744661998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-6133899.7032949831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-6741299.6707267752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-7076057.4865933694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-7828055.2207403509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-8718854.5729960576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-9418257.166346848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-11007549.647361487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-11770769.30738931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-11564601.152650002</v>
      </c>
    </row>
    <row r="13" spans="1:44" ht="15" customHeight="1" x14ac:dyDescent="0.25">
      <c r="A13" s="13" t="s">
        <v>31</v>
      </c>
      <c r="B13" s="14">
        <v>14939574</v>
      </c>
      <c r="C13" s="14">
        <v>4508850</v>
      </c>
      <c r="D13" s="15">
        <v>0</v>
      </c>
      <c r="E13" s="14">
        <v>21165757</v>
      </c>
      <c r="F13" s="15">
        <v>0</v>
      </c>
      <c r="G13" s="16">
        <f>-1930*1000</f>
        <v>-1930000</v>
      </c>
      <c r="H13" s="20">
        <v>2.9734513273999998</v>
      </c>
      <c r="I13" s="14">
        <v>383840</v>
      </c>
      <c r="J13" s="17">
        <v>5.5597854094999999</v>
      </c>
      <c r="K13" s="14">
        <v>61970724.399999999</v>
      </c>
      <c r="M13" t="s">
        <v>32</v>
      </c>
      <c r="P13">
        <v>0</v>
      </c>
      <c r="Q13" s="24">
        <f t="shared" ref="Q13:AR13" si="0">Q12*Q5</f>
        <v>-1885.2160001469122</v>
      </c>
      <c r="R13" s="24">
        <f t="shared" si="0"/>
        <v>-1043.8734983964616</v>
      </c>
      <c r="S13" s="24">
        <f t="shared" si="0"/>
        <v>-6409.0489859150657</v>
      </c>
      <c r="T13" s="24">
        <f t="shared" si="0"/>
        <v>-7198.5751543616007</v>
      </c>
      <c r="U13" s="24">
        <f t="shared" si="0"/>
        <v>-12378.231781392084</v>
      </c>
      <c r="V13" s="24">
        <f t="shared" si="0"/>
        <v>-27870.911155709491</v>
      </c>
      <c r="W13" s="24">
        <f t="shared" si="0"/>
        <v>-31933.264308772264</v>
      </c>
      <c r="X13" s="24">
        <f t="shared" si="0"/>
        <v>-35572.763490147634</v>
      </c>
      <c r="Y13" s="24">
        <f t="shared" si="0"/>
        <v>-34133.462640750484</v>
      </c>
      <c r="Z13" s="24">
        <f t="shared" si="0"/>
        <v>-22777.401273291503</v>
      </c>
      <c r="AA13" s="24">
        <f t="shared" si="0"/>
        <v>-35745.43672359686</v>
      </c>
      <c r="AB13" s="24">
        <f t="shared" si="0"/>
        <v>-59639.477092086461</v>
      </c>
      <c r="AC13" s="24">
        <f t="shared" si="0"/>
        <v>-58092.322395799922</v>
      </c>
      <c r="AD13" s="24">
        <f t="shared" si="0"/>
        <v>-96913.308776475882</v>
      </c>
      <c r="AE13" s="24">
        <f t="shared" si="0"/>
        <v>-137438.99795279131</v>
      </c>
      <c r="AF13" s="24">
        <f t="shared" si="0"/>
        <v>-161797.86914484785</v>
      </c>
      <c r="AG13" s="24">
        <f t="shared" si="0"/>
        <v>-199714.77071473809</v>
      </c>
      <c r="AH13" s="24">
        <f t="shared" si="0"/>
        <v>-268668.34381243296</v>
      </c>
      <c r="AI13" s="24">
        <f t="shared" si="0"/>
        <v>-549832.22483554354</v>
      </c>
      <c r="AJ13" s="24">
        <f t="shared" si="0"/>
        <v>-385822.2913372544</v>
      </c>
      <c r="AK13" s="24">
        <f t="shared" si="0"/>
        <v>-198868.34028643987</v>
      </c>
      <c r="AL13" s="24">
        <f t="shared" si="0"/>
        <v>-265352.15574725135</v>
      </c>
      <c r="AM13" s="24">
        <f t="shared" si="0"/>
        <v>-337389.18001390912</v>
      </c>
      <c r="AN13" s="24">
        <f t="shared" si="0"/>
        <v>-394092.22669942176</v>
      </c>
      <c r="AO13" s="24">
        <f t="shared" si="0"/>
        <v>-947476.67093449284</v>
      </c>
      <c r="AP13" s="24">
        <f t="shared" si="0"/>
        <v>-637337.12458223011</v>
      </c>
      <c r="AQ13" s="24">
        <f t="shared" si="0"/>
        <v>-543809.54200138606</v>
      </c>
      <c r="AR13" s="24">
        <f t="shared" si="0"/>
        <v>-558570.2356729951</v>
      </c>
    </row>
    <row r="14" spans="1:44" ht="15" customHeight="1" x14ac:dyDescent="0.25">
      <c r="A14" s="13" t="s">
        <v>33</v>
      </c>
      <c r="B14" s="14">
        <v>18169333</v>
      </c>
      <c r="C14" s="14">
        <v>6459519</v>
      </c>
      <c r="D14" s="15">
        <v>0</v>
      </c>
      <c r="E14" s="14">
        <v>24797944</v>
      </c>
      <c r="F14" s="15">
        <v>0</v>
      </c>
      <c r="G14" s="15">
        <v>0</v>
      </c>
      <c r="H14" s="20">
        <v>2.591611479</v>
      </c>
      <c r="I14" s="14">
        <v>1151519</v>
      </c>
      <c r="J14" s="17">
        <v>7.6973336026999997</v>
      </c>
      <c r="K14" s="14">
        <v>82221307.900000006</v>
      </c>
      <c r="M14" s="18" t="s">
        <v>34</v>
      </c>
      <c r="N14" s="18"/>
      <c r="O14" s="25"/>
      <c r="P14" s="25">
        <f t="shared" ref="P14:AR14" si="1">(P7+P8)-(P9+P10)+P12+P13</f>
        <v>-56157.734399999958</v>
      </c>
      <c r="Q14" s="25">
        <f t="shared" si="1"/>
        <v>43616.792754893228</v>
      </c>
      <c r="R14" s="25">
        <f t="shared" si="1"/>
        <v>-47677.133565181546</v>
      </c>
      <c r="S14" s="25">
        <f t="shared" si="1"/>
        <v>-31286.936847954315</v>
      </c>
      <c r="T14" s="25">
        <f t="shared" si="1"/>
        <v>-47291.053943093393</v>
      </c>
      <c r="U14" s="25">
        <f t="shared" si="1"/>
        <v>-33527.386633972827</v>
      </c>
      <c r="V14" s="25">
        <f t="shared" si="1"/>
        <v>56844.144370209149</v>
      </c>
      <c r="W14" s="25">
        <f t="shared" si="1"/>
        <v>117836.31384406368</v>
      </c>
      <c r="X14" s="25">
        <f t="shared" si="1"/>
        <v>68991.952123164403</v>
      </c>
      <c r="Y14" s="25">
        <f t="shared" si="1"/>
        <v>-77369.346979865251</v>
      </c>
      <c r="Z14" s="25">
        <f t="shared" si="1"/>
        <v>-749671.88551161496</v>
      </c>
      <c r="AA14" s="25">
        <f t="shared" si="1"/>
        <v>934019.20923101401</v>
      </c>
      <c r="AB14" s="25">
        <f t="shared" si="1"/>
        <v>605367.63054201496</v>
      </c>
      <c r="AC14" s="25">
        <f t="shared" si="1"/>
        <v>-469731.19921067962</v>
      </c>
      <c r="AD14" s="25">
        <f t="shared" si="1"/>
        <v>280921.44161881116</v>
      </c>
      <c r="AE14" s="25">
        <f t="shared" si="1"/>
        <v>566244.02195052349</v>
      </c>
      <c r="AF14" s="25">
        <f t="shared" si="1"/>
        <v>-2721764.5621460686</v>
      </c>
      <c r="AG14" s="25">
        <f t="shared" si="1"/>
        <v>126640.64196779285</v>
      </c>
      <c r="AH14" s="25">
        <f t="shared" si="1"/>
        <v>-291385.72985071025</v>
      </c>
      <c r="AI14" s="25">
        <f t="shared" si="1"/>
        <v>-17754560.88667018</v>
      </c>
      <c r="AJ14" s="25">
        <f t="shared" si="1"/>
        <v>-14598369.464603405</v>
      </c>
      <c r="AK14" s="25">
        <f t="shared" si="1"/>
        <v>-9699806.9529513642</v>
      </c>
      <c r="AL14" s="25">
        <f t="shared" si="1"/>
        <v>-3691543.7216953188</v>
      </c>
      <c r="AM14" s="25">
        <f t="shared" si="1"/>
        <v>-4846965.4164243843</v>
      </c>
      <c r="AN14" s="25">
        <f t="shared" si="1"/>
        <v>-13202866.023196468</v>
      </c>
      <c r="AO14" s="25">
        <f t="shared" si="1"/>
        <v>-22200633.015172448</v>
      </c>
      <c r="AP14" s="25">
        <f t="shared" si="1"/>
        <v>-20310787.62571647</v>
      </c>
      <c r="AQ14" s="25">
        <f t="shared" si="1"/>
        <v>-12708998.667737165</v>
      </c>
      <c r="AR14" s="25">
        <f t="shared" si="1"/>
        <v>-2653592.4891650914</v>
      </c>
    </row>
    <row r="15" spans="1:44" ht="15" customHeight="1" x14ac:dyDescent="0.25">
      <c r="A15" s="13" t="s">
        <v>35</v>
      </c>
      <c r="B15" s="14">
        <v>24052131</v>
      </c>
      <c r="C15" s="14">
        <v>10442986</v>
      </c>
      <c r="D15" s="15">
        <v>0</v>
      </c>
      <c r="E15" s="14">
        <v>33767779</v>
      </c>
      <c r="F15" s="15">
        <v>0</v>
      </c>
      <c r="G15" s="14">
        <v>-3090000</v>
      </c>
      <c r="H15" s="20">
        <v>2.8083504000000001</v>
      </c>
      <c r="I15" s="14">
        <v>1151520</v>
      </c>
      <c r="J15" s="17">
        <v>10.064846307</v>
      </c>
      <c r="K15" s="14">
        <v>105085485.25</v>
      </c>
    </row>
    <row r="16" spans="1:44" ht="15" customHeight="1" x14ac:dyDescent="0.25">
      <c r="A16" s="13" t="s">
        <v>36</v>
      </c>
      <c r="B16" s="14">
        <v>39098760</v>
      </c>
      <c r="C16" s="14">
        <v>13431005</v>
      </c>
      <c r="D16" s="15">
        <v>0</v>
      </c>
      <c r="E16" s="14">
        <v>77611135</v>
      </c>
      <c r="F16" s="15">
        <v>0</v>
      </c>
      <c r="G16" s="14">
        <v>-2974000</v>
      </c>
      <c r="H16" s="20">
        <v>1.8001638242</v>
      </c>
      <c r="I16" s="14">
        <v>2416194</v>
      </c>
      <c r="J16" s="17">
        <v>13.729592153</v>
      </c>
      <c r="K16" s="14">
        <v>144843532.19999999</v>
      </c>
      <c r="M16" s="10" t="s">
        <v>14</v>
      </c>
      <c r="N16" s="10"/>
      <c r="O16" s="10"/>
      <c r="P16" s="26">
        <v>1996</v>
      </c>
      <c r="Q16" s="26">
        <v>1997</v>
      </c>
      <c r="R16" s="26">
        <v>1998</v>
      </c>
      <c r="S16" s="26">
        <v>1999</v>
      </c>
      <c r="T16" s="26">
        <v>2000</v>
      </c>
      <c r="U16" s="26">
        <v>2001</v>
      </c>
      <c r="V16" s="26">
        <v>2002</v>
      </c>
      <c r="W16" s="26">
        <v>2003</v>
      </c>
      <c r="X16" s="26">
        <v>2004</v>
      </c>
      <c r="Y16" s="26">
        <v>2005</v>
      </c>
      <c r="Z16" s="26">
        <v>2006</v>
      </c>
      <c r="AA16" s="26">
        <v>2007</v>
      </c>
      <c r="AB16" s="26">
        <v>2008</v>
      </c>
      <c r="AC16" s="26">
        <v>2009</v>
      </c>
      <c r="AD16" s="26">
        <v>2010</v>
      </c>
      <c r="AE16" s="26">
        <v>2011</v>
      </c>
      <c r="AF16" s="26">
        <v>2012</v>
      </c>
      <c r="AG16" s="26">
        <v>2013</v>
      </c>
      <c r="AH16" s="26">
        <v>2014</v>
      </c>
      <c r="AI16" s="26">
        <v>2015</v>
      </c>
      <c r="AJ16" s="26">
        <v>2016</v>
      </c>
      <c r="AK16" s="26">
        <v>2017</v>
      </c>
      <c r="AL16" s="26">
        <v>2018</v>
      </c>
      <c r="AM16" s="26">
        <v>2019</v>
      </c>
      <c r="AN16" s="26">
        <v>2020</v>
      </c>
      <c r="AO16" s="26">
        <v>2021</v>
      </c>
      <c r="AP16" s="26">
        <v>2022</v>
      </c>
      <c r="AQ16" s="26">
        <v>2023</v>
      </c>
      <c r="AR16" s="26">
        <v>2024</v>
      </c>
    </row>
    <row r="17" spans="1:63" ht="15" customHeight="1" x14ac:dyDescent="0.25">
      <c r="A17" s="13" t="s">
        <v>37</v>
      </c>
      <c r="B17" s="14">
        <v>57029465</v>
      </c>
      <c r="C17" s="14">
        <v>20005562</v>
      </c>
      <c r="D17" s="15">
        <v>0</v>
      </c>
      <c r="E17" s="14">
        <v>91958526</v>
      </c>
      <c r="F17" s="15">
        <v>0</v>
      </c>
      <c r="G17" s="14">
        <v>-4882000</v>
      </c>
      <c r="H17" s="20">
        <v>1.2468366785</v>
      </c>
      <c r="I17" s="14">
        <v>4832391</v>
      </c>
      <c r="J17" s="17">
        <v>25.934761173999998</v>
      </c>
      <c r="K17" s="14">
        <v>270437772.20999998</v>
      </c>
      <c r="L17" s="27" t="str">
        <f>+L19</f>
        <v>Vale ON</v>
      </c>
      <c r="M17" s="2" t="s">
        <v>38</v>
      </c>
      <c r="N17" s="2"/>
      <c r="O17" s="28"/>
      <c r="P17" s="4">
        <f>+C6</f>
        <v>516990</v>
      </c>
      <c r="Q17" s="4">
        <f>C7</f>
        <v>756000</v>
      </c>
      <c r="R17" s="4">
        <f>C8</f>
        <v>1029400</v>
      </c>
      <c r="S17" s="4">
        <f>C9</f>
        <v>1251199</v>
      </c>
      <c r="T17" s="4">
        <f>C10</f>
        <v>2132657</v>
      </c>
      <c r="U17" s="4">
        <f>C11</f>
        <v>3050710</v>
      </c>
      <c r="V17" s="4">
        <f>C12</f>
        <v>2043256</v>
      </c>
      <c r="W17" s="4">
        <f>C13</f>
        <v>4508850</v>
      </c>
      <c r="X17" s="4">
        <f>C14</f>
        <v>6459519</v>
      </c>
      <c r="Y17" s="4">
        <f>C15</f>
        <v>10442986</v>
      </c>
      <c r="Z17" s="4">
        <f>C16</f>
        <v>13431005</v>
      </c>
      <c r="AA17" s="4">
        <f>C17</f>
        <v>20005562</v>
      </c>
      <c r="AB17" s="4">
        <f>C18</f>
        <v>21279629</v>
      </c>
      <c r="AC17" s="4">
        <f>C19</f>
        <v>10248950</v>
      </c>
      <c r="AD17" s="4">
        <f>C20</f>
        <v>30070051</v>
      </c>
      <c r="AE17" s="4">
        <f>C21</f>
        <v>37813723</v>
      </c>
      <c r="AF17" s="4">
        <f>C22</f>
        <v>9733696</v>
      </c>
      <c r="AG17" s="4">
        <f>C23</f>
        <v>115091</v>
      </c>
      <c r="AH17" s="4">
        <f>C24</f>
        <v>954384</v>
      </c>
      <c r="AI17" s="4">
        <f>C25</f>
        <v>-44212187</v>
      </c>
      <c r="AJ17" s="4">
        <f>C26</f>
        <v>13311455</v>
      </c>
      <c r="AK17" s="4">
        <f>C27</f>
        <v>17627201</v>
      </c>
      <c r="AL17" s="4">
        <f>C28</f>
        <v>25656526</v>
      </c>
      <c r="AM17" s="4">
        <f>C29</f>
        <v>-6671445</v>
      </c>
      <c r="AN17" s="4">
        <f>C30</f>
        <v>26712713</v>
      </c>
      <c r="AO17" s="4">
        <f>C31</f>
        <v>121228000</v>
      </c>
      <c r="AP17" s="4">
        <f>C32</f>
        <v>18788000</v>
      </c>
      <c r="AQ17" s="4">
        <f>D32</f>
        <v>7049000</v>
      </c>
      <c r="AR17" s="4">
        <f>E32</f>
        <v>44938000</v>
      </c>
    </row>
    <row r="18" spans="1:63" ht="15" customHeight="1" x14ac:dyDescent="0.25">
      <c r="A18" s="13" t="s">
        <v>39</v>
      </c>
      <c r="B18" s="14">
        <v>96274640</v>
      </c>
      <c r="C18" s="14">
        <v>21279629</v>
      </c>
      <c r="D18" s="15">
        <v>0</v>
      </c>
      <c r="E18" s="14">
        <v>110493482</v>
      </c>
      <c r="F18" s="15">
        <v>0</v>
      </c>
      <c r="G18" s="14">
        <v>-5827277</v>
      </c>
      <c r="H18" s="20">
        <v>3.9358830228000001</v>
      </c>
      <c r="I18" s="14">
        <v>5213512</v>
      </c>
      <c r="J18" s="17">
        <v>12.522332486</v>
      </c>
      <c r="K18" s="14">
        <v>136641588.47999999</v>
      </c>
      <c r="L18" s="29" t="str">
        <f>+L19</f>
        <v>Vale ON</v>
      </c>
      <c r="M18" s="18" t="s">
        <v>40</v>
      </c>
      <c r="N18" s="18"/>
      <c r="O18" s="25"/>
      <c r="P18" s="30">
        <f t="shared" ref="P18:AR18" si="2">P14+P17</f>
        <v>460832.26560000004</v>
      </c>
      <c r="Q18" s="30">
        <f t="shared" si="2"/>
        <v>799616.79275489319</v>
      </c>
      <c r="R18" s="30">
        <f t="shared" si="2"/>
        <v>981722.86643481848</v>
      </c>
      <c r="S18" s="30">
        <f t="shared" si="2"/>
        <v>1219912.0631520457</v>
      </c>
      <c r="T18" s="30">
        <f t="shared" si="2"/>
        <v>2085365.9460569066</v>
      </c>
      <c r="U18" s="30">
        <f t="shared" si="2"/>
        <v>3017182.6133660274</v>
      </c>
      <c r="V18" s="30">
        <f t="shared" si="2"/>
        <v>2100100.144370209</v>
      </c>
      <c r="W18" s="30">
        <f t="shared" si="2"/>
        <v>4626686.3138440633</v>
      </c>
      <c r="X18" s="30">
        <f t="shared" si="2"/>
        <v>6528510.9521231642</v>
      </c>
      <c r="Y18" s="30">
        <f t="shared" si="2"/>
        <v>10365616.653020134</v>
      </c>
      <c r="Z18" s="30">
        <f t="shared" si="2"/>
        <v>12681333.114488386</v>
      </c>
      <c r="AA18" s="30">
        <f t="shared" si="2"/>
        <v>20939581.209231015</v>
      </c>
      <c r="AB18" s="30">
        <f t="shared" si="2"/>
        <v>21884996.630542014</v>
      </c>
      <c r="AC18" s="30">
        <f t="shared" si="2"/>
        <v>9779218.8007893208</v>
      </c>
      <c r="AD18" s="30">
        <f t="shared" si="2"/>
        <v>30350972.441618811</v>
      </c>
      <c r="AE18" s="30">
        <f t="shared" si="2"/>
        <v>38379967.021950521</v>
      </c>
      <c r="AF18" s="30">
        <f t="shared" si="2"/>
        <v>7011931.4378539314</v>
      </c>
      <c r="AG18" s="30">
        <f t="shared" si="2"/>
        <v>241731.64196779285</v>
      </c>
      <c r="AH18" s="30">
        <f t="shared" si="2"/>
        <v>662998.27014928975</v>
      </c>
      <c r="AI18" s="30">
        <f t="shared" si="2"/>
        <v>-61966747.88667018</v>
      </c>
      <c r="AJ18" s="30">
        <f t="shared" si="2"/>
        <v>-1286914.4646034054</v>
      </c>
      <c r="AK18" s="30">
        <f t="shared" si="2"/>
        <v>7927394.0470486358</v>
      </c>
      <c r="AL18" s="30">
        <f t="shared" si="2"/>
        <v>21964982.278304681</v>
      </c>
      <c r="AM18" s="30">
        <f t="shared" si="2"/>
        <v>-11518410.416424384</v>
      </c>
      <c r="AN18" s="30">
        <f t="shared" si="2"/>
        <v>13509846.976803532</v>
      </c>
      <c r="AO18" s="30">
        <f t="shared" si="2"/>
        <v>99027366.984827548</v>
      </c>
      <c r="AP18" s="30">
        <f t="shared" si="2"/>
        <v>-1522787.6257164702</v>
      </c>
      <c r="AQ18" s="30">
        <f t="shared" si="2"/>
        <v>-5659998.6677371655</v>
      </c>
      <c r="AR18" s="30">
        <f t="shared" si="2"/>
        <v>42284407.51083491</v>
      </c>
    </row>
    <row r="19" spans="1:63" ht="15" customHeight="1" x14ac:dyDescent="0.25">
      <c r="A19" s="13" t="s">
        <v>41</v>
      </c>
      <c r="B19" s="14">
        <v>95736974</v>
      </c>
      <c r="C19" s="14">
        <v>10248950</v>
      </c>
      <c r="D19" s="15">
        <v>0</v>
      </c>
      <c r="E19" s="14">
        <v>115160408</v>
      </c>
      <c r="F19" s="15">
        <v>0</v>
      </c>
      <c r="G19" s="14">
        <v>-5381155</v>
      </c>
      <c r="H19" s="20">
        <v>2.0537825798</v>
      </c>
      <c r="I19" s="14">
        <v>5212725</v>
      </c>
      <c r="J19" s="17">
        <v>22.964349669000001</v>
      </c>
      <c r="K19" s="14">
        <v>243203602.09999999</v>
      </c>
      <c r="L19" s="18" t="str">
        <f>+A1</f>
        <v>Vale ON</v>
      </c>
      <c r="M19" s="18" t="s">
        <v>42</v>
      </c>
      <c r="N19" s="18"/>
      <c r="O19" s="31"/>
      <c r="P19" s="31">
        <f t="shared" ref="P19:AR19" si="3">P18/P17</f>
        <v>0.89137558869610634</v>
      </c>
      <c r="Q19" s="31">
        <f t="shared" si="3"/>
        <v>1.0576941703107052</v>
      </c>
      <c r="R19" s="31">
        <f t="shared" si="3"/>
        <v>0.95368454093143429</v>
      </c>
      <c r="S19" s="31">
        <f t="shared" si="3"/>
        <v>0.97499443585876089</v>
      </c>
      <c r="T19" s="31">
        <f t="shared" si="3"/>
        <v>0.97782528838763416</v>
      </c>
      <c r="U19" s="31">
        <f t="shared" si="3"/>
        <v>0.9890099725526279</v>
      </c>
      <c r="V19" s="31">
        <f t="shared" si="3"/>
        <v>1.0278203731545186</v>
      </c>
      <c r="W19" s="31">
        <f t="shared" si="3"/>
        <v>1.0261344497696891</v>
      </c>
      <c r="X19" s="31">
        <f t="shared" si="3"/>
        <v>1.0106806640127792</v>
      </c>
      <c r="Y19" s="31">
        <f t="shared" si="3"/>
        <v>0.99259126202219694</v>
      </c>
      <c r="Z19" s="31">
        <f t="shared" si="3"/>
        <v>0.94418348548663233</v>
      </c>
      <c r="AA19" s="31">
        <f t="shared" si="3"/>
        <v>1.0466879765352763</v>
      </c>
      <c r="AB19" s="31">
        <f t="shared" si="3"/>
        <v>1.0284482229714631</v>
      </c>
      <c r="AC19" s="31">
        <f t="shared" si="3"/>
        <v>0.954167870932078</v>
      </c>
      <c r="AD19" s="31">
        <f t="shared" si="3"/>
        <v>1.0093422336270335</v>
      </c>
      <c r="AE19" s="31">
        <f t="shared" si="3"/>
        <v>1.0149745641800603</v>
      </c>
      <c r="AF19" s="31">
        <f t="shared" si="3"/>
        <v>0.72037707340088819</v>
      </c>
      <c r="AG19" s="31">
        <f t="shared" si="3"/>
        <v>2.1003522601054194</v>
      </c>
      <c r="AH19" s="31">
        <f t="shared" si="3"/>
        <v>0.69468711771078495</v>
      </c>
      <c r="AI19" s="31">
        <f t="shared" si="3"/>
        <v>1.4015761737068149</v>
      </c>
      <c r="AJ19" s="31">
        <f t="shared" si="3"/>
        <v>-9.6677220078752124E-2</v>
      </c>
      <c r="AK19" s="31">
        <f t="shared" si="3"/>
        <v>0.44972506111711302</v>
      </c>
      <c r="AL19" s="31">
        <f t="shared" si="3"/>
        <v>0.85611677427819655</v>
      </c>
      <c r="AM19" s="31">
        <f t="shared" si="3"/>
        <v>1.7265240763319467</v>
      </c>
      <c r="AN19" s="31">
        <f t="shared" si="3"/>
        <v>0.50574597109636643</v>
      </c>
      <c r="AO19" s="31">
        <f t="shared" si="3"/>
        <v>0.81686876781624329</v>
      </c>
      <c r="AP19" s="31">
        <f t="shared" si="3"/>
        <v>-8.1051076523124876E-2</v>
      </c>
      <c r="AQ19" s="31">
        <f t="shared" si="3"/>
        <v>-0.80295058415905307</v>
      </c>
      <c r="AR19" s="31">
        <f t="shared" si="3"/>
        <v>0.94094992013073364</v>
      </c>
    </row>
    <row r="20" spans="1:63" ht="15" customHeight="1" x14ac:dyDescent="0.25">
      <c r="A20" s="13" t="s">
        <v>43</v>
      </c>
      <c r="B20" s="14">
        <v>112118004</v>
      </c>
      <c r="C20" s="14">
        <v>30070051</v>
      </c>
      <c r="D20" s="14">
        <v>18273788</v>
      </c>
      <c r="E20" s="14">
        <v>130086834</v>
      </c>
      <c r="F20" s="14">
        <v>3945462</v>
      </c>
      <c r="G20" s="14">
        <v>-5337898</v>
      </c>
      <c r="H20" s="20">
        <v>1.7654339743</v>
      </c>
      <c r="I20" s="14">
        <v>5218280</v>
      </c>
      <c r="J20" s="17">
        <v>26.120957646000001</v>
      </c>
      <c r="K20" s="14">
        <v>275006440.5</v>
      </c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63" ht="15" customHeight="1" x14ac:dyDescent="0.25">
      <c r="A21" s="13" t="s">
        <v>44</v>
      </c>
      <c r="B21" s="14">
        <v>143475398</v>
      </c>
      <c r="C21" s="14">
        <v>37813723</v>
      </c>
      <c r="D21" s="14">
        <v>19752321</v>
      </c>
      <c r="E21" s="14">
        <v>158105394</v>
      </c>
      <c r="F21" s="14">
        <v>10917110</v>
      </c>
      <c r="G21" s="14">
        <v>-15125323</v>
      </c>
      <c r="H21" s="20">
        <v>7.3139713865999996</v>
      </c>
      <c r="I21" s="14">
        <v>5097292</v>
      </c>
      <c r="J21" s="17">
        <v>19.823495701999999</v>
      </c>
      <c r="K21" s="14">
        <v>197946380.25999999</v>
      </c>
      <c r="M21" s="2" t="s">
        <v>14</v>
      </c>
      <c r="N21" s="2"/>
      <c r="O21" s="2"/>
      <c r="P21" s="3">
        <v>1996</v>
      </c>
      <c r="Q21" s="3">
        <v>1997</v>
      </c>
      <c r="R21" s="3">
        <v>1998</v>
      </c>
      <c r="S21" s="3">
        <v>1999</v>
      </c>
      <c r="T21" s="3">
        <v>2000</v>
      </c>
      <c r="U21" s="3">
        <v>2001</v>
      </c>
      <c r="V21" s="3">
        <v>2002</v>
      </c>
      <c r="W21" s="3">
        <v>2003</v>
      </c>
      <c r="X21" s="3">
        <v>2004</v>
      </c>
      <c r="Y21" s="3">
        <v>2005</v>
      </c>
      <c r="Z21" s="3">
        <v>2006</v>
      </c>
      <c r="AA21" s="3">
        <v>2007</v>
      </c>
      <c r="AB21" s="3">
        <v>2008</v>
      </c>
      <c r="AC21" s="3">
        <v>2009</v>
      </c>
      <c r="AD21" s="3">
        <v>2010</v>
      </c>
      <c r="AE21" s="3">
        <v>2011</v>
      </c>
      <c r="AF21" s="3">
        <v>2012</v>
      </c>
      <c r="AG21" s="3">
        <v>2013</v>
      </c>
      <c r="AH21" s="3">
        <v>2014</v>
      </c>
      <c r="AI21" s="3">
        <v>2015</v>
      </c>
      <c r="AJ21" s="3">
        <v>2016</v>
      </c>
      <c r="AK21" s="3">
        <v>2017</v>
      </c>
      <c r="AL21" s="3">
        <v>2018</v>
      </c>
      <c r="AM21" s="3">
        <v>2019</v>
      </c>
      <c r="AN21" s="3">
        <v>2020</v>
      </c>
      <c r="AO21" s="3">
        <v>2021</v>
      </c>
      <c r="AP21" s="3">
        <v>2022</v>
      </c>
      <c r="AQ21" s="3">
        <v>2023</v>
      </c>
      <c r="AR21" s="3">
        <v>2024</v>
      </c>
    </row>
    <row r="22" spans="1:63" ht="15" customHeight="1" x14ac:dyDescent="0.25">
      <c r="A22" s="13" t="s">
        <v>45</v>
      </c>
      <c r="B22" s="14">
        <v>152388190</v>
      </c>
      <c r="C22" s="14">
        <v>9733696</v>
      </c>
      <c r="D22" s="14">
        <v>18822027</v>
      </c>
      <c r="E22" s="14">
        <v>173454620</v>
      </c>
      <c r="F22" s="14">
        <v>13044460</v>
      </c>
      <c r="G22" s="14">
        <v>-11686356</v>
      </c>
      <c r="H22" s="20">
        <v>5.3495741455000001</v>
      </c>
      <c r="I22" s="14">
        <v>5153376</v>
      </c>
      <c r="J22" s="17">
        <v>22.480161399</v>
      </c>
      <c r="K22" s="14">
        <v>215110249.25999999</v>
      </c>
      <c r="L22" s="29" t="str">
        <f>+L24</f>
        <v>Vale ON</v>
      </c>
      <c r="M22" s="18" t="s">
        <v>46</v>
      </c>
      <c r="N22" s="32"/>
      <c r="O22" s="32"/>
      <c r="P22" s="30">
        <v>10228870</v>
      </c>
      <c r="Q22" s="30">
        <v>9472000</v>
      </c>
      <c r="R22" s="30">
        <v>9712283</v>
      </c>
      <c r="S22" s="30">
        <v>10502002</v>
      </c>
      <c r="T22" s="30">
        <v>10565590</v>
      </c>
      <c r="U22" s="30">
        <v>11766563</v>
      </c>
      <c r="V22" s="30">
        <v>12750519</v>
      </c>
      <c r="W22" s="30">
        <v>14939574</v>
      </c>
      <c r="X22" s="30">
        <v>18169333</v>
      </c>
      <c r="Y22" s="30">
        <v>24052131</v>
      </c>
      <c r="Z22" s="30">
        <v>39098760</v>
      </c>
      <c r="AA22" s="30">
        <v>57029465</v>
      </c>
      <c r="AB22" s="30">
        <v>96274640</v>
      </c>
      <c r="AC22" s="30">
        <v>95736974</v>
      </c>
      <c r="AD22" s="30">
        <v>112118004</v>
      </c>
      <c r="AE22" s="30">
        <v>143475398</v>
      </c>
      <c r="AF22" s="30">
        <v>152388190</v>
      </c>
      <c r="AG22" s="30">
        <v>148345807</v>
      </c>
      <c r="AH22" s="30">
        <v>146414683</v>
      </c>
      <c r="AI22" s="30">
        <v>131160217</v>
      </c>
      <c r="AJ22" s="30">
        <v>127240523</v>
      </c>
      <c r="AK22" s="30">
        <v>143757534</v>
      </c>
      <c r="AL22" s="30">
        <v>170402626</v>
      </c>
      <c r="AM22" s="30">
        <v>161480300</v>
      </c>
      <c r="AN22" s="30">
        <v>185784979</v>
      </c>
      <c r="AO22" s="30">
        <v>192403000</v>
      </c>
      <c r="AP22" s="30">
        <v>187112000</v>
      </c>
      <c r="AQ22" s="30">
        <v>187112000</v>
      </c>
      <c r="AR22" s="30">
        <v>187112000</v>
      </c>
    </row>
    <row r="23" spans="1:63" ht="15" customHeight="1" x14ac:dyDescent="0.25">
      <c r="A23" s="13" t="s">
        <v>47</v>
      </c>
      <c r="B23" s="14">
        <v>148345807</v>
      </c>
      <c r="C23" s="14">
        <v>115091</v>
      </c>
      <c r="D23" s="14">
        <v>16095817</v>
      </c>
      <c r="E23" s="14">
        <v>191308239</v>
      </c>
      <c r="F23" s="14">
        <v>8396791</v>
      </c>
      <c r="G23" s="14">
        <v>-9365727</v>
      </c>
      <c r="H23" s="20">
        <v>5.0640797592000002</v>
      </c>
      <c r="I23" s="14">
        <v>5153376</v>
      </c>
      <c r="J23" s="17">
        <v>20.021503710000001</v>
      </c>
      <c r="K23" s="14">
        <v>178163245.40000001</v>
      </c>
      <c r="L23" s="29" t="str">
        <f>+L25</f>
        <v>Vale ON</v>
      </c>
      <c r="M23" s="18" t="s">
        <v>48</v>
      </c>
      <c r="N23" s="32"/>
      <c r="O23" s="32"/>
      <c r="P23" s="30">
        <f>P22+P9+P10+P14</f>
        <v>11164498.2136</v>
      </c>
      <c r="Q23" s="33">
        <f>Q22+Q9+Q10+Q14+((P9+P10+P14)*(1+Q5))</f>
        <v>11063117.298854733</v>
      </c>
      <c r="R23" s="33">
        <f>R22+R9+R10+R14+((Q9+Q10+Q14)*(1+R5))+(((P9+P10+P14)*(1+R5)*(1+Q5)))</f>
        <v>11466967.067951879</v>
      </c>
      <c r="S23" s="33">
        <f>S22+S9+S10+S14+((R9+R10+R14)*(1+S5))+(((Q9+Q10+Q14)*(1+S5)*(1+R5)))+(((P9+P10+P14)*(1+S5)*(1+R5)*(1+Q5)))</f>
        <v>13435987.622765688</v>
      </c>
      <c r="T23" s="33">
        <f>T22+T9+T10+T14+((S9+S10+S14)*(1+T5))+(((R9+R10+R14)*(1+T5)*(1+S5)))+(((Q9+Q10+Q14)*(1+T5)*(1+S5)*(1+R5)))+(((P9+P10+P14)*(1+T5)*(1+S5)*(1+R5)*(1+Q5)))</f>
        <v>14417612.443974344</v>
      </c>
      <c r="U23" s="33">
        <f>U22+U9+U10+U14+((T9+T10+T14)*(1+U5))+((S9+S10+S14)*(1+U5)*(1+T5))+((R9+R10+R14)*(1+U5)*(1+T5)*(1+S5))+((Q9+Q10+Q14)*(1+U5)*(1+T5)*(1+S5)*(1+R5))+((P9+P10+P14)*(1+U5)*(1+T5)*(1+S5)*(1+R5)*(1+Q5))</f>
        <v>17001157.988937814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20801690.735948507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25767337.200471651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31809885.450013619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40202075.900559746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56388336.286057897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78751025.805800468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125393088.49208991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130763477.0293926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157263170.33212212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202739030.50673035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223759763.53843123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236222014.43883806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253417180.51529807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255294228.649178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258175598.21750489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275385838.64660734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312267308.56272483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315557398.8849777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345725067.36267036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374611076.40087813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371909955.84369743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371243584.60867274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382306589.50040215</v>
      </c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</row>
    <row r="24" spans="1:63" ht="15" customHeight="1" x14ac:dyDescent="0.25">
      <c r="A24" s="13" t="s">
        <v>49</v>
      </c>
      <c r="B24" s="14">
        <v>146414683</v>
      </c>
      <c r="C24" s="14">
        <v>954384</v>
      </c>
      <c r="D24" s="14">
        <v>18114144</v>
      </c>
      <c r="E24" s="14">
        <v>207507063</v>
      </c>
      <c r="F24" s="14">
        <v>10977902</v>
      </c>
      <c r="G24" s="14">
        <v>-9902993</v>
      </c>
      <c r="H24" s="20">
        <v>8.6251985211999997</v>
      </c>
      <c r="I24" s="14">
        <v>5153375</v>
      </c>
      <c r="J24" s="17">
        <v>13.103655286</v>
      </c>
      <c r="K24" s="14">
        <v>107636951.29000001</v>
      </c>
      <c r="L24" s="29" t="str">
        <f>+L25</f>
        <v>Vale ON</v>
      </c>
      <c r="M24" s="18" t="s">
        <v>50</v>
      </c>
      <c r="N24" s="32"/>
      <c r="O24" s="32"/>
      <c r="P24" s="30">
        <v>9288841</v>
      </c>
      <c r="Q24" s="30">
        <v>8125005.7422000002</v>
      </c>
      <c r="R24" s="30">
        <v>4699923.0522999996</v>
      </c>
      <c r="S24" s="30">
        <v>17428087.655999999</v>
      </c>
      <c r="T24" s="30">
        <v>16748049.408</v>
      </c>
      <c r="U24" s="30">
        <v>20187451.802000001</v>
      </c>
      <c r="V24" s="30">
        <v>38788908.873000003</v>
      </c>
      <c r="W24" s="30">
        <v>61970724.399999999</v>
      </c>
      <c r="X24" s="30">
        <v>82221307.900000006</v>
      </c>
      <c r="Y24" s="30">
        <v>105085485.25</v>
      </c>
      <c r="Z24" s="30">
        <v>144843532.19999999</v>
      </c>
      <c r="AA24" s="30">
        <v>270437772.20999998</v>
      </c>
      <c r="AB24" s="30">
        <v>136641588.47999999</v>
      </c>
      <c r="AC24" s="30">
        <v>243203602.09999999</v>
      </c>
      <c r="AD24" s="30">
        <v>275006440.5</v>
      </c>
      <c r="AE24" s="30">
        <v>197946380.25999999</v>
      </c>
      <c r="AF24" s="30">
        <v>215110249.25999999</v>
      </c>
      <c r="AG24" s="30">
        <v>178163245.40000001</v>
      </c>
      <c r="AH24" s="30">
        <v>107636951.29000001</v>
      </c>
      <c r="AI24" s="30">
        <v>61678209.090000004</v>
      </c>
      <c r="AJ24" s="30">
        <v>127734200.52</v>
      </c>
      <c r="AK24" s="30">
        <v>209248612.80000001</v>
      </c>
      <c r="AL24" s="30">
        <v>261439209.61000001</v>
      </c>
      <c r="AM24" s="30">
        <v>273337484.54000002</v>
      </c>
      <c r="AN24" s="30">
        <v>448610718</v>
      </c>
      <c r="AO24" s="30">
        <v>377296542.25999999</v>
      </c>
      <c r="AP24" s="30">
        <v>398455973.70999998</v>
      </c>
      <c r="AQ24" s="30">
        <f>+K33</f>
        <v>282697169.366063</v>
      </c>
      <c r="AR24" s="30">
        <f>+K34</f>
        <v>219809105.16387299</v>
      </c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</row>
    <row r="25" spans="1:63" ht="15" customHeight="1" x14ac:dyDescent="0.25">
      <c r="A25" s="13" t="s">
        <v>51</v>
      </c>
      <c r="B25" s="14">
        <v>131160217</v>
      </c>
      <c r="C25" s="14">
        <v>-44212187</v>
      </c>
      <c r="D25" s="14">
        <v>20789490</v>
      </c>
      <c r="E25" s="14">
        <v>211259131</v>
      </c>
      <c r="F25" s="14">
        <v>11481466</v>
      </c>
      <c r="G25" s="14">
        <v>-5072360</v>
      </c>
      <c r="H25" s="20">
        <v>7.4855757790000004</v>
      </c>
      <c r="I25" s="14">
        <v>5153375</v>
      </c>
      <c r="J25" s="17">
        <v>8.2129646612999991</v>
      </c>
      <c r="K25" s="14">
        <v>61678209.090000004</v>
      </c>
      <c r="L25" s="18" t="str">
        <f>+A1</f>
        <v>Vale ON</v>
      </c>
      <c r="M25" s="18" t="s">
        <v>52</v>
      </c>
      <c r="N25" s="18"/>
      <c r="O25" s="18"/>
      <c r="P25" s="31">
        <f t="shared" ref="P25:AR25" si="4">P24/P23</f>
        <v>0.83199807302443973</v>
      </c>
      <c r="Q25" s="31">
        <f t="shared" si="4"/>
        <v>0.73442281435821988</v>
      </c>
      <c r="R25" s="31">
        <f t="shared" si="4"/>
        <v>0.40986627278589155</v>
      </c>
      <c r="S25" s="31">
        <f t="shared" si="4"/>
        <v>1.2971199546559697</v>
      </c>
      <c r="T25" s="31">
        <f t="shared" si="4"/>
        <v>1.1616382027940855</v>
      </c>
      <c r="U25" s="31">
        <f t="shared" si="4"/>
        <v>1.1874162815930198</v>
      </c>
      <c r="V25" s="31">
        <f t="shared" si="4"/>
        <v>1.8646998152879386</v>
      </c>
      <c r="W25" s="31">
        <f t="shared" si="4"/>
        <v>2.4050108056514925</v>
      </c>
      <c r="X25" s="31">
        <f t="shared" si="4"/>
        <v>2.5847722095448415</v>
      </c>
      <c r="Y25" s="31">
        <f t="shared" si="4"/>
        <v>2.6139318156089759</v>
      </c>
      <c r="Z25" s="31">
        <f t="shared" si="4"/>
        <v>2.5686789456814099</v>
      </c>
      <c r="AA25" s="31">
        <f t="shared" si="4"/>
        <v>3.4340857079995097</v>
      </c>
      <c r="AB25" s="31">
        <f t="shared" si="4"/>
        <v>1.089705901044296</v>
      </c>
      <c r="AC25" s="31">
        <f t="shared" si="4"/>
        <v>1.8598740843005686</v>
      </c>
      <c r="AD25" s="31">
        <f t="shared" si="4"/>
        <v>1.7487021272636012</v>
      </c>
      <c r="AE25" s="31">
        <f t="shared" si="4"/>
        <v>0.97636049538783187</v>
      </c>
      <c r="AF25" s="31">
        <f t="shared" si="4"/>
        <v>0.96134463970799799</v>
      </c>
      <c r="AG25" s="31">
        <f t="shared" si="4"/>
        <v>0.754219482139458</v>
      </c>
      <c r="AH25" s="31">
        <f t="shared" si="4"/>
        <v>0.42474212313123844</v>
      </c>
      <c r="AI25" s="31">
        <f t="shared" si="4"/>
        <v>0.24159656650428002</v>
      </c>
      <c r="AJ25" s="31">
        <f t="shared" si="4"/>
        <v>0.49475706225492277</v>
      </c>
      <c r="AK25" s="31">
        <f t="shared" si="4"/>
        <v>0.75983795618670558</v>
      </c>
      <c r="AL25" s="31">
        <f t="shared" si="4"/>
        <v>0.83722888192596367</v>
      </c>
      <c r="AM25" s="31">
        <f t="shared" si="4"/>
        <v>0.86620527836088845</v>
      </c>
      <c r="AN25" s="31">
        <f t="shared" si="4"/>
        <v>1.2975938407422485</v>
      </c>
      <c r="AO25" s="31">
        <f t="shared" si="4"/>
        <v>1.0071686771382278</v>
      </c>
      <c r="AP25" s="31">
        <f t="shared" si="4"/>
        <v>1.0713775403137071</v>
      </c>
      <c r="AQ25" s="31">
        <f t="shared" si="4"/>
        <v>0.76148701576635625</v>
      </c>
      <c r="AR25" s="31">
        <f t="shared" si="4"/>
        <v>0.57495505230793775</v>
      </c>
      <c r="AT25" s="34"/>
      <c r="AU25" s="34"/>
      <c r="AV25" s="34"/>
      <c r="AW25" s="34"/>
    </row>
    <row r="26" spans="1:63" ht="15" customHeight="1" x14ac:dyDescent="0.25">
      <c r="A26" s="13" t="s">
        <v>53</v>
      </c>
      <c r="B26" s="14">
        <v>127240523</v>
      </c>
      <c r="C26" s="14">
        <v>13311455</v>
      </c>
      <c r="D26" s="14">
        <v>22394406</v>
      </c>
      <c r="E26" s="14">
        <v>180615914</v>
      </c>
      <c r="F26" s="14">
        <v>12046204</v>
      </c>
      <c r="G26" s="14">
        <v>-1829400</v>
      </c>
      <c r="H26" s="20">
        <v>0.64756205607999995</v>
      </c>
      <c r="I26" s="14">
        <v>5153375</v>
      </c>
      <c r="J26" s="17">
        <v>16.281511471999998</v>
      </c>
      <c r="K26" s="14">
        <v>127734200.52</v>
      </c>
      <c r="AT26" s="34"/>
      <c r="AU26" s="34"/>
      <c r="AV26" s="34"/>
      <c r="AW26" s="34"/>
    </row>
    <row r="27" spans="1:63" ht="15" customHeight="1" x14ac:dyDescent="0.25">
      <c r="A27" s="13" t="s">
        <v>54</v>
      </c>
      <c r="B27" s="14">
        <v>143757534</v>
      </c>
      <c r="C27" s="14">
        <v>17627201</v>
      </c>
      <c r="D27" s="14">
        <v>28094181</v>
      </c>
      <c r="E27" s="14">
        <v>181534815</v>
      </c>
      <c r="F27" s="14">
        <v>11801596</v>
      </c>
      <c r="G27" s="14">
        <v>-4667210</v>
      </c>
      <c r="H27" s="20">
        <v>3.2923103602000001</v>
      </c>
      <c r="I27" s="14">
        <v>5197432</v>
      </c>
      <c r="J27" s="17">
        <v>26.658775111000001</v>
      </c>
      <c r="K27" s="14">
        <v>209248612.80000001</v>
      </c>
      <c r="S27" s="67"/>
      <c r="AS27" s="34"/>
    </row>
    <row r="28" spans="1:63" ht="15" customHeight="1" x14ac:dyDescent="0.25">
      <c r="A28" s="13" t="s">
        <v>55</v>
      </c>
      <c r="B28" s="14">
        <v>170402626</v>
      </c>
      <c r="C28" s="14">
        <v>25656526</v>
      </c>
      <c r="D28" s="14">
        <v>30850392</v>
      </c>
      <c r="E28" s="14">
        <v>187481499</v>
      </c>
      <c r="F28" s="14">
        <v>12495002</v>
      </c>
      <c r="G28" s="14">
        <v>-13050573</v>
      </c>
      <c r="H28" s="20">
        <v>3.8605359020000001</v>
      </c>
      <c r="I28" s="14">
        <v>5126259</v>
      </c>
      <c r="J28" s="17">
        <v>35.138512194999997</v>
      </c>
      <c r="K28" s="14">
        <v>261439209.61000001</v>
      </c>
    </row>
    <row r="29" spans="1:63" ht="15" customHeight="1" x14ac:dyDescent="0.25">
      <c r="A29" s="13" t="s">
        <v>56</v>
      </c>
      <c r="B29" s="14">
        <v>161480300</v>
      </c>
      <c r="C29" s="14">
        <v>-6671445</v>
      </c>
      <c r="D29" s="14">
        <v>34256976</v>
      </c>
      <c r="E29" s="14">
        <v>187733155</v>
      </c>
      <c r="F29" s="14">
        <v>11277871</v>
      </c>
      <c r="G29" s="14">
        <v>-695071</v>
      </c>
      <c r="H29" s="20">
        <v>2.6535916867</v>
      </c>
      <c r="I29" s="14">
        <v>5128283</v>
      </c>
      <c r="J29" s="17">
        <v>37.696292831999997</v>
      </c>
      <c r="K29" s="14">
        <v>273337484.54000002</v>
      </c>
    </row>
    <row r="30" spans="1:63" ht="15" customHeight="1" x14ac:dyDescent="0.25">
      <c r="A30" s="13" t="s">
        <v>57</v>
      </c>
      <c r="B30" s="14">
        <v>185784979</v>
      </c>
      <c r="C30" s="14">
        <v>26712713</v>
      </c>
      <c r="D30" s="14">
        <v>48308512</v>
      </c>
      <c r="E30" s="14">
        <v>213835752</v>
      </c>
      <c r="F30" s="14">
        <v>10556640</v>
      </c>
      <c r="G30" s="14">
        <v>-18708953</v>
      </c>
      <c r="H30" s="20">
        <v>2.7530139736999999</v>
      </c>
      <c r="I30" s="14">
        <v>5129911</v>
      </c>
      <c r="J30" s="17">
        <v>64.434230667999998</v>
      </c>
      <c r="K30" s="14">
        <v>448610718</v>
      </c>
    </row>
    <row r="31" spans="1:63" ht="15" customHeight="1" x14ac:dyDescent="0.25">
      <c r="A31" s="13" t="s">
        <v>58</v>
      </c>
      <c r="B31" s="14">
        <v>192403000</v>
      </c>
      <c r="C31" s="14">
        <v>121228000</v>
      </c>
      <c r="D31" s="14">
        <v>50287000</v>
      </c>
      <c r="E31" s="14">
        <v>233995000</v>
      </c>
      <c r="F31" s="14">
        <v>9771000</v>
      </c>
      <c r="G31" s="14">
        <v>-73287000</v>
      </c>
      <c r="H31" s="20">
        <v>18.773708053</v>
      </c>
      <c r="I31" s="14">
        <v>4839617</v>
      </c>
      <c r="J31" s="17">
        <v>67.566295697000001</v>
      </c>
      <c r="K31" s="14">
        <v>377296542.25999999</v>
      </c>
      <c r="AQ31" s="34"/>
    </row>
    <row r="32" spans="1:63" ht="15" customHeight="1" x14ac:dyDescent="0.25">
      <c r="A32" s="13" t="s">
        <v>59</v>
      </c>
      <c r="B32" s="14">
        <v>35867000</v>
      </c>
      <c r="C32" s="14">
        <v>18788000</v>
      </c>
      <c r="D32" s="14">
        <v>7049000</v>
      </c>
      <c r="E32" s="14">
        <v>44938000</v>
      </c>
      <c r="F32" s="14">
        <v>9381000</v>
      </c>
      <c r="G32" s="14">
        <v>-34157000</v>
      </c>
      <c r="H32" s="20">
        <v>8.530740926</v>
      </c>
      <c r="I32" s="14">
        <v>4483078</v>
      </c>
      <c r="J32" s="17">
        <v>84.423117567000006</v>
      </c>
      <c r="K32" s="14">
        <v>325069232.96793801</v>
      </c>
      <c r="AQ32" s="34"/>
    </row>
    <row r="33" spans="1:43" ht="15" customHeight="1" x14ac:dyDescent="0.25">
      <c r="A33" s="13" t="s">
        <v>60</v>
      </c>
      <c r="B33" s="14">
        <v>39461000</v>
      </c>
      <c r="C33" s="14">
        <v>7983000</v>
      </c>
      <c r="D33" s="14">
        <v>8368000</v>
      </c>
      <c r="E33" s="14">
        <v>48396000</v>
      </c>
      <c r="F33" s="14"/>
      <c r="G33" s="14"/>
      <c r="H33" s="14"/>
      <c r="I33" s="14"/>
      <c r="J33" s="14"/>
      <c r="K33" s="14">
        <v>282697169.366063</v>
      </c>
      <c r="AQ33" s="34"/>
    </row>
    <row r="34" spans="1:43" ht="15" customHeight="1" x14ac:dyDescent="0.25">
      <c r="A34" s="13" t="s">
        <v>61</v>
      </c>
      <c r="B34" s="14">
        <v>33406000</v>
      </c>
      <c r="C34" s="14">
        <v>6166000</v>
      </c>
      <c r="D34" s="14">
        <v>7476000</v>
      </c>
      <c r="E34" s="14">
        <v>39984000</v>
      </c>
      <c r="F34" s="14"/>
      <c r="G34" s="14"/>
      <c r="H34" s="14"/>
      <c r="I34" s="14"/>
      <c r="J34" s="14"/>
      <c r="K34" s="14">
        <v>219809105.16387299</v>
      </c>
      <c r="AQ34" s="34"/>
    </row>
    <row r="46" spans="1:43" ht="15" customHeight="1" x14ac:dyDescent="0.25">
      <c r="M46" s="2" t="s">
        <v>62</v>
      </c>
      <c r="N46" s="1"/>
      <c r="O46" s="1"/>
      <c r="P46" s="35">
        <f>-G6/P17</f>
        <v>0</v>
      </c>
      <c r="Q46" s="35">
        <f>-G7/Q17</f>
        <v>0</v>
      </c>
      <c r="R46" s="35">
        <f>-G8/R17</f>
        <v>0</v>
      </c>
      <c r="S46" s="35">
        <f>-G9/S17</f>
        <v>0.65537136778402161</v>
      </c>
      <c r="T46" s="35">
        <f>-G10/T17</f>
        <v>0.21100439498709825</v>
      </c>
      <c r="U46" s="35">
        <f>-G11/U17</f>
        <v>0.74376128835582533</v>
      </c>
      <c r="V46" s="35">
        <f>-G12/V17</f>
        <v>0.88437278539742448</v>
      </c>
      <c r="W46" s="35">
        <f>-G13/W17</f>
        <v>0.42804706299832551</v>
      </c>
      <c r="X46" s="35">
        <f>-G14/X17</f>
        <v>0</v>
      </c>
      <c r="Y46" s="35">
        <f>-G15/Y17</f>
        <v>0.29589238173832655</v>
      </c>
      <c r="Z46" s="35">
        <f>-G16/Z17</f>
        <v>0.22142795717818584</v>
      </c>
      <c r="AA46" s="35">
        <f>-G17/AA17</f>
        <v>0.24403213466335011</v>
      </c>
      <c r="AB46" s="35">
        <f>-G18/AB17</f>
        <v>0.27384297912336725</v>
      </c>
      <c r="AC46" s="35">
        <f>-G19/AC17</f>
        <v>0.52504451675537489</v>
      </c>
      <c r="AD46" s="35">
        <f>-G20/AD17</f>
        <v>0.17751542888969493</v>
      </c>
      <c r="AE46" s="35">
        <f>-G21/AE17</f>
        <v>0.39999560477025764</v>
      </c>
      <c r="AF46" s="35">
        <f>-G22/AF17</f>
        <v>1.2006082787052319</v>
      </c>
      <c r="AG46" s="35">
        <f>-G23/AG17</f>
        <v>81.376710602914216</v>
      </c>
      <c r="AH46" s="35">
        <f>-G24/AH17</f>
        <v>10.376319175510067</v>
      </c>
      <c r="AI46" s="35">
        <f>-G25/AI17</f>
        <v>-0.11472764285557735</v>
      </c>
      <c r="AJ46" s="35">
        <f>-G26/AJ17</f>
        <v>0.13743050628199546</v>
      </c>
      <c r="AK46" s="35">
        <f>-G27/AK17</f>
        <v>0.26477317641070752</v>
      </c>
      <c r="AL46" s="35">
        <f>-G28/AL17</f>
        <v>0.50866485197567279</v>
      </c>
      <c r="AM46" s="35">
        <f>-G29/AM17</f>
        <v>-0.10418597470263188</v>
      </c>
      <c r="AN46" s="35">
        <f>-G30/AN17</f>
        <v>0.7003763713554666</v>
      </c>
      <c r="AO46" s="35">
        <f>-G31/AO17</f>
        <v>0.60453855544923618</v>
      </c>
      <c r="AP46" s="35">
        <f>-G32/AP17</f>
        <v>1.8180221417926337</v>
      </c>
    </row>
    <row r="47" spans="1:43" ht="15" customHeight="1" x14ac:dyDescent="0.25">
      <c r="M47" s="18" t="s">
        <v>63</v>
      </c>
      <c r="N47" s="32"/>
      <c r="O47" s="32"/>
      <c r="P47" s="36">
        <f>-G6/P18</f>
        <v>0</v>
      </c>
      <c r="Q47" s="36">
        <f>-G7/Q18</f>
        <v>0</v>
      </c>
      <c r="R47" s="36">
        <f>-G8/R18</f>
        <v>0</v>
      </c>
      <c r="S47" s="36">
        <f>-G9/S18</f>
        <v>0.67217959783204306</v>
      </c>
      <c r="T47" s="36">
        <f>-G10/T18</f>
        <v>0.21578946412301303</v>
      </c>
      <c r="U47" s="36">
        <f>-G11/U18</f>
        <v>0.75202607556745116</v>
      </c>
      <c r="V47" s="36">
        <f>-G12/V18</f>
        <v>0.86043515822046401</v>
      </c>
      <c r="W47" s="36">
        <f>-G13/W18</f>
        <v>0.41714520265292576</v>
      </c>
      <c r="X47" s="36">
        <f>-G14/X18</f>
        <v>0</v>
      </c>
      <c r="Y47" s="36">
        <f>-G15/Y18</f>
        <v>0.29810093344516025</v>
      </c>
      <c r="Z47" s="36">
        <f>-G16/Z18</f>
        <v>0.23451793065842688</v>
      </c>
      <c r="AA47" s="36">
        <f>-G17/AA18</f>
        <v>0.23314697420251254</v>
      </c>
      <c r="AB47" s="36">
        <f>-G18/AB18</f>
        <v>0.26626812415715134</v>
      </c>
      <c r="AC47" s="36">
        <f>-G19/AC18</f>
        <v>0.55026430123085757</v>
      </c>
      <c r="AD47" s="36">
        <f>-G20/AD18</f>
        <v>0.17587238795289473</v>
      </c>
      <c r="AE47" s="36">
        <f>-G21/AE18</f>
        <v>0.39409421564508973</v>
      </c>
      <c r="AF47" s="36">
        <f>-G22/AF18</f>
        <v>1.6666386577756842</v>
      </c>
      <c r="AG47" s="36">
        <f>-G23/AG18</f>
        <v>38.744315488693218</v>
      </c>
      <c r="AH47" s="36">
        <f>-G24/AH18</f>
        <v>14.93667999732504</v>
      </c>
      <c r="AI47" s="36">
        <f>-G25/AI18</f>
        <v>-8.1856159520856953E-2</v>
      </c>
      <c r="AJ47" s="36">
        <f>-G26/AJ18</f>
        <v>-1.4215396984940836</v>
      </c>
      <c r="AK47" s="36">
        <f>-G27/AK18</f>
        <v>0.58874454484038163</v>
      </c>
      <c r="AL47" s="36">
        <f>-G28/AL18</f>
        <v>0.59415358658815542</v>
      </c>
      <c r="AM47" s="36">
        <f>-G29/AM18</f>
        <v>-6.0344350901829401E-2</v>
      </c>
      <c r="AN47" s="36">
        <f>-G30/AN18</f>
        <v>1.3848382614639052</v>
      </c>
      <c r="AO47" s="36">
        <f>-G31/AO18</f>
        <v>0.74006814713379832</v>
      </c>
      <c r="AP47" s="36">
        <f>-G32/AP18</f>
        <v>-22.430573655291663</v>
      </c>
    </row>
    <row r="48" spans="1:43" ht="15" customHeight="1" x14ac:dyDescent="0.25">
      <c r="M48" s="18" t="s">
        <v>64</v>
      </c>
      <c r="N48" s="32"/>
      <c r="O48" s="32"/>
      <c r="P48" s="37">
        <v>1.3881333333000001</v>
      </c>
      <c r="Q48" s="37">
        <v>3.9465876064000001</v>
      </c>
      <c r="R48" s="37">
        <v>22.480570493999998</v>
      </c>
      <c r="S48" s="37">
        <v>6.6190476190999998</v>
      </c>
      <c r="T48" s="37">
        <v>0</v>
      </c>
      <c r="U48" s="37">
        <v>15.269230769</v>
      </c>
      <c r="V48" s="37">
        <v>2.6044703209</v>
      </c>
      <c r="W48" s="37">
        <v>2.9734513273999998</v>
      </c>
      <c r="X48" s="37">
        <v>2.591611479</v>
      </c>
      <c r="Y48" s="37">
        <v>2.8083504000000001</v>
      </c>
      <c r="Z48" s="37">
        <v>1.8001638242</v>
      </c>
      <c r="AA48" s="37">
        <v>1.2468366785</v>
      </c>
      <c r="AB48" s="37">
        <v>3.9358830228000001</v>
      </c>
      <c r="AC48" s="37">
        <v>2.0537825798</v>
      </c>
      <c r="AD48" s="37">
        <v>1.7654339743</v>
      </c>
      <c r="AE48" s="37">
        <v>7.3139713865999996</v>
      </c>
      <c r="AF48" s="37">
        <v>5.3495741455000001</v>
      </c>
      <c r="AG48" s="37">
        <v>5.0640797592000002</v>
      </c>
      <c r="AH48" s="37">
        <v>8.6251985211999997</v>
      </c>
      <c r="AI48" s="37">
        <v>7.4855757790000004</v>
      </c>
      <c r="AJ48" s="37">
        <v>0.64756205607999995</v>
      </c>
      <c r="AK48" s="37">
        <v>3.2923103602000001</v>
      </c>
      <c r="AL48" s="37">
        <v>3.8605359020000001</v>
      </c>
      <c r="AM48" s="37">
        <v>2.6535916867</v>
      </c>
      <c r="AN48" s="37">
        <v>2.7530139736999999</v>
      </c>
      <c r="AO48" s="37">
        <v>18.773708053</v>
      </c>
      <c r="AP48" s="37">
        <v>8.530740926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49"/>
  <sheetViews>
    <sheetView showGridLines="0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6" width="11" customWidth="1"/>
    <col min="7" max="7" width="12.42578125" customWidth="1"/>
    <col min="8" max="11" width="11" customWidth="1"/>
    <col min="12" max="12" width="9" customWidth="1"/>
    <col min="13" max="13" width="16.28515625" customWidth="1"/>
    <col min="14" max="14" width="16.5703125" customWidth="1"/>
    <col min="16" max="19" width="16.28515625" customWidth="1"/>
    <col min="20" max="23" width="15.28515625" customWidth="1"/>
    <col min="24" max="30" width="16.28515625" customWidth="1"/>
    <col min="31" max="31" width="11.85546875" customWidth="1"/>
    <col min="32" max="42" width="16.28515625" customWidth="1"/>
    <col min="43" max="43" width="18.140625" customWidth="1"/>
    <col min="44" max="44" width="14.7109375" customWidth="1"/>
  </cols>
  <sheetData>
    <row r="1" spans="1:44" ht="15" customHeight="1" x14ac:dyDescent="0.25">
      <c r="A1" s="6" t="s">
        <v>67</v>
      </c>
      <c r="M1" t="s">
        <v>1</v>
      </c>
      <c r="N1" s="7">
        <v>4.07E-2</v>
      </c>
    </row>
    <row r="2" spans="1:44" ht="15" customHeight="1" x14ac:dyDescent="0.25">
      <c r="A2" s="6"/>
    </row>
    <row r="3" spans="1:44" ht="15" customHeight="1" x14ac:dyDescent="0.25">
      <c r="M3" s="2" t="s">
        <v>68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4">
        <v>19750415</v>
      </c>
      <c r="C5" s="14">
        <v>621404</v>
      </c>
      <c r="D5" s="15">
        <v>0</v>
      </c>
      <c r="E5" s="14">
        <v>11764686</v>
      </c>
      <c r="F5" s="15">
        <v>0</v>
      </c>
      <c r="G5" s="16">
        <v>0</v>
      </c>
      <c r="H5" s="15">
        <v>0</v>
      </c>
      <c r="I5" s="14">
        <v>108610408.86</v>
      </c>
      <c r="J5" s="17">
        <v>0.16449350705999999</v>
      </c>
      <c r="K5" s="14">
        <v>6287287.6591999996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4">
        <v>19975136</v>
      </c>
      <c r="C6" s="14">
        <v>668609</v>
      </c>
      <c r="D6" s="15">
        <v>0</v>
      </c>
      <c r="E6" s="14">
        <v>12927736</v>
      </c>
      <c r="F6" s="15">
        <v>0</v>
      </c>
      <c r="G6" s="16">
        <f>-373.244*1000</f>
        <v>-373244</v>
      </c>
      <c r="H6" s="20">
        <v>3.1100302092000001</v>
      </c>
      <c r="I6" s="14">
        <v>108610409</v>
      </c>
      <c r="J6" s="17">
        <v>0.34340695488</v>
      </c>
      <c r="K6" s="14">
        <v>15406640.593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4">
        <v>21055416</v>
      </c>
      <c r="C7" s="14">
        <v>1510983</v>
      </c>
      <c r="D7" s="15">
        <v>0</v>
      </c>
      <c r="E7" s="14">
        <v>14310299</v>
      </c>
      <c r="F7" s="15">
        <v>0</v>
      </c>
      <c r="G7" s="16">
        <f>-395.597*1000</f>
        <v>-395597</v>
      </c>
      <c r="H7" s="20">
        <v>2.3472413128</v>
      </c>
      <c r="I7" s="14">
        <v>108610409</v>
      </c>
      <c r="J7" s="17">
        <v>0.55700695651999999</v>
      </c>
      <c r="K7" s="14">
        <v>23527637.241999999</v>
      </c>
      <c r="M7" s="1" t="s">
        <v>20</v>
      </c>
      <c r="N7" s="1"/>
      <c r="O7" s="5"/>
      <c r="P7" s="4">
        <f>((D5+E5)*P5)</f>
        <v>1124703.9816000001</v>
      </c>
      <c r="Q7" s="4">
        <f>((D6+E6+P7+P8)*Q5)</f>
        <v>736439.36287752003</v>
      </c>
      <c r="R7" s="4">
        <f>((D7+E7+Q7+P7+P8+Q8)*R5)</f>
        <v>269967.80907770683</v>
      </c>
      <c r="S7" s="4">
        <f>((D8+E8+R7+Q7+P7+SUM($P$8:R8))*S5)</f>
        <v>1704699.6990136972</v>
      </c>
      <c r="T7" s="4">
        <f>((D9+E9+S7+R7+Q7+P7+SUM($P$8:S8))*T5)</f>
        <v>1632750.1434300351</v>
      </c>
      <c r="U7" s="4">
        <f>((D10+E10+T7+S7+R7+Q7+P7+SUM($P$8:T8))*U5)</f>
        <v>2334124.5877497457</v>
      </c>
      <c r="V7" s="4">
        <f>((D11+E11+U7+T7+S7+R7+Q7+P7+SUM($P$8:U8))*V5)</f>
        <v>4523861.5309573477</v>
      </c>
      <c r="W7" s="4">
        <f>((D12+E12+V7+U7+T7+S7+R7+Q7+P7+SUM($P$8:V8))*W5)</f>
        <v>5067498.0410924619</v>
      </c>
      <c r="X7" s="4">
        <f>((D13+E13+W7+V7+U7+T7+S7+R7+Q7+P7+SUM($P$8:W8))*X5)</f>
        <v>6434534.1200242862</v>
      </c>
      <c r="Y7" s="4">
        <f>((D14+E14+X7+W7+V7+U7+T7+S7+R7+Q7+P7+SUM($P$8:X8))*Y5)</f>
        <v>5890329.4451590078</v>
      </c>
      <c r="Z7" s="4">
        <f>((E14+F14+Y7+X7+W7+V7+U7+T7+S7+R7+Q7+P7+SUM($P$8:Y8))*Z5)</f>
        <v>3461131.5266691782</v>
      </c>
      <c r="AA7" s="4">
        <f>((D16+E16+Z7+Y7+X7+W7+V7+U7+T7+S7+R7+P7+Q7+SUM($P$8:Z8))*AA5)</f>
        <v>6811939.5483720228</v>
      </c>
      <c r="AB7" s="4">
        <f>((D17+E17+AA7+Z7+Y7+X7+W7+V7+U7+T7+S7+P7+Q7+R7+SUM($P$8:AA8))*AB5)</f>
        <v>10896976.475510309</v>
      </c>
      <c r="AC7" s="4">
        <f>((D18+E18+AB7+AA7+Z7+Y7+X7+W7+V7+U7+T7+S7+R7+Q7+P7+SUM($P$8:AB8))*AC5)</f>
        <v>10684659.405372491</v>
      </c>
      <c r="AD7" s="4">
        <f>((D19+E19+AC7+AB7+AA7+Z7+Y7+X7+W7+V7+U7+T7+S7+R7+Q7+P7+SUM($P$8:AC8))*AD5)</f>
        <v>17665915.286650691</v>
      </c>
      <c r="AE7" s="4">
        <f>((D20+E20+AD7+AC7+AB7+AA7+Z7+Y7+X7+W7+V7+U7+T7+S7+R7+Q7+P7+SUM($P$8:AD8))*AE5)</f>
        <v>29659296.316809673</v>
      </c>
      <c r="AF7" s="4">
        <f>((E20+F20+AE7+AD7+AC7+AB7+AA7+Z7+Y7+X7+W7+V7+U7+T7+S7+R7+Q7+P7+SUM($P$8:AE8))*AF5)</f>
        <v>24156700.217633147</v>
      </c>
      <c r="AG7" s="4">
        <f>((D22+E22+AF7+AE7+AD7+AC7+AB7+AA7+Z7+Y7+X7+W7+V7+U7+T7+R7+S7+Q7+P7+SUM($P$8:AF8))*AG5)</f>
        <v>38308937.773956649</v>
      </c>
      <c r="AH7" s="4">
        <f>((E22+F22+AG7+AF7+AE7+AD7+AC7+AB7+AA7+Z7+Y7+X7+W7+V7+U7+S7+T7+R7+Q7+P7+SUM($P$8:AG8))*AH5)</f>
        <v>39732723.991475441</v>
      </c>
      <c r="AI7" s="4">
        <f>((F22+G22+AH7+AG7+AF7+AE7+AD7+AC7+AB7+AA7+Z7+Y7+X7+W7+V7+T7+U7+S7+R7+Q7+P7+SUM($P$8:AH8))*AI5)</f>
        <v>25119513.565542765</v>
      </c>
      <c r="AJ7" s="4">
        <f>((G22+H22+AI7+AH7+AG7+AF7+AE7+AD7+AC7+AB7+AA7+Z7+Y7+X7+W7+U7+V7+T7+S7+R7+Q7+P7+SUM($P$8:AI8))*AJ5)</f>
        <v>15767475.334391559</v>
      </c>
      <c r="AK7" s="4">
        <f>((H22+I22+AJ7+AI7+AH7+AG7+AF7+AE7+AD7+AC7+AB7+AA7+Z7+Y7+X7+V7+W7+U7+T7+S7+R7+Q7+P7+SUM($P$8:AJ8))*AK5)</f>
        <v>8372299.7465658402</v>
      </c>
      <c r="AL7" s="4">
        <f>((D27+E27+AK7+AJ7+AI7+AH7+AG7+AF7+AE7+AD7+AC7++AB7+AA7+Z7+Y7+X7+W7+V7+U7+T7+S7+R7+Q7+P7+SUM($P$8:AK8))*AL5)</f>
        <v>32676470.686461814</v>
      </c>
      <c r="AM7" s="4">
        <f>((E27+F27+AL7+AK7+AJ7+AI7+AH7+AG7+AF7+AE7+AD7++AC7+AB7+AA7+Z7+Y7+X7+W7+V7+U7+T7+S7+R7+Q7+P7+SUM($P$8:AL8))*AM5)</f>
        <v>39195110.253476612</v>
      </c>
      <c r="AN7" s="4">
        <f>((F27+G27+AM7+AL7+AK7+AJ7+AI7+AH7+AG7+AF7+AE7++AD7+AC7+AB7+AA7+Z7+Y7+X7+W7+V7+U7+T7+S7+R7+Q7+P7+SUM($P$8:AM8))*AN5)</f>
        <v>16536365.557907185</v>
      </c>
      <c r="AO7" s="4">
        <f>((G27+H27+AN7+AM7+AL7+AK7+AJ7+AI7+AH7+AG7+AF7++AE7+AD7+AC7+AB7+AA7+Z7+Y7+X7+W7+V7+U7+T7+S7+R7+Q7+P7+SUM($P$8:AN8))*AO5)</f>
        <v>37211094.304774821</v>
      </c>
      <c r="AP7" s="4">
        <f>((H27+I27+AO7+AN7+AM7+AL7+AK7+AJ7+AI7+AH7+AG7++AF7+AE7+AD7+AC7+AB7+AA7+Z7+Y7+X7+W7+V7+U7+T7+S7+R7+Q7+P7+SUM($P$8:AO8))*AP5)</f>
        <v>24337789.449443754</v>
      </c>
      <c r="AQ7" s="4">
        <f>((I27+J27+AP7+AO7+AN7+AM7+AL7+AK7+AJ7+AI7+AH7++AG7+AF7+AE7+AD7+AC7+AB7+AA7+Z7+Y7+X7+W7+V7+U7+T7+S7+R7+Q7+P7+SUM($P$8:AP8))*AQ5)</f>
        <v>19764234.038612276</v>
      </c>
      <c r="AR7" s="4">
        <f>((J27+K27+AQ7+AP7+AO7+AN7+AM7+AL7+AK7+AJ7+AI7++AH7+AG7+AF7+AE7+AD7+AC7+AB7+AA7+Z7+Y7+X7+W7+V7+U7+T7+S7+R7+Q7+P7+SUM($P$8:AQ8))*AR5)</f>
        <v>30771492.529591631</v>
      </c>
    </row>
    <row r="8" spans="1:44" ht="15" customHeight="1" x14ac:dyDescent="0.25">
      <c r="A8" s="13" t="s">
        <v>21</v>
      </c>
      <c r="B8" s="14">
        <v>21734616</v>
      </c>
      <c r="C8" s="14">
        <v>1388629</v>
      </c>
      <c r="D8" s="15">
        <v>0</v>
      </c>
      <c r="E8" s="14">
        <v>16824571</v>
      </c>
      <c r="F8" s="15">
        <v>0</v>
      </c>
      <c r="G8" s="16">
        <f>-394.111*1000</f>
        <v>-394111</v>
      </c>
      <c r="H8" s="20">
        <v>4.4923655448000002</v>
      </c>
      <c r="I8" s="14">
        <v>108610409</v>
      </c>
      <c r="J8" s="17">
        <v>0.29906847546999998</v>
      </c>
      <c r="K8" s="14">
        <v>10884364.799000001</v>
      </c>
      <c r="M8" s="1" t="s">
        <v>22</v>
      </c>
      <c r="N8" s="1"/>
      <c r="O8" s="4"/>
      <c r="P8" s="4">
        <f>((D6+E6)-(D5+E5))*(P5^1/2)</f>
        <v>55593.79</v>
      </c>
      <c r="Q8" s="4">
        <f>((D7+E7)-(D6+E6))*(Q5^1/2)</f>
        <v>36084.8943</v>
      </c>
      <c r="R8" s="4">
        <f>((D8+E8)-(D7+E7))*(R5^1/2)</f>
        <v>20868.457600000002</v>
      </c>
      <c r="S8" s="4">
        <f>((D9+E9)-(D8+E8))*(S5^1/2)</f>
        <v>281383.63919999998</v>
      </c>
      <c r="T8" s="4">
        <f>((D10+E10)-(D9+E9))*(T5^1/2)</f>
        <v>42024.292650000003</v>
      </c>
      <c r="U8" s="4">
        <f>((D11+E11)-(D10+E10))*(U5^1/2)</f>
        <v>123293.40920000001</v>
      </c>
      <c r="V8" s="4">
        <f>((D12+E12)-(D11+E11))*(V5^1/2)</f>
        <v>817201.65064999997</v>
      </c>
      <c r="W8" s="4">
        <f>((D13+E13)-(D12+E12))*(W5^1/2)</f>
        <v>1115653.3425</v>
      </c>
      <c r="X8" s="4">
        <f>((D14+E14)-(D13+E13))*(X5^1/2)</f>
        <v>454728.63399999996</v>
      </c>
      <c r="Y8" s="4">
        <f>((D15+E15)-(D14+E14))*(Y5^1/2)</f>
        <v>816060.85265000002</v>
      </c>
      <c r="Z8" s="4">
        <f>((E15+F15)-(E14+F14))*(Z5^1/2)</f>
        <v>450339.38089999999</v>
      </c>
      <c r="AA8" s="4">
        <f>((D17+E17)-(D16+E16))*(AA5^1/2)</f>
        <v>548578.39439999999</v>
      </c>
      <c r="AB8" s="4">
        <f>((D18+E18)-(D17+E17))*(AB5^1/2)</f>
        <v>1498996.5094999999</v>
      </c>
      <c r="AC8" s="4">
        <f>((D19+E19)-(D18+E18))*(AC5^1/2)</f>
        <v>850715.36404999997</v>
      </c>
      <c r="AD8" s="4">
        <f>((D20+E20)-(D19+E19))*(AD5/2)</f>
        <v>4010088.8372999998</v>
      </c>
      <c r="AE8" s="4">
        <f>((D21+E21)-(D20+E20))*(AE5^1/2)</f>
        <v>1904993.2850000001</v>
      </c>
      <c r="AF8" s="4">
        <f>((D22+E22)-(D21+E21))*(AF5^1/2)</f>
        <v>2200847.6540000001</v>
      </c>
      <c r="AG8" s="4">
        <f>((D23+E23)-(D22+E22))*(AG5^1/2)</f>
        <v>2070837.8186999999</v>
      </c>
      <c r="AH8" s="4">
        <f>((D24+E24)-(D23+E23))*(AH5^1/2)</f>
        <v>736011.87245000002</v>
      </c>
      <c r="AI8" s="4">
        <f>((D25+E25)-(D24+E24))*(AI5^1/2)</f>
        <v>2610788.9500000002</v>
      </c>
      <c r="AJ8" s="4">
        <f>((D26+E26)-(D25+E25))*(AJ5^1/2)</f>
        <v>-1866997.7999999998</v>
      </c>
      <c r="AK8" s="4">
        <f>((D27+E27)-(D26+E26))*(AK5/2)</f>
        <v>140980.5</v>
      </c>
      <c r="AL8" s="4">
        <f>((D28+E28)-(D27+E27))*(AL5^1/2)</f>
        <v>536287.5</v>
      </c>
      <c r="AM8" s="4">
        <f>((D29+E29)-(D28+E28))*(AM5^1/2)</f>
        <v>2149375.4500000002</v>
      </c>
      <c r="AN8" s="4">
        <f>((D30+E30)-(D29+E29))*(AN5^1/2)</f>
        <v>60432.399999999994</v>
      </c>
      <c r="AO8" s="4">
        <f>((D31+E31)-(D30+E30))*(AO5^1/2)</f>
        <v>-343398.1</v>
      </c>
      <c r="AP8" s="4">
        <f>((D32+E32)-(D31+E31))*(AP5^1/2)</f>
        <v>-16882308.300000001</v>
      </c>
      <c r="AQ8" s="4">
        <f>((D32+E32)-(D31+E31))*(AQ5^1/2)</f>
        <v>-13470857.399999999</v>
      </c>
      <c r="AR8" s="4">
        <f>((E32+F32)-(E31+F31))*(AR5^1/2)</f>
        <v>-13753231.800000001</v>
      </c>
    </row>
    <row r="9" spans="1:44" ht="15" customHeight="1" x14ac:dyDescent="0.25">
      <c r="A9" s="13" t="s">
        <v>23</v>
      </c>
      <c r="B9" s="14">
        <v>17564122</v>
      </c>
      <c r="C9" s="14">
        <v>1756652</v>
      </c>
      <c r="D9" s="15">
        <v>0</v>
      </c>
      <c r="E9" s="14">
        <v>23119507</v>
      </c>
      <c r="F9" s="15">
        <v>0</v>
      </c>
      <c r="G9" s="16">
        <f>-656.915*1000</f>
        <v>-656915</v>
      </c>
      <c r="H9" s="20">
        <v>1.4001738876000001</v>
      </c>
      <c r="I9" s="14">
        <v>108610409</v>
      </c>
      <c r="J9" s="17">
        <v>1.0366643954999999</v>
      </c>
      <c r="K9" s="14">
        <v>46153875.175999999</v>
      </c>
      <c r="M9" s="1" t="s">
        <v>24</v>
      </c>
      <c r="N9" s="1"/>
      <c r="O9" s="4"/>
      <c r="P9" s="4">
        <f>+B5*P5</f>
        <v>1888139.6740000001</v>
      </c>
      <c r="Q9" s="4">
        <f>+(B6+P9+P10+P14)*Q5</f>
        <v>1104313.6428775201</v>
      </c>
      <c r="R9" s="4">
        <f>+(B7+Q9+P9+P10+Q10+P14+Q14)*R5</f>
        <v>381097.69250611897</v>
      </c>
      <c r="S9" s="4">
        <f>+(B8+R9+Q9+P9+P10+Q10+R10+P14+Q14+R14)*S5</f>
        <v>2131687.5852592969</v>
      </c>
      <c r="T9" s="4">
        <f>+(B9+S9+R9+Q9+P9+P10+Q10+R10+S10+P14+Q14+R14+S14)*T5</f>
        <v>1286909.5835357048</v>
      </c>
      <c r="U9" s="4">
        <f>+(B10+T9+S9+R9+Q9+P9+P10+Q10+R10+S10+T10+P14+Q14+R14+S14+T14)*U5</f>
        <v>2332985.4999320908</v>
      </c>
      <c r="V9" s="4">
        <f>+(B11+U9+T9+S9+R9+Q9+P9+P10+Q10+R10+S10+T10+U10+P14+Q14+R14+S14+T14+U14)*V5</f>
        <v>4587404.423026327</v>
      </c>
      <c r="W9" s="4">
        <f>+(B12+V9+U9+T9+S9+R9+Q9+P9+P10+Q10+R10+S10+T10+U10+V10+P14+Q14+R14+S14+T14+U14+V14)*W5</f>
        <v>4359725.9327170122</v>
      </c>
      <c r="X9" s="4">
        <f>+(B13+W9+V9+U9+T9+S9+R9+Q9+P9+P10+Q10+R10+S10+T10+U10+V10+W10+P14+Q14+R14+S14+T14+U14+V14+W14)*X5</f>
        <v>5121982.5818623118</v>
      </c>
      <c r="Y9" s="4">
        <f>+(B14+X9+W9+V9+U9+T9+S9+R9+Q9+P9+P10+Q10+R10+S10+T10+U10+V10+W10+X10+P14+Q14+R14+S14+T14+U14+V14+W14+X14)*Y5</f>
        <v>4902130.472685813</v>
      </c>
      <c r="Z9" s="4">
        <f>+(B15+Y9+X9+W9+V9+U9+T9+S9+R9+Q9+P9+P10+Q10+R10+S10+T10+U10+V10+W10+X10+Y10+P14+Q14+R14+S14+T14+U14+V14+W14+X14+Y14)*Z5</f>
        <v>3390688.7249648422</v>
      </c>
      <c r="AA9" s="4">
        <f>+(B16+Z9+Y9+X9+W9+V9+U9+T9+S9+R9+Q9+P9+P10+Q10+R10+S10+T10+U10+V10+W10+X10+Y10+Z10+P14+Q14+R14+S14+T14+U14+V14+W14+X14+Y14+Z14)*AA5</f>
        <v>5750084.349747668</v>
      </c>
      <c r="AB9" s="4">
        <f>+(B17+AA9+Z9+Y9+X9+W9+V9+U9+T9+S9+R9+Q9+P9+P10+Q10+R10+S10+T10+U10+V10+W10+X10+Y10+Z10+AA10+P14+Q14+R14+S14+T14+U14+V14+W14+X14+Y14+Z14+AA14)*AB5</f>
        <v>8888463.8312765174</v>
      </c>
      <c r="AC9" s="4">
        <f>+(B18+AB9+AA9+Z9+Y9+X9+W9+V9+U9+T9+S9+R9+Q9+P9+P10+Q10+R10+S10+T10+U10+V10+W10+X10+Y10+Z10+AA10+AB10+P14+Q14+R14+S14+T14+U14+V14+W14+X14+Y14+Z14+AA14+AB14)*AC5</f>
        <v>7980765.7099567633</v>
      </c>
      <c r="AD9" s="4">
        <f>+(B19+AC9+AB9+AA9+Z9+Y9+X9+W9+V9+U9+T9+S9+R9+Q9+P9+P10+Q10+R10+S10+T10+U10+V10+W10+X10+Y10+Z10+AA10+AB10+AC10+P14+Q14+R14+S14+T14+U14+V14+W14+X14+Y14+Z14+AA14+AB14+AC14)*AD5</f>
        <v>12693704.84703785</v>
      </c>
      <c r="AE9" s="4">
        <f>+(B20+AD9+AC9+AB9+AA9+Z9+Y9+X9+W9+V9+U9+T9+S9+R9+Q9+P9+P10+Q10+R10+S10+T10+U10+V10+W10+X10+Y10+Z10+AA10+AB10+AC10+AD10+P14+Q14+S14++R14+T14+U14+V14+W14+X14+Y14+Z14+AA14+AB14+AC14+AD14)*AE5</f>
        <v>24704199.799871862</v>
      </c>
      <c r="AF9" s="4">
        <f>+(B21+AE9+AD9+AC9+AB9+AA9+Z9+Y9+X9+W9+V9+U9+T9+S9+R9+Q9+P9+P10+Q10+R10+S10+T10+U10+V10+W10+X10+Y10+Z10+AA10+AB10+AC10+AD10+AE10+P14+Q14+R14+S14+T14+U14+V14+W14+X14+Y14+Z14+AA14+AB14+AC14+AD14+AE14)*AF5</f>
        <v>25101918.001695998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27357748.148530409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32056727.296083733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52408527.208634831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28403250.347194787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13149098.558228165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16939386.410761625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20728458.232071914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23559178.083269052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53183655.547738224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35868028.991432376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12986502.740018787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12891490.996411435</v>
      </c>
    </row>
    <row r="10" spans="1:44" ht="15" customHeight="1" x14ac:dyDescent="0.25">
      <c r="A10" s="13" t="s">
        <v>25</v>
      </c>
      <c r="B10" s="14">
        <v>24945639</v>
      </c>
      <c r="C10" s="14">
        <v>9942392</v>
      </c>
      <c r="D10" s="15">
        <v>0</v>
      </c>
      <c r="E10" s="14">
        <v>24527356</v>
      </c>
      <c r="F10" s="15">
        <v>0</v>
      </c>
      <c r="G10" s="16">
        <f>-932.406*1000</f>
        <v>-932406</v>
      </c>
      <c r="H10" s="20">
        <v>1.7824377933</v>
      </c>
      <c r="I10" s="14">
        <v>1086104</v>
      </c>
      <c r="J10" s="17">
        <v>1.050216402</v>
      </c>
      <c r="K10" s="14">
        <v>51446777.527999997</v>
      </c>
      <c r="M10" s="22" t="s">
        <v>26</v>
      </c>
      <c r="N10" s="22"/>
      <c r="O10" s="23"/>
      <c r="P10" s="23">
        <f>((B6-B5)*(P5^1/2))</f>
        <v>10741.6638</v>
      </c>
      <c r="Q10" s="23">
        <f>((B7-B6)*(Q5^1/2))</f>
        <v>28195.308000000001</v>
      </c>
      <c r="R10" s="23">
        <f>((B8-B7)*(R5/2))</f>
        <v>5637.36</v>
      </c>
      <c r="S10" s="23">
        <f>((B9-B8)*(S5/2))</f>
        <v>-186421.08179999999</v>
      </c>
      <c r="T10" s="23">
        <f>((B10-B9)*(T5^1/2))</f>
        <v>220338.28245</v>
      </c>
      <c r="U10" s="23">
        <f>((B11-B10)*(U5^1/2))</f>
        <v>154200.13440000001</v>
      </c>
      <c r="V10" s="23">
        <f>((B12-B11)*(V5^1/2))</f>
        <v>335703.94795</v>
      </c>
      <c r="W10" s="23">
        <f>((B13-B12)*(W5/2))</f>
        <v>699472.66949999996</v>
      </c>
      <c r="X10" s="23">
        <f>((B14-B13)*(X5/2))</f>
        <v>490360.85399999999</v>
      </c>
      <c r="Y10" s="23">
        <f>((B15-B14)*(Y5/2))</f>
        <v>469814.02529999998</v>
      </c>
      <c r="Z10" s="23">
        <f>((B16-B15)*(Z5/2))</f>
        <v>294302.96839999995</v>
      </c>
      <c r="AA10" s="23">
        <f>((B17-B16)*(AA5/2))</f>
        <v>364013.58169999998</v>
      </c>
      <c r="AB10" s="23">
        <f>((B18-B17)*(AB5^1/2))</f>
        <v>723079.07250000001</v>
      </c>
      <c r="AC10" s="23">
        <f>((B19-B18)*(AC5^1/2))</f>
        <v>454690.28135</v>
      </c>
      <c r="AD10" s="23">
        <f>((B20-B19)*(AD5/2))</f>
        <v>4352732.2276499998</v>
      </c>
      <c r="AE10" s="23">
        <f>((B21-B20)*(AE5^1/2))</f>
        <v>749895.21750000003</v>
      </c>
      <c r="AF10" s="23">
        <f>((B22-B21)*(AF5^1/2))</f>
        <v>386631.12640000001</v>
      </c>
      <c r="AG10" s="23">
        <f>((B23-B22)*(AG5/2))</f>
        <v>143619.50099999999</v>
      </c>
      <c r="AH10" s="23">
        <f>((B24-B23)*(AH5/2))</f>
        <v>-1252895.17065</v>
      </c>
      <c r="AI10" s="23">
        <f>((B25-B24)*(AI5^1/2))</f>
        <v>-2887141.95</v>
      </c>
      <c r="AJ10" s="23">
        <f>((B26-B25)*(AJ5/2))</f>
        <v>-141556.44999999998</v>
      </c>
      <c r="AK10" s="23">
        <f>((B27-B26)*(AK5/2))</f>
        <v>202886.25</v>
      </c>
      <c r="AL10" s="23">
        <f>((B28-B27)*(AL5^1/2))</f>
        <v>248250</v>
      </c>
      <c r="AM10" s="23">
        <f>((B29-B28)*(AM5/2))</f>
        <v>394709.8</v>
      </c>
      <c r="AN10" s="23">
        <f>((B30-B29)*(AN5/2))</f>
        <v>290839.39999999997</v>
      </c>
      <c r="AO10" s="23">
        <f>((B31-B30)*(AO5/2))</f>
        <v>3969625.6999999997</v>
      </c>
      <c r="AP10" s="23">
        <f>((B32-B31)*(AP5^1/2))</f>
        <v>-9201381.1500000004</v>
      </c>
      <c r="AQ10" s="23">
        <f>((C32-C31)*(AQ5/2))</f>
        <v>-1618039.5</v>
      </c>
      <c r="AR10" s="23">
        <f>((D32-D31)*(AR5^1/2))</f>
        <v>-336095.55000000005</v>
      </c>
    </row>
    <row r="11" spans="1:44" ht="15" customHeight="1" x14ac:dyDescent="0.25">
      <c r="A11" s="13" t="s">
        <v>27</v>
      </c>
      <c r="B11" s="14">
        <v>28966503</v>
      </c>
      <c r="C11" s="14">
        <v>9867038</v>
      </c>
      <c r="D11" s="15">
        <v>0</v>
      </c>
      <c r="E11" s="14">
        <v>27742308</v>
      </c>
      <c r="F11" s="15">
        <v>0</v>
      </c>
      <c r="G11" s="16">
        <f>-3985.107*1000</f>
        <v>-3985107</v>
      </c>
      <c r="H11" s="20">
        <v>6.4320623691999996</v>
      </c>
      <c r="I11" s="14">
        <v>1086104</v>
      </c>
      <c r="J11" s="17">
        <v>1.2546388750999999</v>
      </c>
      <c r="K11" s="14">
        <v>56404006.473999999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4">
        <v>34324906</v>
      </c>
      <c r="C12" s="14">
        <v>8097791</v>
      </c>
      <c r="D12" s="15">
        <v>0</v>
      </c>
      <c r="E12" s="14">
        <v>40786229</v>
      </c>
      <c r="F12" s="15">
        <v>0</v>
      </c>
      <c r="G12" s="16">
        <f>-2651.565*1000</f>
        <v>-2651565</v>
      </c>
      <c r="H12" s="20">
        <v>6.8749997738999999</v>
      </c>
      <c r="I12" s="14">
        <v>1086104</v>
      </c>
      <c r="J12" s="17">
        <v>1.210544434</v>
      </c>
      <c r="K12" s="14">
        <v>54453901.005999997</v>
      </c>
      <c r="M12" s="1" t="s">
        <v>30</v>
      </c>
      <c r="N12" s="1"/>
      <c r="O12" s="1"/>
      <c r="P12" s="4">
        <v>0</v>
      </c>
      <c r="Q12" s="24">
        <f>-($P$7+$P$8)*$N$1</f>
        <v>-48038.119304120002</v>
      </c>
      <c r="R12" s="24">
        <f>-((($P$7+$P$8)*(1+Q5))+($Q$7+$Q$8))*N1</f>
        <v>-81987.446398920132</v>
      </c>
      <c r="S12" s="24">
        <f>-((($P$7+$P$8)*(1+Q5)*(1+R5))+(($Q$7+$Q$8)*(1+R5))+((R7+R8)))*$N$1</f>
        <v>-95185.47406292487</v>
      </c>
      <c r="T12" s="24">
        <f>-((($P$7+$P$8)*(1+R5)*(1+S5)*(1+Q5))+(($Q$7+$Q$8)*(1+S5)*(1+R5))+((R7+R8)*(1+S5))+((S7+S8)))*$N$1</f>
        <v>-184528.64730944784</v>
      </c>
      <c r="U12" s="24">
        <f>-((($P$7+$P$8)*(1+T5)*(1+R5)*(1+S5)*(1+Q5))+(($Q$7+$Q$8)*(1+T5)*(1+S5)*(1+R5))+((R7+R8)*(1+S5)*(1+T5))+((S7+S8)*(1+T5))+(T7+T8))*$N$1</f>
        <v>-263708.32710227929</v>
      </c>
      <c r="V12" s="24">
        <f>-((($P$7+$P$8)*(1+U5)*(1+S5)*(1+T5)*(1+R5)*(1+Q5))+(($Q$7+$Q$8)*(1+U5)*(1+T5)*(1+S5)*(1+R5))+(($R$7+$R$8)*(1+U5)*(1+T5)*(1+S5))+((S7+S8)*(1+T5)*(1+U5))+((T7+T8)*(1+U5))+(U7+U8))*$N$1</f>
        <v>-383951.66826687881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-649442.08379213768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-961494.45889701974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-1314961.0318619816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-1662732.399695755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-1874139.0629842675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-2257298.7454641871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-2894995.4719364936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-3489259.5298924511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-4577688.1359538883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-6159904.451584545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-7592395.0699325511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-9684562.4851866886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-11952420.490148922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-14328094.569218863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-15816866.254620275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-16608214.99715657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-18577737.253768984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-21069636.379222665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-22686623.908035681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-26474822.052333806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-28266998.704254445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-27791243.831922289</v>
      </c>
    </row>
    <row r="13" spans="1:44" ht="15" customHeight="1" x14ac:dyDescent="0.25">
      <c r="A13" s="13" t="s">
        <v>31</v>
      </c>
      <c r="B13" s="14">
        <v>49367329</v>
      </c>
      <c r="C13" s="14">
        <v>17794669</v>
      </c>
      <c r="D13" s="15">
        <v>0</v>
      </c>
      <c r="E13" s="14">
        <v>64778774</v>
      </c>
      <c r="F13" s="15">
        <v>0</v>
      </c>
      <c r="G13" s="16">
        <f>-2733.402*1000</f>
        <v>-2733402</v>
      </c>
      <c r="H13" s="20">
        <v>6.0471204187999996</v>
      </c>
      <c r="I13" s="14">
        <v>1096538</v>
      </c>
      <c r="J13" s="17">
        <v>2.1568312864000001</v>
      </c>
      <c r="K13" s="14">
        <v>88658596.799999997</v>
      </c>
      <c r="M13" t="s">
        <v>32</v>
      </c>
      <c r="P13">
        <v>0</v>
      </c>
      <c r="Q13" s="24">
        <f t="shared" ref="Q13:AR13" si="0">Q12*Q5</f>
        <v>-2507.5898276750645</v>
      </c>
      <c r="R13" s="24">
        <f t="shared" si="0"/>
        <v>-1360.9916102220743</v>
      </c>
      <c r="S13" s="24">
        <f t="shared" si="0"/>
        <v>-8509.5813812254819</v>
      </c>
      <c r="T13" s="24">
        <f t="shared" si="0"/>
        <v>-11016.360244374036</v>
      </c>
      <c r="U13" s="24">
        <f t="shared" si="0"/>
        <v>-20226.428688744822</v>
      </c>
      <c r="V13" s="24">
        <f t="shared" si="0"/>
        <v>-48109.144033839912</v>
      </c>
      <c r="W13" s="24">
        <f t="shared" si="0"/>
        <v>-60398.113792668802</v>
      </c>
      <c r="X13" s="24">
        <f t="shared" si="0"/>
        <v>-73073.578876173502</v>
      </c>
      <c r="Y13" s="24">
        <f t="shared" si="0"/>
        <v>-74821.282712946748</v>
      </c>
      <c r="Z13" s="24">
        <f t="shared" si="0"/>
        <v>-52209.797350446701</v>
      </c>
      <c r="AA13" s="24">
        <f t="shared" si="0"/>
        <v>-83586.602209098332</v>
      </c>
      <c r="AB13" s="24">
        <f t="shared" si="0"/>
        <v>-133180.62598238702</v>
      </c>
      <c r="AC13" s="24">
        <f t="shared" si="0"/>
        <v>-124774.30484046288</v>
      </c>
      <c r="AD13" s="24">
        <f t="shared" si="0"/>
        <v>-206215.23821664386</v>
      </c>
      <c r="AE13" s="24">
        <f t="shared" si="0"/>
        <v>-297549.72883700277</v>
      </c>
      <c r="AF13" s="24">
        <f t="shared" si="0"/>
        <v>-359738.41997253743</v>
      </c>
      <c r="AG13" s="24">
        <f t="shared" si="0"/>
        <v>-448710.54863301379</v>
      </c>
      <c r="AH13" s="24">
        <f t="shared" si="0"/>
        <v>-620780.45530046674</v>
      </c>
      <c r="AI13" s="24">
        <f t="shared" si="0"/>
        <v>-1275323.2662988901</v>
      </c>
      <c r="AJ13" s="24">
        <f t="shared" si="0"/>
        <v>-901237.14840386645</v>
      </c>
      <c r="AK13" s="24">
        <f t="shared" si="0"/>
        <v>-466597.55451129808</v>
      </c>
      <c r="AL13" s="24">
        <f t="shared" si="0"/>
        <v>-622808.06239337137</v>
      </c>
      <c r="AM13" s="24">
        <f t="shared" si="0"/>
        <v>-800700.47563744325</v>
      </c>
      <c r="AN13" s="24">
        <f t="shared" si="0"/>
        <v>-952347.56434086442</v>
      </c>
      <c r="AO13" s="24">
        <f t="shared" si="0"/>
        <v>-2282274.3651483892</v>
      </c>
      <c r="AP13" s="24">
        <f t="shared" si="0"/>
        <v>-1532892.1968301274</v>
      </c>
      <c r="AQ13" s="24">
        <f t="shared" si="0"/>
        <v>-1305935.3401365553</v>
      </c>
      <c r="AR13" s="24">
        <f t="shared" si="0"/>
        <v>-1342317.0770818465</v>
      </c>
    </row>
    <row r="14" spans="1:44" ht="15" customHeight="1" x14ac:dyDescent="0.25">
      <c r="A14" s="13" t="s">
        <v>33</v>
      </c>
      <c r="B14" s="14">
        <v>62271562</v>
      </c>
      <c r="C14" s="14">
        <v>17860754</v>
      </c>
      <c r="D14" s="15">
        <v>0</v>
      </c>
      <c r="E14" s="14">
        <v>76745317</v>
      </c>
      <c r="F14" s="15">
        <v>0</v>
      </c>
      <c r="G14" s="16">
        <f>-5470.124*1000</f>
        <v>-5470124</v>
      </c>
      <c r="H14" s="20">
        <v>5.3834276891000004</v>
      </c>
      <c r="I14" s="14">
        <v>1096538</v>
      </c>
      <c r="J14" s="17">
        <v>2.9117580426999998</v>
      </c>
      <c r="K14" s="14">
        <v>112458137.5</v>
      </c>
      <c r="M14" s="39" t="s">
        <v>34</v>
      </c>
      <c r="N14" s="39"/>
      <c r="O14" s="40"/>
      <c r="P14" s="40">
        <f t="shared" ref="P14:AR14" si="1">(P7+P8)-(P9+P10)+P12+P13</f>
        <v>-718583.5662</v>
      </c>
      <c r="Q14" s="40">
        <f t="shared" si="1"/>
        <v>-410530.40283179504</v>
      </c>
      <c r="R14" s="40">
        <f t="shared" si="1"/>
        <v>-179247.22383755434</v>
      </c>
      <c r="S14" s="40">
        <f t="shared" si="1"/>
        <v>-62878.22068975016</v>
      </c>
      <c r="T14" s="40">
        <f t="shared" si="1"/>
        <v>-28018.437459491644</v>
      </c>
      <c r="U14" s="40">
        <f t="shared" si="1"/>
        <v>-313702.39317336894</v>
      </c>
      <c r="V14" s="40">
        <f t="shared" si="1"/>
        <v>-14106.001669697798</v>
      </c>
      <c r="W14" s="40">
        <f t="shared" si="1"/>
        <v>414112.58379064361</v>
      </c>
      <c r="X14" s="40">
        <f t="shared" si="1"/>
        <v>242351.28038878049</v>
      </c>
      <c r="Y14" s="40">
        <f t="shared" si="1"/>
        <v>-55336.514751733615</v>
      </c>
      <c r="Z14" s="40">
        <f t="shared" si="1"/>
        <v>-1488462.9828418656</v>
      </c>
      <c r="AA14" s="40">
        <f t="shared" si="1"/>
        <v>-711305.65386901132</v>
      </c>
      <c r="AB14" s="40">
        <f t="shared" si="1"/>
        <v>393950.7097872179</v>
      </c>
      <c r="AC14" s="40">
        <f t="shared" si="1"/>
        <v>80149.001338770482</v>
      </c>
      <c r="AD14" s="40">
        <f t="shared" si="1"/>
        <v>934092.28115374525</v>
      </c>
      <c r="AE14" s="40">
        <f t="shared" si="1"/>
        <v>1234956.7196469188</v>
      </c>
      <c r="AF14" s="40">
        <f t="shared" si="1"/>
        <v>-5650644.1280199355</v>
      </c>
      <c r="AG14" s="40">
        <f t="shared" si="1"/>
        <v>4837302.3245606776</v>
      </c>
      <c r="AH14" s="40">
        <f t="shared" si="1"/>
        <v>-640439.20199544507</v>
      </c>
      <c r="AI14" s="40">
        <f t="shared" si="1"/>
        <v>-35018826.499539874</v>
      </c>
      <c r="AJ14" s="40">
        <f t="shared" si="1"/>
        <v>-29590548.080425959</v>
      </c>
      <c r="AK14" s="40">
        <f t="shared" si="1"/>
        <v>-21122168.370793898</v>
      </c>
      <c r="AL14" s="40">
        <f t="shared" si="1"/>
        <v>-1205901.283849752</v>
      </c>
      <c r="AM14" s="40">
        <f t="shared" si="1"/>
        <v>842879.94199827325</v>
      </c>
      <c r="AN14" s="40">
        <f t="shared" si="1"/>
        <v>-29275203.468925394</v>
      </c>
      <c r="AO14" s="40">
        <f t="shared" si="1"/>
        <v>-45254483.316147476</v>
      </c>
      <c r="AP14" s="40">
        <f t="shared" si="1"/>
        <v>-47218880.941152558</v>
      </c>
      <c r="AQ14" s="40">
        <f t="shared" si="1"/>
        <v>-34648020.645797513</v>
      </c>
      <c r="AR14" s="40">
        <f t="shared" si="1"/>
        <v>-24670695.625823941</v>
      </c>
    </row>
    <row r="15" spans="1:44" ht="15" customHeight="1" x14ac:dyDescent="0.25">
      <c r="A15" s="13" t="s">
        <v>35</v>
      </c>
      <c r="B15" s="14">
        <v>78785236</v>
      </c>
      <c r="C15" s="14">
        <v>23724723</v>
      </c>
      <c r="D15" s="15">
        <v>0</v>
      </c>
      <c r="E15" s="14">
        <v>105429354</v>
      </c>
      <c r="F15" s="15">
        <v>0</v>
      </c>
      <c r="G15" s="14">
        <v>-5151844</v>
      </c>
      <c r="H15" s="20">
        <v>2.4980250612999999</v>
      </c>
      <c r="I15" s="14">
        <v>4386152</v>
      </c>
      <c r="J15" s="17">
        <v>4.6204484955999998</v>
      </c>
      <c r="K15" s="14">
        <v>171390636.58000001</v>
      </c>
    </row>
    <row r="16" spans="1:44" ht="15" customHeight="1" x14ac:dyDescent="0.25">
      <c r="A16" s="13" t="s">
        <v>36</v>
      </c>
      <c r="B16" s="14">
        <v>97530648</v>
      </c>
      <c r="C16" s="14">
        <v>25918920</v>
      </c>
      <c r="D16" s="15">
        <v>0</v>
      </c>
      <c r="E16" s="14">
        <v>115340798</v>
      </c>
      <c r="F16" s="15">
        <v>0</v>
      </c>
      <c r="G16" s="14">
        <v>-6751304</v>
      </c>
      <c r="H16" s="20">
        <v>4.3053698075</v>
      </c>
      <c r="I16" s="14">
        <v>4387038</v>
      </c>
      <c r="J16" s="17">
        <v>6.5091324000000004</v>
      </c>
      <c r="K16" s="14">
        <v>228397326.36000001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113854127</v>
      </c>
      <c r="C17" s="14">
        <v>21511789</v>
      </c>
      <c r="D17" s="15">
        <v>0</v>
      </c>
      <c r="E17" s="14">
        <v>139940726</v>
      </c>
      <c r="F17" s="15">
        <v>0</v>
      </c>
      <c r="G17" s="14">
        <v>-7474355</v>
      </c>
      <c r="H17" s="20">
        <v>2.0481900453000002</v>
      </c>
      <c r="I17" s="14">
        <v>4387038</v>
      </c>
      <c r="J17" s="17">
        <v>11.976958428</v>
      </c>
      <c r="K17" s="14">
        <v>429922947.60000002</v>
      </c>
      <c r="L17" s="41" t="str">
        <f>+L19</f>
        <v>Petrobras PN</v>
      </c>
      <c r="M17" s="2" t="s">
        <v>38</v>
      </c>
      <c r="N17" s="2"/>
      <c r="O17" s="28"/>
      <c r="P17" s="42">
        <f>+C6</f>
        <v>668609</v>
      </c>
      <c r="Q17" s="42">
        <f>C7</f>
        <v>1510983</v>
      </c>
      <c r="R17" s="42">
        <f>C8</f>
        <v>1388629</v>
      </c>
      <c r="S17" s="42">
        <f>C9</f>
        <v>1756652</v>
      </c>
      <c r="T17" s="42">
        <f>C10</f>
        <v>9942392</v>
      </c>
      <c r="U17" s="42">
        <f>C11</f>
        <v>9867038</v>
      </c>
      <c r="V17" s="42">
        <f>C12</f>
        <v>8097791</v>
      </c>
      <c r="W17" s="42">
        <f>C13</f>
        <v>17794669</v>
      </c>
      <c r="X17" s="42">
        <f>C14</f>
        <v>17860754</v>
      </c>
      <c r="Y17" s="42">
        <f>C15</f>
        <v>23724723</v>
      </c>
      <c r="Z17" s="42">
        <f>C16</f>
        <v>25918920</v>
      </c>
      <c r="AA17" s="42">
        <f>C17</f>
        <v>21511789</v>
      </c>
      <c r="AB17" s="42">
        <f>C18</f>
        <v>32987792</v>
      </c>
      <c r="AC17" s="42">
        <f>C19</f>
        <v>28981708</v>
      </c>
      <c r="AD17" s="42">
        <f>C20</f>
        <v>35189366</v>
      </c>
      <c r="AE17" s="42">
        <f>C21</f>
        <v>33313097</v>
      </c>
      <c r="AF17" s="42">
        <f>C22</f>
        <v>21182442</v>
      </c>
      <c r="AG17" s="42">
        <f>C23</f>
        <v>23570367</v>
      </c>
      <c r="AH17" s="42">
        <f>C24</f>
        <v>-21587000</v>
      </c>
      <c r="AI17" s="42">
        <f>C25</f>
        <v>-34836000</v>
      </c>
      <c r="AJ17" s="42">
        <f>C26</f>
        <v>-14824000</v>
      </c>
      <c r="AK17" s="42">
        <f>C27</f>
        <v>-446000</v>
      </c>
      <c r="AL17" s="42">
        <f>C28</f>
        <v>25779000</v>
      </c>
      <c r="AM17" s="42">
        <f>C29</f>
        <v>40137000</v>
      </c>
      <c r="AN17" s="42">
        <f>C30</f>
        <v>7108000</v>
      </c>
      <c r="AO17" s="42">
        <f>C31</f>
        <v>106668000</v>
      </c>
      <c r="AP17" s="42">
        <f>C32</f>
        <v>36623000</v>
      </c>
      <c r="AQ17" s="42">
        <f>D32</f>
        <v>2962000</v>
      </c>
      <c r="AR17" s="42">
        <f>E32</f>
        <v>130169000</v>
      </c>
    </row>
    <row r="18" spans="1:44" ht="15" customHeight="1" x14ac:dyDescent="0.25">
      <c r="A18" s="13" t="s">
        <v>39</v>
      </c>
      <c r="B18" s="14">
        <v>138365282</v>
      </c>
      <c r="C18" s="14">
        <v>32987792</v>
      </c>
      <c r="D18" s="15">
        <v>0</v>
      </c>
      <c r="E18" s="14">
        <v>190754167</v>
      </c>
      <c r="F18" s="15">
        <v>0</v>
      </c>
      <c r="G18" s="14">
        <v>-6212568</v>
      </c>
      <c r="H18" s="20">
        <v>4.6107705779000003</v>
      </c>
      <c r="I18" s="14">
        <v>8774076</v>
      </c>
      <c r="J18" s="17">
        <v>6.4545774442999999</v>
      </c>
      <c r="K18" s="14">
        <v>223990959.38999999</v>
      </c>
      <c r="L18" s="43" t="str">
        <f>+L19</f>
        <v>Petrobras PN</v>
      </c>
      <c r="M18" s="18" t="s">
        <v>40</v>
      </c>
      <c r="N18" s="18"/>
      <c r="O18" s="25"/>
      <c r="P18" s="44">
        <f t="shared" ref="P18:AR18" si="2">P14+P17</f>
        <v>-49974.566200000001</v>
      </c>
      <c r="Q18" s="44">
        <f t="shared" si="2"/>
        <v>1100452.5971682048</v>
      </c>
      <c r="R18" s="44">
        <f t="shared" si="2"/>
        <v>1209381.7761624455</v>
      </c>
      <c r="S18" s="44">
        <f t="shared" si="2"/>
        <v>1693773.7793102497</v>
      </c>
      <c r="T18" s="44">
        <f t="shared" si="2"/>
        <v>9914373.5625405088</v>
      </c>
      <c r="U18" s="44">
        <f t="shared" si="2"/>
        <v>9553335.6068266314</v>
      </c>
      <c r="V18" s="44">
        <f t="shared" si="2"/>
        <v>8083684.9983303025</v>
      </c>
      <c r="W18" s="44">
        <f t="shared" si="2"/>
        <v>18208781.583790645</v>
      </c>
      <c r="X18" s="44">
        <f t="shared" si="2"/>
        <v>18103105.28038878</v>
      </c>
      <c r="Y18" s="44">
        <f t="shared" si="2"/>
        <v>23669386.485248268</v>
      </c>
      <c r="Z18" s="44">
        <f t="shared" si="2"/>
        <v>24430457.017158136</v>
      </c>
      <c r="AA18" s="44">
        <f t="shared" si="2"/>
        <v>20800483.346130989</v>
      </c>
      <c r="AB18" s="44">
        <f t="shared" si="2"/>
        <v>33381742.70978722</v>
      </c>
      <c r="AC18" s="44">
        <f t="shared" si="2"/>
        <v>29061857.001338769</v>
      </c>
      <c r="AD18" s="44">
        <f t="shared" si="2"/>
        <v>36123458.281153746</v>
      </c>
      <c r="AE18" s="44">
        <f t="shared" si="2"/>
        <v>34548053.719646916</v>
      </c>
      <c r="AF18" s="44">
        <f t="shared" si="2"/>
        <v>15531797.871980064</v>
      </c>
      <c r="AG18" s="44">
        <f t="shared" si="2"/>
        <v>28407669.324560679</v>
      </c>
      <c r="AH18" s="44">
        <f t="shared" si="2"/>
        <v>-22227439.201995444</v>
      </c>
      <c r="AI18" s="44">
        <f t="shared" si="2"/>
        <v>-69854826.499539882</v>
      </c>
      <c r="AJ18" s="44">
        <f t="shared" si="2"/>
        <v>-44414548.080425963</v>
      </c>
      <c r="AK18" s="44">
        <f t="shared" si="2"/>
        <v>-21568168.370793898</v>
      </c>
      <c r="AL18" s="44">
        <f t="shared" si="2"/>
        <v>24573098.716150247</v>
      </c>
      <c r="AM18" s="44">
        <f t="shared" si="2"/>
        <v>40979879.941998273</v>
      </c>
      <c r="AN18" s="44">
        <f t="shared" si="2"/>
        <v>-22167203.468925394</v>
      </c>
      <c r="AO18" s="44">
        <f t="shared" si="2"/>
        <v>61413516.683852524</v>
      </c>
      <c r="AP18" s="44">
        <f t="shared" si="2"/>
        <v>-10595880.941152558</v>
      </c>
      <c r="AQ18" s="44">
        <f t="shared" si="2"/>
        <v>-31686020.645797513</v>
      </c>
      <c r="AR18" s="44">
        <f t="shared" si="2"/>
        <v>105498304.37417606</v>
      </c>
    </row>
    <row r="19" spans="1:44" ht="15" customHeight="1" x14ac:dyDescent="0.25">
      <c r="A19" s="13" t="s">
        <v>41</v>
      </c>
      <c r="B19" s="14">
        <v>159464599</v>
      </c>
      <c r="C19" s="14">
        <v>28981708</v>
      </c>
      <c r="D19" s="15">
        <v>0</v>
      </c>
      <c r="E19" s="14">
        <v>230230518</v>
      </c>
      <c r="F19" s="15">
        <v>0</v>
      </c>
      <c r="G19" s="14">
        <v>-15439711</v>
      </c>
      <c r="H19" s="20">
        <v>2.8356500409000001</v>
      </c>
      <c r="I19" s="14">
        <v>8774076</v>
      </c>
      <c r="J19" s="17">
        <v>10.709943204</v>
      </c>
      <c r="K19" s="14">
        <v>347084649.56</v>
      </c>
      <c r="L19" s="18" t="str">
        <f>+A1</f>
        <v>Petrobras PN</v>
      </c>
      <c r="M19" s="18" t="s">
        <v>42</v>
      </c>
      <c r="N19" s="18"/>
      <c r="O19" s="31"/>
      <c r="P19" s="45">
        <f t="shared" ref="P19:AR19" si="3">P18/P17</f>
        <v>-7.4744082415881333E-2</v>
      </c>
      <c r="Q19" s="45">
        <f t="shared" si="3"/>
        <v>0.72830243435445985</v>
      </c>
      <c r="R19" s="45">
        <f t="shared" si="3"/>
        <v>0.87091784498411418</v>
      </c>
      <c r="S19" s="45">
        <f t="shared" si="3"/>
        <v>0.96420564762414507</v>
      </c>
      <c r="T19" s="45">
        <f t="shared" si="3"/>
        <v>0.99718192186955701</v>
      </c>
      <c r="U19" s="45">
        <f t="shared" si="3"/>
        <v>0.96820703506225791</v>
      </c>
      <c r="V19" s="45">
        <f t="shared" si="3"/>
        <v>0.99825804325282075</v>
      </c>
      <c r="W19" s="45">
        <f t="shared" si="3"/>
        <v>1.0232717216482445</v>
      </c>
      <c r="X19" s="45">
        <f t="shared" si="3"/>
        <v>1.0135689277389286</v>
      </c>
      <c r="Y19" s="45">
        <f t="shared" si="3"/>
        <v>0.99766755907954197</v>
      </c>
      <c r="Z19" s="45">
        <f t="shared" si="3"/>
        <v>0.9425723377809776</v>
      </c>
      <c r="AA19" s="45">
        <f t="shared" si="3"/>
        <v>0.96693414695221258</v>
      </c>
      <c r="AB19" s="45">
        <f t="shared" si="3"/>
        <v>1.0119423182305509</v>
      </c>
      <c r="AC19" s="45">
        <f t="shared" si="3"/>
        <v>1.002765503031732</v>
      </c>
      <c r="AD19" s="45">
        <f t="shared" si="3"/>
        <v>1.0265447317565695</v>
      </c>
      <c r="AE19" s="45">
        <f t="shared" si="3"/>
        <v>1.0370712071485553</v>
      </c>
      <c r="AF19" s="45">
        <f t="shared" si="3"/>
        <v>0.73323924937361162</v>
      </c>
      <c r="AG19" s="45">
        <f t="shared" si="3"/>
        <v>1.2052281292251699</v>
      </c>
      <c r="AH19" s="45">
        <f t="shared" si="3"/>
        <v>1.0296678186869617</v>
      </c>
      <c r="AI19" s="45">
        <f t="shared" si="3"/>
        <v>2.0052482058657675</v>
      </c>
      <c r="AJ19" s="45">
        <f t="shared" si="3"/>
        <v>2.9961243983018053</v>
      </c>
      <c r="AK19" s="45">
        <f t="shared" si="3"/>
        <v>48.359121907609634</v>
      </c>
      <c r="AL19" s="45">
        <f t="shared" si="3"/>
        <v>0.95322156469026131</v>
      </c>
      <c r="AM19" s="45">
        <f t="shared" si="3"/>
        <v>1.021000073298908</v>
      </c>
      <c r="AN19" s="45">
        <f t="shared" si="3"/>
        <v>-3.1186273872995769</v>
      </c>
      <c r="AO19" s="45">
        <f t="shared" si="3"/>
        <v>0.57574452210459115</v>
      </c>
      <c r="AP19" s="45">
        <f t="shared" si="3"/>
        <v>-0.28932312866648163</v>
      </c>
      <c r="AQ19" s="45">
        <f t="shared" si="3"/>
        <v>-10.697508658270598</v>
      </c>
      <c r="AR19" s="45">
        <f t="shared" si="3"/>
        <v>0.81047180491650128</v>
      </c>
    </row>
    <row r="20" spans="1:44" ht="15" customHeight="1" x14ac:dyDescent="0.25">
      <c r="A20" s="13" t="s">
        <v>43</v>
      </c>
      <c r="B20" s="14">
        <v>306765182</v>
      </c>
      <c r="C20" s="14">
        <v>35189366</v>
      </c>
      <c r="D20" s="14">
        <v>83098192</v>
      </c>
      <c r="E20" s="14">
        <v>282837532</v>
      </c>
      <c r="F20" s="14">
        <v>8879163</v>
      </c>
      <c r="G20" s="14">
        <v>-9414932</v>
      </c>
      <c r="H20" s="20">
        <v>3.6397947965999999</v>
      </c>
      <c r="I20" s="14">
        <v>13044497</v>
      </c>
      <c r="J20" s="17">
        <v>8.2504946587999992</v>
      </c>
      <c r="K20" s="14">
        <v>380246723.17000002</v>
      </c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ht="15" customHeight="1" x14ac:dyDescent="0.25">
      <c r="A21" s="13" t="s">
        <v>44</v>
      </c>
      <c r="B21" s="14">
        <v>329838881</v>
      </c>
      <c r="C21" s="14">
        <v>33313097</v>
      </c>
      <c r="D21" s="14">
        <v>82283984</v>
      </c>
      <c r="E21" s="14">
        <v>342266918</v>
      </c>
      <c r="F21" s="14">
        <v>12248080</v>
      </c>
      <c r="G21" s="14">
        <v>-10658915</v>
      </c>
      <c r="H21" s="20">
        <v>4.0805956259</v>
      </c>
      <c r="I21" s="14">
        <v>13044497</v>
      </c>
      <c r="J21" s="17">
        <v>6.7386511147999997</v>
      </c>
      <c r="K21" s="14">
        <v>291564346.06999999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343079673</v>
      </c>
      <c r="C22" s="14">
        <v>21182442</v>
      </c>
      <c r="D22" s="14">
        <v>81206756</v>
      </c>
      <c r="E22" s="14">
        <v>418715641</v>
      </c>
      <c r="F22" s="14">
        <v>12476892</v>
      </c>
      <c r="G22" s="14">
        <v>-6186513</v>
      </c>
      <c r="H22" s="20">
        <v>2.6776127049</v>
      </c>
      <c r="I22" s="14">
        <v>13044497</v>
      </c>
      <c r="J22" s="17">
        <v>6.2730899035999999</v>
      </c>
      <c r="K22" s="14">
        <v>254851855.06</v>
      </c>
      <c r="L22" s="47" t="str">
        <f>+L24</f>
        <v>Petrobras PN</v>
      </c>
      <c r="M22" s="39" t="s">
        <v>46</v>
      </c>
      <c r="N22" s="32"/>
      <c r="O22" s="32"/>
      <c r="P22" s="30">
        <v>19975136</v>
      </c>
      <c r="Q22" s="30">
        <v>21055416</v>
      </c>
      <c r="R22" s="30">
        <v>21734616</v>
      </c>
      <c r="S22" s="30">
        <v>10502002</v>
      </c>
      <c r="T22" s="30">
        <v>10565590</v>
      </c>
      <c r="U22" s="30">
        <v>28966503</v>
      </c>
      <c r="V22" s="30">
        <v>34324906</v>
      </c>
      <c r="W22" s="30">
        <v>49367329</v>
      </c>
      <c r="X22" s="30">
        <v>62271562</v>
      </c>
      <c r="Y22" s="30">
        <v>78785236</v>
      </c>
      <c r="Z22" s="30">
        <v>97530648</v>
      </c>
      <c r="AA22" s="30">
        <v>113854127</v>
      </c>
      <c r="AB22" s="30">
        <v>138365282</v>
      </c>
      <c r="AC22" s="30">
        <v>159464599</v>
      </c>
      <c r="AD22" s="30">
        <v>306765182</v>
      </c>
      <c r="AE22" s="30">
        <v>329838881</v>
      </c>
      <c r="AF22" s="30">
        <v>343079673</v>
      </c>
      <c r="AG22" s="30">
        <v>347939893</v>
      </c>
      <c r="AH22" s="30">
        <v>308848000</v>
      </c>
      <c r="AI22" s="30">
        <v>254731000</v>
      </c>
      <c r="AJ22" s="30">
        <v>250230000</v>
      </c>
      <c r="AK22" s="30">
        <v>263985000</v>
      </c>
      <c r="AL22" s="30">
        <v>277225000</v>
      </c>
      <c r="AM22" s="30">
        <v>295541000</v>
      </c>
      <c r="AN22" s="30">
        <v>308410000</v>
      </c>
      <c r="AO22" s="30">
        <v>387329000</v>
      </c>
      <c r="AP22" s="30">
        <v>362594000</v>
      </c>
      <c r="AQ22" s="30">
        <v>362594000</v>
      </c>
      <c r="AR22" s="30">
        <v>362594000</v>
      </c>
    </row>
    <row r="23" spans="1:44" ht="15" customHeight="1" x14ac:dyDescent="0.25">
      <c r="A23" s="13" t="s">
        <v>47</v>
      </c>
      <c r="B23" s="14">
        <v>347939893</v>
      </c>
      <c r="C23" s="14">
        <v>23570367</v>
      </c>
      <c r="D23" s="14">
        <v>36121197</v>
      </c>
      <c r="E23" s="14">
        <v>533880314</v>
      </c>
      <c r="F23" s="14">
        <v>15615384</v>
      </c>
      <c r="G23" s="14">
        <v>-5776430</v>
      </c>
      <c r="H23" s="20">
        <v>4.5496487118999998</v>
      </c>
      <c r="I23" s="14">
        <v>13044497</v>
      </c>
      <c r="J23" s="17">
        <v>5.7068749627999997</v>
      </c>
      <c r="K23" s="14">
        <v>214687733.90000001</v>
      </c>
      <c r="L23" s="47" t="str">
        <f>+L25</f>
        <v>Petrobras PN</v>
      </c>
      <c r="M23" s="39" t="s">
        <v>48</v>
      </c>
      <c r="N23" s="32"/>
      <c r="O23" s="32"/>
      <c r="P23" s="30">
        <f>P22+P9+P10+P14</f>
        <v>21155433.771600001</v>
      </c>
      <c r="Q23" s="33">
        <f>Q22+Q9+Q10+Q14+((P9+P10+P14)*(1+Q5))</f>
        <v>23019303.863323241</v>
      </c>
      <c r="R23" s="33">
        <f>R22+R9+R10+R14+((Q9+Q10+Q14)*(1+R5))+(((P9+P10+P14)*(1+R5)*(1+Q5)))</f>
        <v>23938592.230522975</v>
      </c>
      <c r="S23" s="33">
        <f>S22+S9+S10+S14+((R9+R10+R14)*(1+S5))+(((Q9+Q10+Q14)*(1+S5)*(1+R5)))+(((P9+P10+P14)*(1+S5)*(1+R5)*(1+Q5)))</f>
        <v>14785401.988301275</v>
      </c>
      <c r="T23" s="33">
        <f>T22+T9+T10+T14+((S9+S10+S14)*(1+T5))+(((R9+R10+R14)*(1+T5)*(1+S5)))+(((Q9+Q10+Q14)*(1+T5)*(1+S5)*(1+R5)))+(((P9+P10+P14)*(1+T5)*(1+S5)*(1+R5)*(1+Q5)))</f>
        <v>16583938.396129075</v>
      </c>
      <c r="U23" s="33">
        <f>U22+U9+U10+U14+((T9+T10+T14)*(1+U5))+((S9+S10+S14)*(1+U5)*(1+T5))+((R9+R10+R14)*(1+U5)*(1+T5)*(1+S5))+((Q9+Q10+Q14)*(1+U5)*(1+T5)*(1+S5)*(1+R5))+((P9+P10+P14)*(1+U5)*(1+T5)*(1+S5)*(1+R5)*(1+Q5))</f>
        <v>37619941.959270902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48971623.230174161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70849502.118588015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91241074.991851792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114719722.26432224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136790005.84354496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160267244.48094568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197522267.02588525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229686855.07314643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399118102.76291084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454883793.34951884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495265113.23080695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541458162.72253859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544934183.7351917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530510138.29883176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542026791.91459692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556619613.71351159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596815146.85468054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650871530.15818727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674376284.13568103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802010290.25132108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780733103.85715282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776771573.04957438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784661049.64845634</v>
      </c>
    </row>
    <row r="24" spans="1:44" ht="15" customHeight="1" x14ac:dyDescent="0.25">
      <c r="A24" s="13" t="s">
        <v>49</v>
      </c>
      <c r="B24" s="14">
        <v>308848000</v>
      </c>
      <c r="C24" s="14">
        <v>-21587000</v>
      </c>
      <c r="D24" s="14">
        <v>11976000</v>
      </c>
      <c r="E24" s="14">
        <v>580990000</v>
      </c>
      <c r="F24" s="14">
        <v>15282000</v>
      </c>
      <c r="G24" s="14">
        <v>-8735000</v>
      </c>
      <c r="H24" s="20">
        <v>9.8942115768000001</v>
      </c>
      <c r="I24" s="14">
        <v>13044497</v>
      </c>
      <c r="J24" s="17">
        <v>3.5611394819000002</v>
      </c>
      <c r="K24" s="14">
        <v>127505604.72</v>
      </c>
      <c r="L24" s="47" t="str">
        <f>+L25</f>
        <v>Petrobras PN</v>
      </c>
      <c r="M24" s="39" t="s">
        <v>50</v>
      </c>
      <c r="N24" s="32"/>
      <c r="O24" s="32"/>
      <c r="P24" s="30">
        <v>15406640.593</v>
      </c>
      <c r="Q24" s="30">
        <v>23527637.241999999</v>
      </c>
      <c r="R24" s="30">
        <v>10884364.799000001</v>
      </c>
      <c r="S24" s="30">
        <v>17428087.655999999</v>
      </c>
      <c r="T24" s="30">
        <v>16748049.408</v>
      </c>
      <c r="U24" s="30">
        <v>56404006.473999999</v>
      </c>
      <c r="V24" s="30">
        <v>54453901.005999997</v>
      </c>
      <c r="W24" s="30">
        <v>88658596.799999997</v>
      </c>
      <c r="X24" s="30">
        <v>112458137.5</v>
      </c>
      <c r="Y24" s="30">
        <v>171390636.58000001</v>
      </c>
      <c r="Z24" s="30">
        <v>228397326.36000001</v>
      </c>
      <c r="AA24" s="30">
        <v>429922947.60000002</v>
      </c>
      <c r="AB24" s="30">
        <v>223990959.38999999</v>
      </c>
      <c r="AC24" s="30">
        <v>347084649.56</v>
      </c>
      <c r="AD24" s="30">
        <v>380246723.17000002</v>
      </c>
      <c r="AE24" s="30">
        <v>291564346.06999999</v>
      </c>
      <c r="AF24" s="30">
        <v>254851855.06</v>
      </c>
      <c r="AG24" s="30">
        <v>214687733.90000001</v>
      </c>
      <c r="AH24" s="30">
        <v>127505604.72</v>
      </c>
      <c r="AI24" s="30">
        <v>101315518.88</v>
      </c>
      <c r="AJ24" s="30">
        <v>209377550.16999999</v>
      </c>
      <c r="AK24" s="30">
        <v>216044789.44</v>
      </c>
      <c r="AL24" s="30">
        <v>316085347</v>
      </c>
      <c r="AM24" s="30">
        <v>407218846.60000002</v>
      </c>
      <c r="AN24" s="30">
        <v>373468194.14999998</v>
      </c>
      <c r="AO24" s="30">
        <v>387852546.49000001</v>
      </c>
      <c r="AP24" s="30">
        <v>345928429.99000001</v>
      </c>
      <c r="AQ24" s="30">
        <f>+K33</f>
        <v>375102344.89854503</v>
      </c>
      <c r="AR24" s="30">
        <f>+K34</f>
        <v>454317205.33956999</v>
      </c>
    </row>
    <row r="25" spans="1:44" ht="15" customHeight="1" x14ac:dyDescent="0.25">
      <c r="A25" s="13" t="s">
        <v>51</v>
      </c>
      <c r="B25" s="14">
        <v>254731000</v>
      </c>
      <c r="C25" s="14">
        <v>-34836000</v>
      </c>
      <c r="D25" s="14">
        <v>12072000</v>
      </c>
      <c r="E25" s="14">
        <v>629831000</v>
      </c>
      <c r="F25" s="14">
        <v>13772000</v>
      </c>
      <c r="G25" s="14">
        <v>0</v>
      </c>
      <c r="H25" s="20">
        <v>0</v>
      </c>
      <c r="I25" s="14">
        <v>13044497</v>
      </c>
      <c r="J25" s="17">
        <v>2.3812010507000001</v>
      </c>
      <c r="K25" s="14">
        <v>101315518.88</v>
      </c>
      <c r="L25" s="39" t="str">
        <f>+A1</f>
        <v>Petrobras PN</v>
      </c>
      <c r="M25" s="39" t="s">
        <v>52</v>
      </c>
      <c r="N25" s="18"/>
      <c r="O25" s="18"/>
      <c r="P25" s="31">
        <f t="shared" ref="P25:AR25" si="4">P24/P23</f>
        <v>0.7282592623405606</v>
      </c>
      <c r="Q25" s="31">
        <f t="shared" si="4"/>
        <v>1.0220829170897165</v>
      </c>
      <c r="R25" s="31">
        <f t="shared" si="4"/>
        <v>0.45467856648319771</v>
      </c>
      <c r="S25" s="31">
        <f t="shared" si="4"/>
        <v>1.17873613918578</v>
      </c>
      <c r="T25" s="31">
        <f t="shared" si="4"/>
        <v>1.0098957803599433</v>
      </c>
      <c r="U25" s="31">
        <f t="shared" si="4"/>
        <v>1.4993113635067699</v>
      </c>
      <c r="V25" s="31">
        <f t="shared" si="4"/>
        <v>1.111948051018409</v>
      </c>
      <c r="W25" s="31">
        <f t="shared" si="4"/>
        <v>1.2513651352355744</v>
      </c>
      <c r="X25" s="31">
        <f t="shared" si="4"/>
        <v>1.2325384977110692</v>
      </c>
      <c r="Y25" s="31">
        <f t="shared" si="4"/>
        <v>1.4939945215793327</v>
      </c>
      <c r="Z25" s="31">
        <f t="shared" si="4"/>
        <v>1.669693081388065</v>
      </c>
      <c r="AA25" s="31">
        <f t="shared" si="4"/>
        <v>2.6825378385482503</v>
      </c>
      <c r="AB25" s="31">
        <f t="shared" si="4"/>
        <v>1.134003587355779</v>
      </c>
      <c r="AC25" s="31">
        <f t="shared" si="4"/>
        <v>1.5111210846152554</v>
      </c>
      <c r="AD25" s="31">
        <f t="shared" si="4"/>
        <v>0.95271730482212424</v>
      </c>
      <c r="AE25" s="31">
        <f t="shared" si="4"/>
        <v>0.64096446242473815</v>
      </c>
      <c r="AF25" s="31">
        <f t="shared" si="4"/>
        <v>0.51457663431510903</v>
      </c>
      <c r="AG25" s="31">
        <f t="shared" si="4"/>
        <v>0.39649921024463941</v>
      </c>
      <c r="AH25" s="31">
        <f t="shared" si="4"/>
        <v>0.23398349475165384</v>
      </c>
      <c r="AI25" s="31">
        <f t="shared" si="4"/>
        <v>0.1909775357072061</v>
      </c>
      <c r="AJ25" s="31">
        <f t="shared" si="4"/>
        <v>0.38628634837480513</v>
      </c>
      <c r="AK25" s="31">
        <f t="shared" si="4"/>
        <v>0.38813721995645811</v>
      </c>
      <c r="AL25" s="31">
        <f t="shared" si="4"/>
        <v>0.52962018250680243</v>
      </c>
      <c r="AM25" s="31">
        <f t="shared" si="4"/>
        <v>0.62565164972115139</v>
      </c>
      <c r="AN25" s="31">
        <f t="shared" si="4"/>
        <v>0.55379793586403769</v>
      </c>
      <c r="AO25" s="31">
        <f t="shared" si="4"/>
        <v>0.48360046149590052</v>
      </c>
      <c r="AP25" s="31">
        <f t="shared" si="4"/>
        <v>0.44308154512850395</v>
      </c>
      <c r="AQ25" s="31">
        <f t="shared" si="4"/>
        <v>0.48289916612924971</v>
      </c>
      <c r="AR25" s="31">
        <f t="shared" si="4"/>
        <v>0.5789980343017066</v>
      </c>
    </row>
    <row r="26" spans="1:44" ht="15" customHeight="1" x14ac:dyDescent="0.25">
      <c r="A26" s="13" t="s">
        <v>53</v>
      </c>
      <c r="B26" s="14">
        <v>250230000</v>
      </c>
      <c r="C26" s="14">
        <v>-14824000</v>
      </c>
      <c r="D26" s="14">
        <v>10663000</v>
      </c>
      <c r="E26" s="14">
        <v>571876000</v>
      </c>
      <c r="F26" s="14">
        <v>9948000</v>
      </c>
      <c r="G26" s="14">
        <v>-239000</v>
      </c>
      <c r="H26" s="20">
        <v>0</v>
      </c>
      <c r="I26" s="14">
        <v>13044497</v>
      </c>
      <c r="J26" s="17">
        <v>5.2848447200999997</v>
      </c>
      <c r="K26" s="14">
        <v>209377550.16999999</v>
      </c>
    </row>
    <row r="27" spans="1:44" ht="15" customHeight="1" x14ac:dyDescent="0.25">
      <c r="A27" s="13" t="s">
        <v>54</v>
      </c>
      <c r="B27" s="14">
        <v>263985000</v>
      </c>
      <c r="C27" s="14">
        <v>-446000</v>
      </c>
      <c r="D27" s="14">
        <v>7740000</v>
      </c>
      <c r="E27" s="14">
        <v>584357000</v>
      </c>
      <c r="F27" s="14">
        <v>12554000</v>
      </c>
      <c r="G27" s="14">
        <v>-538000</v>
      </c>
      <c r="H27" s="20">
        <v>0</v>
      </c>
      <c r="I27" s="14">
        <v>13044497</v>
      </c>
      <c r="J27" s="17">
        <v>5.7219905846000003</v>
      </c>
      <c r="K27" s="14">
        <v>216044789.44</v>
      </c>
      <c r="S27" s="67"/>
    </row>
    <row r="28" spans="1:44" ht="15" customHeight="1" x14ac:dyDescent="0.25">
      <c r="A28" s="13" t="s">
        <v>55</v>
      </c>
      <c r="B28" s="14">
        <v>277225000</v>
      </c>
      <c r="C28" s="14">
        <v>25779000</v>
      </c>
      <c r="D28" s="14">
        <v>10870000</v>
      </c>
      <c r="E28" s="14">
        <v>609829000</v>
      </c>
      <c r="F28" s="14">
        <v>10690000</v>
      </c>
      <c r="G28" s="14">
        <v>-3046000</v>
      </c>
      <c r="H28" s="20">
        <v>3.9682539683</v>
      </c>
      <c r="I28" s="14">
        <v>13044201</v>
      </c>
      <c r="J28" s="17">
        <v>8.4020846836</v>
      </c>
      <c r="K28" s="14">
        <v>316085347</v>
      </c>
    </row>
    <row r="29" spans="1:44" ht="15" customHeight="1" x14ac:dyDescent="0.25">
      <c r="A29" s="13" t="s">
        <v>56</v>
      </c>
      <c r="B29" s="14">
        <v>295541000</v>
      </c>
      <c r="C29" s="14">
        <v>40137000</v>
      </c>
      <c r="D29" s="14">
        <v>78489000</v>
      </c>
      <c r="E29" s="14">
        <v>641949000</v>
      </c>
      <c r="F29" s="14">
        <v>22166000</v>
      </c>
      <c r="G29" s="14">
        <v>-8038000</v>
      </c>
      <c r="H29" s="20">
        <v>3.1127137177000002</v>
      </c>
      <c r="I29" s="14">
        <v>13044201</v>
      </c>
      <c r="J29" s="17">
        <v>11.550807057</v>
      </c>
      <c r="K29" s="14">
        <v>407218846.60000002</v>
      </c>
    </row>
    <row r="30" spans="1:44" ht="15" customHeight="1" x14ac:dyDescent="0.25">
      <c r="A30" s="13" t="s">
        <v>57</v>
      </c>
      <c r="B30" s="14">
        <v>308410000</v>
      </c>
      <c r="C30" s="14">
        <v>7108000</v>
      </c>
      <c r="D30" s="14">
        <v>77678000</v>
      </c>
      <c r="E30" s="14">
        <v>645434000</v>
      </c>
      <c r="F30" s="14">
        <v>17010000</v>
      </c>
      <c r="G30" s="14">
        <v>-6657000</v>
      </c>
      <c r="H30" s="20">
        <v>1.6125617502E-3</v>
      </c>
      <c r="I30" s="14">
        <v>13044201</v>
      </c>
      <c r="J30" s="17">
        <v>10.846797956</v>
      </c>
      <c r="K30" s="14">
        <v>373468194.14999998</v>
      </c>
    </row>
    <row r="31" spans="1:44" ht="15" customHeight="1" x14ac:dyDescent="0.25">
      <c r="A31" s="13" t="s">
        <v>58</v>
      </c>
      <c r="B31" s="14">
        <v>387329000</v>
      </c>
      <c r="C31" s="14">
        <v>106668000</v>
      </c>
      <c r="D31" s="14">
        <v>16879000</v>
      </c>
      <c r="E31" s="14">
        <v>699406000</v>
      </c>
      <c r="F31" s="14">
        <v>8427000</v>
      </c>
      <c r="G31" s="14">
        <v>-72718000</v>
      </c>
      <c r="H31" s="20">
        <v>19.867873461999999</v>
      </c>
      <c r="I31" s="14">
        <v>13044201.261</v>
      </c>
      <c r="J31" s="17">
        <v>13.396439925999999</v>
      </c>
      <c r="K31" s="14">
        <v>387852546.49000001</v>
      </c>
    </row>
    <row r="32" spans="1:44" ht="15" customHeight="1" x14ac:dyDescent="0.25">
      <c r="A32" s="13" t="s">
        <v>59</v>
      </c>
      <c r="B32" s="14">
        <v>69492000</v>
      </c>
      <c r="C32" s="14">
        <v>36623000</v>
      </c>
      <c r="D32" s="14">
        <v>2962000</v>
      </c>
      <c r="E32" s="14">
        <v>130169000</v>
      </c>
      <c r="F32" s="14">
        <v>8172000</v>
      </c>
      <c r="G32" s="14">
        <v>-194609000</v>
      </c>
      <c r="H32" s="20">
        <v>68.321049388000006</v>
      </c>
      <c r="I32" s="14">
        <v>13044201.261</v>
      </c>
      <c r="J32" s="17">
        <v>19.723126607000001</v>
      </c>
      <c r="K32" s="14">
        <v>201640177.92563301</v>
      </c>
    </row>
    <row r="33" spans="1:42" ht="15" customHeight="1" x14ac:dyDescent="0.25">
      <c r="A33" s="13" t="s">
        <v>60</v>
      </c>
      <c r="B33" s="14">
        <v>78583000</v>
      </c>
      <c r="C33" s="14">
        <v>24884000</v>
      </c>
      <c r="D33" s="14">
        <v>3017000</v>
      </c>
      <c r="E33" s="14">
        <v>153424000</v>
      </c>
      <c r="F33" s="14"/>
      <c r="G33" s="14"/>
      <c r="H33" s="14"/>
      <c r="I33" s="14"/>
      <c r="J33" s="14"/>
      <c r="K33" s="14">
        <v>375102344.89854503</v>
      </c>
    </row>
    <row r="34" spans="1:42" ht="15" customHeight="1" x14ac:dyDescent="0.25">
      <c r="A34" s="13" t="s">
        <v>61</v>
      </c>
      <c r="B34" s="14">
        <v>59106000</v>
      </c>
      <c r="C34" s="14">
        <v>7528000</v>
      </c>
      <c r="D34" s="14">
        <v>2235000</v>
      </c>
      <c r="E34" s="14">
        <v>136285000</v>
      </c>
      <c r="F34" s="14"/>
      <c r="G34" s="14"/>
      <c r="H34" s="14"/>
      <c r="I34" s="14"/>
      <c r="J34" s="14"/>
      <c r="K34" s="14">
        <v>454317205.33956999</v>
      </c>
    </row>
    <row r="46" spans="1:42" ht="15" customHeight="1" x14ac:dyDescent="0.25">
      <c r="M46" s="46" t="s">
        <v>62</v>
      </c>
      <c r="N46" s="1"/>
      <c r="O46" s="1"/>
      <c r="P46" s="48">
        <f>-G6/P17</f>
        <v>0.55823956901567284</v>
      </c>
      <c r="Q46" s="48">
        <f>-G7/Q17</f>
        <v>0.26181432881772992</v>
      </c>
      <c r="R46" s="48">
        <f>-G8/R17</f>
        <v>0.28381302709362977</v>
      </c>
      <c r="S46" s="48">
        <f>-G9/S17</f>
        <v>0.37395853020404723</v>
      </c>
      <c r="T46" s="48">
        <f>-G10/T17</f>
        <v>9.3780852736444112E-2</v>
      </c>
      <c r="U46" s="48">
        <f>-G11/U17</f>
        <v>0.40388077962201019</v>
      </c>
      <c r="V46" s="48">
        <f>-G12/V17</f>
        <v>0.32744300266578874</v>
      </c>
      <c r="W46" s="48">
        <f>-G13/W17</f>
        <v>0.15360791481988229</v>
      </c>
      <c r="X46" s="48">
        <f>-G14/X17</f>
        <v>0.30626500986464511</v>
      </c>
      <c r="Y46" s="48">
        <f>-G15/Y17</f>
        <v>0.21715085988569813</v>
      </c>
      <c r="Z46" s="48">
        <f>-G16/Z17</f>
        <v>0.26047782855149831</v>
      </c>
      <c r="AA46" s="48">
        <f>-G17/AA17</f>
        <v>0.34745390074251842</v>
      </c>
      <c r="AB46" s="48">
        <f>-G18/AB17</f>
        <v>0.18832930679325249</v>
      </c>
      <c r="AC46" s="48">
        <f>-G19/AC17</f>
        <v>0.53273985784412703</v>
      </c>
      <c r="AD46" s="48">
        <f>-G20/AD17</f>
        <v>0.26755048670101078</v>
      </c>
      <c r="AE46" s="48">
        <f>-G21/AE17</f>
        <v>0.31996169554574888</v>
      </c>
      <c r="AF46" s="48">
        <f>-G22/AF17</f>
        <v>0.29205853602714926</v>
      </c>
      <c r="AG46" s="48">
        <f>-G23/AG17</f>
        <v>0.24507170380503621</v>
      </c>
      <c r="AH46" s="48">
        <f>-G24/AH17</f>
        <v>-0.40464168249409366</v>
      </c>
      <c r="AI46" s="48">
        <f>-G25/AI17</f>
        <v>0</v>
      </c>
      <c r="AJ46" s="48">
        <f>-G26/AJ17</f>
        <v>-1.6122504047490556E-2</v>
      </c>
      <c r="AK46" s="48">
        <f>-G27/AK17</f>
        <v>-1.2062780269058295</v>
      </c>
      <c r="AL46" s="48">
        <f>-G28/AL17</f>
        <v>0.11815819077543738</v>
      </c>
      <c r="AM46" s="48">
        <f>-G29/AM17</f>
        <v>0.20026409547300497</v>
      </c>
      <c r="AN46" s="48">
        <f>-G30/AN17</f>
        <v>0.93655036578503092</v>
      </c>
      <c r="AO46" s="48">
        <f>-G31/AO17</f>
        <v>0.68172272846589421</v>
      </c>
      <c r="AP46" s="48">
        <f>-G32/AP17</f>
        <v>5.3138464899107118</v>
      </c>
    </row>
    <row r="47" spans="1:42" ht="15" customHeight="1" x14ac:dyDescent="0.25">
      <c r="M47" s="39" t="s">
        <v>63</v>
      </c>
      <c r="N47" s="32"/>
      <c r="O47" s="32"/>
      <c r="P47" s="49">
        <f>-G6/P18</f>
        <v>-7.4686791378291142</v>
      </c>
      <c r="Q47" s="49">
        <f>-G7/Q18</f>
        <v>0.35948572525340022</v>
      </c>
      <c r="R47" s="49">
        <f>-G8/R18</f>
        <v>0.32587807073674852</v>
      </c>
      <c r="S47" s="49">
        <f>-G9/S18</f>
        <v>0.38784104939179864</v>
      </c>
      <c r="T47" s="49">
        <f>-G10/T18</f>
        <v>9.4045881378013715E-2</v>
      </c>
      <c r="U47" s="49">
        <f>-G11/U18</f>
        <v>0.41714299214531086</v>
      </c>
      <c r="V47" s="49">
        <f>-G12/V18</f>
        <v>0.32801438954482826</v>
      </c>
      <c r="W47" s="49">
        <f>-G13/W18</f>
        <v>0.15011449214335457</v>
      </c>
      <c r="X47" s="49">
        <f>-G14/X18</f>
        <v>0.30216495541932376</v>
      </c>
      <c r="Y47" s="49">
        <f>-G15/Y18</f>
        <v>0.21765853556072695</v>
      </c>
      <c r="Z47" s="49">
        <f>-G16/Z18</f>
        <v>0.27634783889873143</v>
      </c>
      <c r="AA47" s="49">
        <f>-G17/AA18</f>
        <v>0.3593356402167584</v>
      </c>
      <c r="AB47" s="49">
        <f>-G18/AB18</f>
        <v>0.18610676063291723</v>
      </c>
      <c r="AC47" s="49">
        <f>-G19/AC18</f>
        <v>0.53127062731362118</v>
      </c>
      <c r="AD47" s="49">
        <f>-G20/AD18</f>
        <v>0.26063207810067118</v>
      </c>
      <c r="AE47" s="49">
        <f>-G21/AE18</f>
        <v>0.30852432633385796</v>
      </c>
      <c r="AF47" s="49">
        <f>-G22/AF18</f>
        <v>0.39831274209154482</v>
      </c>
      <c r="AG47" s="49">
        <f>-G23/AG18</f>
        <v>0.20334051111351886</v>
      </c>
      <c r="AH47" s="49">
        <f>-G24/AH18</f>
        <v>-0.39298274176432457</v>
      </c>
      <c r="AI47" s="49">
        <f>-G25/AI18</f>
        <v>0</v>
      </c>
      <c r="AJ47" s="49">
        <f>-G26/AJ18</f>
        <v>-5.3811197080564296E-3</v>
      </c>
      <c r="AK47" s="49">
        <f>-G27/AK18</f>
        <v>-2.4944167290928694E-2</v>
      </c>
      <c r="AL47" s="49">
        <f>-G28/AL18</f>
        <v>0.12395669081808021</v>
      </c>
      <c r="AM47" s="49">
        <f>-G29/AM18</f>
        <v>0.19614503535336733</v>
      </c>
      <c r="AN47" s="49">
        <f>-G30/AN18</f>
        <v>-0.30030851700946259</v>
      </c>
      <c r="AO47" s="49">
        <f>-G31/AO18</f>
        <v>1.1840715843442291</v>
      </c>
      <c r="AP47" s="49">
        <f>-G32/AP18</f>
        <v>-18.366476660205997</v>
      </c>
    </row>
    <row r="48" spans="1:42" ht="15" customHeight="1" x14ac:dyDescent="0.25">
      <c r="M48" s="39" t="s">
        <v>64</v>
      </c>
      <c r="N48" s="32"/>
      <c r="O48" s="32"/>
      <c r="P48" s="37">
        <v>3.1100302092000001</v>
      </c>
      <c r="Q48" s="37">
        <v>2.3472413128</v>
      </c>
      <c r="R48" s="37">
        <v>4.4923655448000002</v>
      </c>
      <c r="S48" s="37">
        <v>1.4001738876000001</v>
      </c>
      <c r="T48" s="37">
        <v>1.7824377933</v>
      </c>
      <c r="U48" s="37">
        <v>6.4320623691999996</v>
      </c>
      <c r="V48" s="37">
        <v>6.8749997738999999</v>
      </c>
      <c r="W48" s="37">
        <v>6.0471204187999996</v>
      </c>
      <c r="X48" s="37">
        <v>5.3834276891000004</v>
      </c>
      <c r="Y48" s="37">
        <v>2.4980250612999999</v>
      </c>
      <c r="Z48" s="37">
        <v>4.3053698075</v>
      </c>
      <c r="AA48" s="37">
        <v>2.0481900453000002</v>
      </c>
      <c r="AB48" s="37">
        <v>4.6107705779000003</v>
      </c>
      <c r="AC48" s="37">
        <v>2.8356500409000001</v>
      </c>
      <c r="AD48" s="37">
        <v>3.6397947965999999</v>
      </c>
      <c r="AE48" s="37">
        <v>4.0805956259</v>
      </c>
      <c r="AF48" s="37">
        <v>2.6776127049</v>
      </c>
      <c r="AG48" s="37">
        <v>4.5496487118999998</v>
      </c>
      <c r="AH48" s="37">
        <v>9.8942115768000001</v>
      </c>
      <c r="AI48" s="37">
        <v>0</v>
      </c>
      <c r="AJ48" s="37">
        <v>0</v>
      </c>
      <c r="AK48" s="37">
        <v>0</v>
      </c>
      <c r="AL48" s="37">
        <v>3.9682539683</v>
      </c>
      <c r="AM48" s="37">
        <v>3.1127137177000002</v>
      </c>
      <c r="AN48" s="37">
        <v>1.6125617502E-3</v>
      </c>
      <c r="AO48" s="37">
        <v>19.867873461999999</v>
      </c>
      <c r="AP48" s="37">
        <v>68.321049388000006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49"/>
  <sheetViews>
    <sheetView showGridLines="0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8" width="15.28515625" customWidth="1"/>
    <col min="19" max="23" width="16.28515625" customWidth="1"/>
    <col min="24" max="26" width="15.28515625" customWidth="1"/>
    <col min="27" max="27" width="16.28515625" customWidth="1"/>
    <col min="28" max="28" width="15.28515625" customWidth="1"/>
    <col min="29" max="30" width="16.28515625" customWidth="1"/>
    <col min="31" max="31" width="11.85546875" customWidth="1"/>
    <col min="32" max="42" width="16.28515625" customWidth="1"/>
    <col min="43" max="43" width="14.5703125" customWidth="1"/>
    <col min="44" max="44" width="14.7109375" customWidth="1"/>
  </cols>
  <sheetData>
    <row r="1" spans="1:44" ht="15" customHeight="1" x14ac:dyDescent="0.25">
      <c r="A1" s="6" t="s">
        <v>69</v>
      </c>
      <c r="M1" t="s">
        <v>1</v>
      </c>
      <c r="N1" s="7">
        <v>0.27210000000000001</v>
      </c>
    </row>
    <row r="2" spans="1:44" ht="15" customHeight="1" x14ac:dyDescent="0.25">
      <c r="A2" s="6"/>
    </row>
    <row r="3" spans="1:44" ht="15" customHeight="1" x14ac:dyDescent="0.25">
      <c r="M3" s="2" t="s">
        <v>70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4">
        <v>3367284</v>
      </c>
      <c r="C5" s="14">
        <v>373869</v>
      </c>
      <c r="D5" s="15">
        <v>0</v>
      </c>
      <c r="E5" s="14">
        <v>1987465</v>
      </c>
      <c r="F5" s="15">
        <v>0</v>
      </c>
      <c r="G5" s="16">
        <v>0</v>
      </c>
      <c r="H5" s="15">
        <v>0</v>
      </c>
      <c r="I5" s="14">
        <v>11809885.300000001</v>
      </c>
      <c r="J5" s="17">
        <v>0.12157462844</v>
      </c>
      <c r="K5" s="14">
        <v>3121581.0167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4">
        <v>3842455</v>
      </c>
      <c r="C6" s="14">
        <v>592097</v>
      </c>
      <c r="D6" s="15">
        <v>0</v>
      </c>
      <c r="E6" s="14">
        <v>1897893</v>
      </c>
      <c r="F6" s="15">
        <v>0</v>
      </c>
      <c r="G6" s="16">
        <v>-147909</v>
      </c>
      <c r="H6" s="20">
        <v>2.6386633846000001</v>
      </c>
      <c r="I6" s="14">
        <v>12802082</v>
      </c>
      <c r="J6" s="17">
        <v>0.20807032329</v>
      </c>
      <c r="K6" s="14">
        <v>5287458.3660000004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4">
        <v>4197522</v>
      </c>
      <c r="C7" s="14">
        <v>720780</v>
      </c>
      <c r="D7" s="15">
        <v>0</v>
      </c>
      <c r="E7" s="14">
        <v>2168604</v>
      </c>
      <c r="F7" s="15">
        <v>0</v>
      </c>
      <c r="G7" s="16">
        <v>-362270</v>
      </c>
      <c r="H7" s="20">
        <v>5.6995075734</v>
      </c>
      <c r="I7" s="14">
        <v>11803332.66</v>
      </c>
      <c r="J7" s="17">
        <v>0.29515945170000002</v>
      </c>
      <c r="K7" s="14">
        <v>6187454.7375999996</v>
      </c>
      <c r="M7" s="1" t="s">
        <v>20</v>
      </c>
      <c r="N7" s="1"/>
      <c r="O7" s="5"/>
      <c r="P7" s="4">
        <f>((D5+E5)*P5)</f>
        <v>190001.65400000001</v>
      </c>
      <c r="Q7" s="4">
        <f>((D6+E6+P7+P8)*Q5)</f>
        <v>108764.60446728001</v>
      </c>
      <c r="R7" s="4">
        <f>((D7+E7+Q7+P7+P8+Q8)*R5)</f>
        <v>41004.560947856851</v>
      </c>
      <c r="S7" s="4">
        <f>((D8+E8+R7+Q7+P7+SUM($P$8:R8))*S5)</f>
        <v>230186.10215553324</v>
      </c>
      <c r="T7" s="4">
        <f>((D9+E9+S7+R7+Q7+P7+SUM($P$8:S8))*T5)</f>
        <v>165379.05628414903</v>
      </c>
      <c r="U7" s="4">
        <f>((D10+E10+T7+S7+R7+Q7+P7+SUM($P$8:T8))*U5)</f>
        <v>235953.64656068967</v>
      </c>
      <c r="V7" s="4">
        <f>((D11+E11+U7+T7+S7+R7+Q7+P7+SUM($P$8:U8))*V5)</f>
        <v>418425.29736260825</v>
      </c>
      <c r="W7" s="4">
        <f>((D12+E12+V7+U7+T7+S7+R7+Q7+P7+SUM($P$8:V8))*W5)</f>
        <v>337525.34227341495</v>
      </c>
      <c r="X7" s="4">
        <f>((D13+E13+W7+V7+U7+T7+S7+R7+Q7+P7+SUM($P$8:W8))*X5)</f>
        <v>283055.6726125165</v>
      </c>
      <c r="Y7" s="4">
        <f>((D14+E14+X7+W7+V7+U7+T7+S7+R7+Q7+P7+SUM($P$8:X8))*Y5)</f>
        <v>225442.09523954941</v>
      </c>
      <c r="Z7" s="4">
        <f>((E14+F14+Y7+X7+W7+V7+U7+T7+S7+R7+Q7+P7+SUM($P$8:Y8))*Z5)</f>
        <v>131388.81921540297</v>
      </c>
      <c r="AA7" s="4">
        <f>((D16+E16+Z7+Y7+X7+W7+V7+U7+T7+S7+R7+P7+Q7+SUM($P$8:Z8))*AA5)</f>
        <v>197824.46547243747</v>
      </c>
      <c r="AB7" s="4">
        <f>((D17+E17+AA7+Z7+Y7+X7+W7+V7+U7+T7+S7+P7+Q7+R7+SUM($P$8:AA8))*AB5)</f>
        <v>261987.62053384486</v>
      </c>
      <c r="AC7" s="4">
        <f>((D18+E18+AB7+AA7+Z7+Y7+X7+W7+V7+U7+T7+S7+R7+Q7+P7+SUM($P$8:AB8))*AC5)</f>
        <v>298470.91988480469</v>
      </c>
      <c r="AD7" s="4">
        <f>((D19+E19+AC7+AB7+AA7+Z7+Y7+X7+W7+V7+U7+T7+S7+R7+Q7+P7+SUM($P$8:AC8))*AD5)</f>
        <v>445200.55548103113</v>
      </c>
      <c r="AE7" s="4">
        <f>((D20+E20+AD7+AC7+AB7+AA7+Z7+Y7+X7+W7+V7+U7+T7+S7+R7+Q7+P7+SUM($P$8:AD8))*AE5)</f>
        <v>563096.12239992258</v>
      </c>
      <c r="AF7" s="4">
        <f>((E20+F20+AE7+AD7+AC7+AB7+AA7+Z7+Y7+X7+W7+V7+U7+T7+S7+R7+Q7+P7+SUM($P$8:AE8))*AF5)</f>
        <v>539302.75729731657</v>
      </c>
      <c r="AG7" s="4">
        <f>((D22+E22+AF7+AE7+AD7+AC7+AB7+AA7+Z7+Y7+X7+W7+V7+U7+T7+R7+S7+Q7+P7+SUM($P$8:AF8))*AG5)</f>
        <v>610090.60847331164</v>
      </c>
      <c r="AH7" s="4">
        <f>((E22+F22+AG7+AF7+AE7+AD7+AC7+AB7+AA7+Z7+Y7+X7+W7+V7+U7+S7+T7+R7+Q7+P7+SUM($P$8:AG8))*AH5)</f>
        <v>702602.90331809793</v>
      </c>
      <c r="AI7" s="4">
        <f>((F22+G22+AH7+AG7+AF7+AE7+AD7+AC7+AB7+AA7+Z7+Y7+X7+W7+V7+T7+U7+S7+R7+Q7+P7+SUM($P$8:AH8))*AI5)</f>
        <v>58400.774703851232</v>
      </c>
      <c r="AJ7" s="4">
        <f>((G22+H22+AI7+AH7+AG7+AF7+AE7+AD7+AC7+AB7+AA7+Z7+Y7+X7+W7+U7+V7+T7+S7+R7+Q7+P7+SUM($P$8:AI8))*AJ5)</f>
        <v>36404.798959441701</v>
      </c>
      <c r="AK7" s="4">
        <f>((H22+I22+AJ7+AI7+AH7+AG7+AF7+AE7+AD7+AC7+AB7+AA7+Z7+Y7+X7+V7+W7+U7+T7+S7+R7+Q7+P7+SUM($P$8:AJ8))*AK5)</f>
        <v>315949.37294796773</v>
      </c>
      <c r="AL7" s="4">
        <f>((D27+E27+AK7+AJ7+AI7+AH7+AG7+AF7+AE7+AD7+AC7++AB7+AA7+Z7+Y7+X7+W7+V7+U7+T7+S7+R7+Q7+P7+SUM($P$8:AK8))*AL5)</f>
        <v>483619.41745278839</v>
      </c>
      <c r="AM7" s="4">
        <f>((E27+F27+AL7+AK7+AJ7+AI7+AH7+AG7+AF7+AE7+AD7++AC7+AB7+AA7+Z7+Y7+X7+W7+V7+U7+T7+S7+R7+Q7+P7+SUM($P$8:AL8))*AM5)</f>
        <v>576691.74717357836</v>
      </c>
      <c r="AN7" s="4">
        <f>((F27+G27+AM7+AL7+AK7+AJ7+AI7+AH7+AG7+AF7+AE7++AD7+AC7+AB7+AA7+Z7+Y7+X7+W7+V7+U7+T7+S7+R7+Q7+P7+SUM($P$8:AM8))*AN5)</f>
        <v>-143090.44926679379</v>
      </c>
      <c r="AO7" s="4">
        <f>((G27+H27+AN7+AM7+AL7+AK7+AJ7+AI7+AH7+AG7+AF7++AE7+AD7+AC7+AB7+AA7+Z7+Y7+X7+W7+V7+U7+T7+S7+R7+Q7+P7+SUM($P$8:AN8))*AO5)</f>
        <v>-332680.84836629679</v>
      </c>
      <c r="AP7" s="4">
        <f>((H27+I27+AO7+AN7+AM7+AL7+AK7+AJ7+AI7+AH7+AG7++AF7+AE7+AD7+AC7+AB7+AA7+Z7+Y7+X7+W7+V7+U7+T7+S7+R7+Q7+P7+SUM($P$8:AO8))*AP5)</f>
        <v>784492.40758137475</v>
      </c>
      <c r="AQ7" s="4">
        <f>((I27+J27+AP7+AO7+AN7+AM7+AL7+AK7+AJ7+AI7+AH7++AG7+AF7+AE7+AD7+AC7+AB7+AA7+Z7+Y7+X7+W7+V7+U7+T7+S7+R7+Q7+P7+SUM($P$8:AP8))*AQ5)</f>
        <v>690001.25511727959</v>
      </c>
      <c r="AR7" s="4">
        <f>((J27+K27+AQ7+AP7+AO7+AN7+AM7+AL7+AK7+AJ7+AI7++AH7+AG7+AF7+AE7+AD7+AC7+AB7+AA7+Z7+Y7+X7+W7+V7+U7+T7+S7+R7+Q7+P7+SUM($P$8:AQ8))*AR5)</f>
        <v>12975474.335199868</v>
      </c>
    </row>
    <row r="8" spans="1:44" ht="15" customHeight="1" x14ac:dyDescent="0.25">
      <c r="A8" s="13" t="s">
        <v>21</v>
      </c>
      <c r="B8" s="14">
        <v>4651335</v>
      </c>
      <c r="C8" s="14">
        <v>879921</v>
      </c>
      <c r="D8" s="15">
        <v>0</v>
      </c>
      <c r="E8" s="14">
        <v>2231710</v>
      </c>
      <c r="F8" s="15">
        <v>0</v>
      </c>
      <c r="G8" s="16"/>
      <c r="H8" s="20">
        <v>4.9139713963</v>
      </c>
      <c r="I8" s="14">
        <v>11790794</v>
      </c>
      <c r="J8" s="17">
        <v>0.30487020586000002</v>
      </c>
      <c r="K8" s="14">
        <v>6778330.8526999997</v>
      </c>
      <c r="M8" s="1" t="s">
        <v>22</v>
      </c>
      <c r="N8" s="1"/>
      <c r="O8" s="4"/>
      <c r="P8" s="4">
        <f>((D6+E6)-(D5+E5))*(P5^1/2)</f>
        <v>-4281.5416000000005</v>
      </c>
      <c r="Q8" s="4">
        <f>((D7+E7)-(D6+E6))*(Q5^1/2)</f>
        <v>7065.5571000000009</v>
      </c>
      <c r="R8" s="4">
        <f>((D8+E8)-(D7+E7))*(R5^1/2)</f>
        <v>523.77980000000002</v>
      </c>
      <c r="S8" s="4">
        <f>((D9+E9)-(D8+E8))*(S5^1/2)</f>
        <v>-1489.2698999999998</v>
      </c>
      <c r="T8" s="4">
        <f>((D10+E10)-(D9+E9))*(T5^1/2)</f>
        <v>4080.2263500000004</v>
      </c>
      <c r="U8" s="4">
        <f>((D11+E11)-(D10+E10))*(U5^1/2)</f>
        <v>1001.4719</v>
      </c>
      <c r="V8" s="4">
        <f>((D12+E12)-(D11+E11))*(V5^1/2)</f>
        <v>-7576.3897999999999</v>
      </c>
      <c r="W8" s="4">
        <f>((D13+E13)-(D12+E12))*(W5^1/2)</f>
        <v>-10771.352999999999</v>
      </c>
      <c r="X8" s="4">
        <f>((D14+E14)-(D13+E13))*(X5^1/2)</f>
        <v>-1661.93</v>
      </c>
      <c r="Y8" s="4">
        <f>((D15+E15)-(D14+E14))*(Y5^1/2)</f>
        <v>-3160.2829000000002</v>
      </c>
      <c r="Z8" s="4">
        <f>((E15+F15)-(E14+F14))*(Z5^1/2)</f>
        <v>-1743.9873999999998</v>
      </c>
      <c r="AA8" s="4">
        <f>((D17+E17)-(D16+E16))*(AA5^1/2)</f>
        <v>-4207.4525000000003</v>
      </c>
      <c r="AB8" s="4">
        <f>((D18+E18)-(D17+E17))*(AB5^1/2)</f>
        <v>63688.582499999997</v>
      </c>
      <c r="AC8" s="4">
        <f>((D19+E19)-(D18+E18))*(AC5^1/2)</f>
        <v>6528.0553</v>
      </c>
      <c r="AD8" s="4">
        <f>((D20+E20)-(D19+E19))*(AD5/2)</f>
        <v>19655.389350000001</v>
      </c>
      <c r="AE8" s="4">
        <f>((D21+E21)-(D20+E20))*(AE5^1/2)</f>
        <v>8522.8649999999998</v>
      </c>
      <c r="AF8" s="4">
        <f>((D22+E22)-(D21+E21))*(AF5^1/2)</f>
        <v>8138.1275999999998</v>
      </c>
      <c r="AG8" s="4">
        <f>((D23+E23)-(D22+E22))*(AG5^1/2)</f>
        <v>27930.985049999999</v>
      </c>
      <c r="AH8" s="4">
        <f>((D24+E24)-(D23+E23))*(AH5^1/2)</f>
        <v>33649.583450000006</v>
      </c>
      <c r="AI8" s="4">
        <f>((D25+E25)-(D24+E24))*(AI5^1/2)</f>
        <v>-26967.891500000002</v>
      </c>
      <c r="AJ8" s="4">
        <f>((D26+E26)-(D25+E25))*(AJ5^1/2)</f>
        <v>-7668.2019</v>
      </c>
      <c r="AK8" s="4">
        <f>((D27+E27)-(D26+E26))*(AK5/2)</f>
        <v>-6144.2747499999996</v>
      </c>
      <c r="AL8" s="4">
        <f>((D28+E28)-(D27+E27))*(AL5^1/2)</f>
        <v>181.74375000000001</v>
      </c>
      <c r="AM8" s="4">
        <f>((D29+E29)-(D28+E28))*(AM5^1/2)</f>
        <v>151.38874999999999</v>
      </c>
      <c r="AN8" s="4">
        <f>((D30+E30)-(D29+E29))*(AN5^1/2)</f>
        <v>1838.1483999999998</v>
      </c>
      <c r="AO8" s="4">
        <f>((D31+E31)-(D30+E30))*(AO5^1/2)</f>
        <v>-3822.7999999999997</v>
      </c>
      <c r="AP8" s="4">
        <f>((D32+E32)-(D31+E31))*(AP5^1/2)</f>
        <v>601494.15</v>
      </c>
      <c r="AQ8" s="4">
        <f>((D32+E32)-(D31+E31))*(AQ5^1/2)</f>
        <v>479948.69999999995</v>
      </c>
      <c r="AR8" s="4">
        <f>((E32+F32)-(E31+F31))*(AR5^1/2)</f>
        <v>125893.95000000001</v>
      </c>
    </row>
    <row r="9" spans="1:44" ht="15" customHeight="1" x14ac:dyDescent="0.25">
      <c r="A9" s="13" t="s">
        <v>23</v>
      </c>
      <c r="B9" s="14">
        <v>5906672</v>
      </c>
      <c r="C9" s="14">
        <v>1869363</v>
      </c>
      <c r="D9" s="15">
        <v>0</v>
      </c>
      <c r="E9" s="14">
        <v>2198393</v>
      </c>
      <c r="F9" s="15">
        <v>0</v>
      </c>
      <c r="G9" s="16"/>
      <c r="H9" s="20">
        <v>3.2983701537000001</v>
      </c>
      <c r="I9" s="14">
        <v>117909569</v>
      </c>
      <c r="J9" s="17">
        <v>0.83527787882000004</v>
      </c>
      <c r="K9" s="14">
        <v>17824966.458999999</v>
      </c>
      <c r="M9" s="1" t="s">
        <v>24</v>
      </c>
      <c r="N9" s="1"/>
      <c r="O9" s="4"/>
      <c r="P9" s="4">
        <f>+B5*P5</f>
        <v>321912.3504</v>
      </c>
      <c r="Q9" s="4">
        <f>+(B6+P9+P10+P14)*Q5</f>
        <v>210270.74086728002</v>
      </c>
      <c r="R9" s="4">
        <f>+(B7+Q9+P9+P10+Q10+P14+Q14)*R5</f>
        <v>73801.938895773885</v>
      </c>
      <c r="S9" s="4">
        <f>+(B8+R9+Q9+P9+P10+Q10+R10+P14+Q14+R14)*S5</f>
        <v>434050.02533890313</v>
      </c>
      <c r="T9" s="4">
        <f>+(B9+S9+R9+Q9+P9+P10+Q10+R10+S10+P14+Q14+R14+S14)*T5</f>
        <v>372114.69325348834</v>
      </c>
      <c r="U9" s="4">
        <f>+(B10+T9+S9+R9+Q9+P9+P10+Q10+R10+S10+T10+P14+Q14+R14+S14+T14)*U5</f>
        <v>533798.31813345291</v>
      </c>
      <c r="V9" s="4">
        <f>+(B11+U9+T9+S9+R9+Q9+P9+P10+Q10+R10+S10+T10+U10+P14+Q14+R14+S14+T14+U14)*V5</f>
        <v>988736.32944531378</v>
      </c>
      <c r="W9" s="4">
        <f>+(B12+V9+U9+T9+S9+R9+Q9+P9+P10+Q10+R10+S10+T10+U10+V10+P14+Q14+R14+S14+T14+U14+V14)*W5</f>
        <v>875635.94501048268</v>
      </c>
      <c r="X9" s="4">
        <f>+(B13+W9+V9+U9+T9+S9+R9+Q9+P9+P10+Q10+R10+S10+T10+U10+V10+W10+P14+Q14+R14+S14+T14+U14+V14+W14)*X5</f>
        <v>918552.07940390205</v>
      </c>
      <c r="Y9" s="4">
        <f>+(B14+X9+W9+V9+U9+T9+S9+R9+Q9+P9+P10+Q10+R10+S10+T10+U10+V10+W10+X10+P14+Q14+R14+S14+T14+U14+V14+W14+X14)*Y5</f>
        <v>786763.37791161099</v>
      </c>
      <c r="Z9" s="4">
        <f>+(B15+Y9+X9+W9+V9+U9+T9+S9+R9+Q9+P9+P10+Q10+R10+S10+T10+U10+V10+W10+X10+Y10+P14+Q14+R14+S14+T14+U14+V14+W14+X14+Y14)*Z5</f>
        <v>467505.81976409425</v>
      </c>
      <c r="AA9" s="4">
        <f>+(B16+Z9+Y9+X9+W9+V9+U9+T9+S9+R9+Q9+P9+P10+Q10+R10+S10+T10+U10+V10+W10+X10+Y10+Z10+P14+Q14+R14+S14+T14+U14+V14+W14+X14+Y14+Z14)*AA5</f>
        <v>989585.31621825218</v>
      </c>
      <c r="AB9" s="4">
        <f>+(B17+AA9+Z9+Y9+X9+W9+V9+U9+T9+S9+R9+Q9+P9+P10+Q10+R10+S10+T10+U10+V10+W10+X10+Y10+Z10+AA10+P14+Q14+R14+S14+T14+U14+V14+W14+X14+Y14+Z14+AA14)*AB5</f>
        <v>1585741.6282487039</v>
      </c>
      <c r="AC9" s="4">
        <f>+(B18+AB9+AA9+Z9+Y9+X9+W9+V9+U9+T9+S9+R9+Q9+P9+P10+Q10+R10+S10+T10+U10+V10+W10+X10+Y10+Z10+AA10+AB10+P14+Q14+R14+S14+T14+U14+V14+W14+X14+Y14+Z14+AA14+AB14)*AC5</f>
        <v>1761880.4984045937</v>
      </c>
      <c r="AD9" s="4">
        <f>+(B19+AC9+AB9+AA9+Z9+Y9+X9+W9+V9+U9+T9+S9+R9+Q9+P9+P10+Q10+R10+S10+T10+U10+V10+W10+X10+Y10+Z10+AA10+AB10+AC10+P14+Q14+R14+S14+T14+U14+V14+W14+X14+Y14+Z14+AA14+AB14+AC14)*AD5</f>
        <v>2780550.7899843017</v>
      </c>
      <c r="AE9" s="4">
        <f>+(B20+AD9+AC9+AB9+AA9+Z9+Y9+X9+W9+V9+U9+T9+S9+R9+Q9+P9+P10+Q10+R10+S10+T10+U10+V10+W10+X10+Y10+Z10+AA10+AB10+AC10+AD10+P14+Q14+S14++R14+T14+U14+V14+W14+X14+Y14+Z14+AA14+AB14+AC14+AD14)*AE5</f>
        <v>3665805.6045251074</v>
      </c>
      <c r="AF9" s="4">
        <f>+(B21+AE9+AD9+AC9+AB9+AA9+Z9+Y9+X9+W9+V9+U9+T9+S9+R9+Q9+P9+P10+Q10+R10+S10+T10+U10+V10+W10+X10+Y10+Z10+AA10+AB10+AC10+AD10+AE10+P14+Q14+R14+S14+T14+U14+V14+W14+X14+Y14+Z14+AA14+AB14+AC14+AD14+AE14)*AF5</f>
        <v>3848926.3782643895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3991661.7614869094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4675149.9098639209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9190097.6100289337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5908695.1882919986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2952263.4809020972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4072311.1962286811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4766630.3683261592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4872798.952430821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10899377.920427805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6467056.4989016932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6089703.5592701547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7265686.7834823336</v>
      </c>
    </row>
    <row r="10" spans="1:44" ht="15" customHeight="1" x14ac:dyDescent="0.25">
      <c r="A10" s="13" t="s">
        <v>25</v>
      </c>
      <c r="B10" s="14">
        <v>6642077</v>
      </c>
      <c r="C10" s="14">
        <v>1840568</v>
      </c>
      <c r="D10" s="15">
        <v>0</v>
      </c>
      <c r="E10" s="14">
        <v>2335084</v>
      </c>
      <c r="F10" s="15">
        <v>0</v>
      </c>
      <c r="G10" s="16">
        <v>-628764</v>
      </c>
      <c r="H10" s="20">
        <v>2.6026336089000002</v>
      </c>
      <c r="I10" s="14">
        <v>115119851.83</v>
      </c>
      <c r="J10" s="17">
        <v>1.0264124181000001</v>
      </c>
      <c r="K10" s="14">
        <v>21287387.675999999</v>
      </c>
      <c r="M10" s="22" t="s">
        <v>26</v>
      </c>
      <c r="N10" s="22"/>
      <c r="O10" s="23"/>
      <c r="P10" s="23">
        <f>((B6-B5)*(P5^1/2))</f>
        <v>22713.1738</v>
      </c>
      <c r="Q10" s="23">
        <f>((B7-B6)*(Q5^1/2))</f>
        <v>9267.2487000000001</v>
      </c>
      <c r="R10" s="23">
        <f>((B8-B7)*(R5/2))</f>
        <v>3766.6478999999999</v>
      </c>
      <c r="S10" s="23">
        <f>((B9-B8)*(S5/2))</f>
        <v>56113.563899999994</v>
      </c>
      <c r="T10" s="23">
        <f>((B10-B9)*(T5^1/2))</f>
        <v>21951.839250000001</v>
      </c>
      <c r="U10" s="23">
        <f>((B11-B10)*(U5^1/2))</f>
        <v>35901.160750000003</v>
      </c>
      <c r="V10" s="23">
        <f>((B12-B11)*(V5^1/2))</f>
        <v>91355.478199999998</v>
      </c>
      <c r="W10" s="23">
        <f>((B13-B12)*(W5/2))</f>
        <v>132190.10699999999</v>
      </c>
      <c r="X10" s="23">
        <f>((B14-B13)*(X5/2))</f>
        <v>79491.212</v>
      </c>
      <c r="Y10" s="23">
        <f>((B15-B14)*(Y5/2))</f>
        <v>45194.9303</v>
      </c>
      <c r="Z10" s="23">
        <f>((B16-B15)*(Z5/2))</f>
        <v>125675.5955</v>
      </c>
      <c r="AA10" s="23">
        <f>((B17-B16)*(AA5/2))</f>
        <v>120522.9145</v>
      </c>
      <c r="AB10" s="23">
        <f>((B18-B17)*(AB5^1/2))</f>
        <v>433501.02499999997</v>
      </c>
      <c r="AC10" s="23">
        <f>((B19-B18)*(AC5^1/2))</f>
        <v>151267.78985</v>
      </c>
      <c r="AD10" s="23">
        <f>((B20-B19)*(AD5/2))</f>
        <v>301265.85509999999</v>
      </c>
      <c r="AE10" s="23">
        <f>((B21-B20)*(AE5^1/2))</f>
        <v>340235.61</v>
      </c>
      <c r="AF10" s="23">
        <f>((B22-B21)*(AF5^1/2))</f>
        <v>83870.459199999998</v>
      </c>
      <c r="AG10" s="23">
        <f>((B23-B22)*(AG5/2))</f>
        <v>201084.05624999999</v>
      </c>
      <c r="AH10" s="23">
        <f>((B24-B23)*(AH5/2))</f>
        <v>475084.48945000005</v>
      </c>
      <c r="AI10" s="23">
        <f>((B25-B24)*(AI5^1/2))</f>
        <v>566295.68544999999</v>
      </c>
      <c r="AJ10" s="23">
        <f>((B26-B25)*(AJ5/2))</f>
        <v>287075.15969999996</v>
      </c>
      <c r="AK10" s="23">
        <f>((B27-B26)*(AK5/2))</f>
        <v>167164.31649999999</v>
      </c>
      <c r="AL10" s="23">
        <f>((B28-B27)*(AL5^1/2))</f>
        <v>90618.262499999997</v>
      </c>
      <c r="AM10" s="23">
        <f>((B29-B28)*(AM5/2))</f>
        <v>4974.3218500000003</v>
      </c>
      <c r="AN10" s="23">
        <f>((B30-B29)*(AN5/2))</f>
        <v>104086.53739999999</v>
      </c>
      <c r="AO10" s="23">
        <f>((B31-B30)*(AO5/2))</f>
        <v>400438.3</v>
      </c>
      <c r="AP10" s="23">
        <f>((B32-B31)*(AP5^1/2))</f>
        <v>670568.85</v>
      </c>
      <c r="AQ10" s="23">
        <f>((C32-C31)*(AQ5/2))</f>
        <v>97458.9</v>
      </c>
      <c r="AR10" s="23">
        <f>((D32-D31)*(AR5^1/2))</f>
        <v>375870.60000000003</v>
      </c>
    </row>
    <row r="11" spans="1:44" ht="15" customHeight="1" x14ac:dyDescent="0.25">
      <c r="A11" s="13" t="s">
        <v>27</v>
      </c>
      <c r="B11" s="14">
        <v>7578222</v>
      </c>
      <c r="C11" s="14">
        <v>2389468</v>
      </c>
      <c r="D11" s="15">
        <v>0</v>
      </c>
      <c r="E11" s="14">
        <v>2361198</v>
      </c>
      <c r="F11" s="15">
        <v>0</v>
      </c>
      <c r="G11" s="16">
        <v>-807700</v>
      </c>
      <c r="H11" s="20">
        <v>3.1693243446000001</v>
      </c>
      <c r="I11" s="14">
        <v>111619437</v>
      </c>
      <c r="J11" s="17">
        <v>1.0073091207</v>
      </c>
      <c r="K11" s="14">
        <v>19572441.355999999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4">
        <v>9036410</v>
      </c>
      <c r="C12" s="14">
        <v>2376723</v>
      </c>
      <c r="D12" s="15">
        <v>0</v>
      </c>
      <c r="E12" s="14">
        <v>2240266</v>
      </c>
      <c r="F12" s="15">
        <v>0</v>
      </c>
      <c r="G12" s="16">
        <v>-828579</v>
      </c>
      <c r="H12" s="20">
        <v>2.6787303888</v>
      </c>
      <c r="I12" s="14">
        <v>111247037</v>
      </c>
      <c r="J12" s="17">
        <v>1.0093452774</v>
      </c>
      <c r="K12" s="14">
        <v>17790255.984000001</v>
      </c>
      <c r="M12" s="1" t="s">
        <v>30</v>
      </c>
      <c r="N12" s="1"/>
      <c r="O12" s="1"/>
      <c r="P12" s="4">
        <v>0</v>
      </c>
      <c r="Q12" s="24">
        <f>-($P$7+$P$8)*$N$1</f>
        <v>-50534.442584040007</v>
      </c>
      <c r="R12" s="24">
        <f>-((($P$7+$P$8)*(1+Q5))+($Q$7+$Q$8))*N1</f>
        <v>-84689.72744938379</v>
      </c>
      <c r="S12" s="24">
        <f>-((($P$7+$P$8)*(1+Q5)*(1+R5))+(($Q$7+$Q$8)*(1+R5))+((R7+R8)))*$N$1</f>
        <v>-97395.438442535407</v>
      </c>
      <c r="T12" s="24">
        <f>-((($P$7+$P$8)*(1+R5)*(1+S5)*(1+Q5))+(($Q$7+$Q$8)*(1+S5)*(1+R5))+((R7+R8)*(1+S5))+((S7+S8)))*$N$1</f>
        <v>-168330.99869602863</v>
      </c>
      <c r="U12" s="24">
        <f>-((($P$7+$P$8)*(1+T5)*(1+R5)*(1+S5)*(1+Q5))+(($Q$7+$Q$8)*(1+T5)*(1+S5)*(1+R5))+((R7+R8)*(1+S5)*(1+T5))+((S7+S8)*(1+T5))+(T7+T8))*$N$1</f>
        <v>-224490.23012293354</v>
      </c>
      <c r="V12" s="24">
        <f>-((($P$7+$P$8)*(1+U5)*(1+S5)*(1+T5)*(1+R5)*(1+Q5))+(($Q$7+$Q$8)*(1+U5)*(1+T5)*(1+S5)*(1+R5))+(($R$7+$R$8)*(1+U5)*(1+T5)*(1+S5))+((S7+S8)*(1+T5)*(1+U5))+((T7+T8)*(1+U5))+(U7+U8))*$N$1</f>
        <v>-306184.11850651621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-456340.97630316828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-587690.4475806593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-708922.15896165499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-809742.71094416466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-870444.9908047826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-961950.02662447619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-1107321.5730408295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-1238037.3539866745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-1437692.6641958104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-1686680.2138400569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-1934141.0031088761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-2222054.4119903035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-2564822.4014484822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-2839321.4352187808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-3035203.5275433357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-3197174.2409939379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-3448428.4312683106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-3756138.8772257296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-3883939.7153059309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-4188269.5994351199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-4792025.9153314549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-4654765.2880200818</v>
      </c>
    </row>
    <row r="13" spans="1:44" ht="15" customHeight="1" x14ac:dyDescent="0.25">
      <c r="A13" s="13" t="s">
        <v>31</v>
      </c>
      <c r="B13" s="14">
        <v>11879208</v>
      </c>
      <c r="C13" s="14">
        <v>3151820</v>
      </c>
      <c r="D13" s="15">
        <v>0</v>
      </c>
      <c r="E13" s="14">
        <v>2008624</v>
      </c>
      <c r="F13" s="15">
        <v>0</v>
      </c>
      <c r="G13" s="16">
        <v>-932147</v>
      </c>
      <c r="H13" s="20">
        <v>2.9381424963999998</v>
      </c>
      <c r="I13" s="14">
        <v>113943829</v>
      </c>
      <c r="J13" s="17">
        <v>1.7658047076000001</v>
      </c>
      <c r="K13" s="14">
        <v>29935542.048</v>
      </c>
      <c r="M13" t="s">
        <v>32</v>
      </c>
      <c r="P13">
        <v>0</v>
      </c>
      <c r="Q13" s="24">
        <f t="shared" ref="Q13:AR13" si="0">Q12*Q5</f>
        <v>-2637.8979028868885</v>
      </c>
      <c r="R13" s="24">
        <f t="shared" si="0"/>
        <v>-1405.8494756597709</v>
      </c>
      <c r="S13" s="24">
        <f t="shared" si="0"/>
        <v>-8707.152196762665</v>
      </c>
      <c r="T13" s="24">
        <f t="shared" si="0"/>
        <v>-10049.36062215291</v>
      </c>
      <c r="U13" s="24">
        <f t="shared" si="0"/>
        <v>-17218.400650429005</v>
      </c>
      <c r="V13" s="24">
        <f t="shared" si="0"/>
        <v>-38364.870048866484</v>
      </c>
      <c r="W13" s="24">
        <f t="shared" si="0"/>
        <v>-42439.710796194653</v>
      </c>
      <c r="X13" s="24">
        <f t="shared" si="0"/>
        <v>-44664.474016130109</v>
      </c>
      <c r="Y13" s="24">
        <f t="shared" si="0"/>
        <v>-40337.670844918168</v>
      </c>
      <c r="Z13" s="24">
        <f t="shared" si="0"/>
        <v>-25425.921123646767</v>
      </c>
      <c r="AA13" s="24">
        <f t="shared" si="0"/>
        <v>-38821.846589893306</v>
      </c>
      <c r="AB13" s="24">
        <f t="shared" si="0"/>
        <v>-56755.051570844094</v>
      </c>
      <c r="AC13" s="24">
        <f t="shared" si="0"/>
        <v>-47725.559798059752</v>
      </c>
      <c r="AD13" s="24">
        <f t="shared" si="0"/>
        <v>-73168.007620612465</v>
      </c>
      <c r="AE13" s="24">
        <f t="shared" si="0"/>
        <v>-93450.023172727684</v>
      </c>
      <c r="AF13" s="24">
        <f t="shared" si="0"/>
        <v>-98502.124488259331</v>
      </c>
      <c r="AG13" s="24">
        <f t="shared" si="0"/>
        <v>-114307.73328373457</v>
      </c>
      <c r="AH13" s="24">
        <f t="shared" si="0"/>
        <v>-142433.68780857846</v>
      </c>
      <c r="AI13" s="24">
        <f t="shared" si="0"/>
        <v>-273666.55023455305</v>
      </c>
      <c r="AJ13" s="24">
        <f t="shared" si="0"/>
        <v>-178593.31827526129</v>
      </c>
      <c r="AK13" s="24">
        <f t="shared" si="0"/>
        <v>-89538.504062528402</v>
      </c>
      <c r="AL13" s="24">
        <f t="shared" si="0"/>
        <v>-119894.03403727266</v>
      </c>
      <c r="AM13" s="24">
        <f t="shared" si="0"/>
        <v>-148627.2653876642</v>
      </c>
      <c r="AN13" s="24">
        <f t="shared" si="0"/>
        <v>-169777.47725060297</v>
      </c>
      <c r="AO13" s="24">
        <f t="shared" si="0"/>
        <v>-390724.33535977663</v>
      </c>
      <c r="AP13" s="24">
        <f t="shared" si="0"/>
        <v>-242500.80980729344</v>
      </c>
      <c r="AQ13" s="24">
        <f t="shared" si="0"/>
        <v>-221391.59728831321</v>
      </c>
      <c r="AR13" s="24">
        <f t="shared" si="0"/>
        <v>-224825.16341136995</v>
      </c>
    </row>
    <row r="14" spans="1:44" ht="15" customHeight="1" x14ac:dyDescent="0.25">
      <c r="A14" s="13" t="s">
        <v>33</v>
      </c>
      <c r="B14" s="14">
        <v>13971082</v>
      </c>
      <c r="C14" s="14">
        <v>3775616</v>
      </c>
      <c r="D14" s="15">
        <v>0</v>
      </c>
      <c r="E14" s="14">
        <v>1964889</v>
      </c>
      <c r="F14" s="15">
        <v>0</v>
      </c>
      <c r="G14" s="16">
        <v>-1189931</v>
      </c>
      <c r="H14" s="20">
        <v>3.8186696086</v>
      </c>
      <c r="I14" s="14">
        <v>113271</v>
      </c>
      <c r="J14" s="17">
        <v>2.5773356826999998</v>
      </c>
      <c r="K14" s="14">
        <v>42205296.93</v>
      </c>
      <c r="M14" s="39" t="s">
        <v>34</v>
      </c>
      <c r="N14" s="39"/>
      <c r="O14" s="40"/>
      <c r="P14" s="40">
        <f t="shared" ref="P14:AR14" si="1">(P7+P8)-(P9+P10)+P12+P13</f>
        <v>-158905.41179999997</v>
      </c>
      <c r="Q14" s="40">
        <f t="shared" si="1"/>
        <v>-156880.16848692691</v>
      </c>
      <c r="R14" s="40">
        <f t="shared" si="1"/>
        <v>-122135.82297296058</v>
      </c>
      <c r="S14" s="40">
        <f t="shared" si="1"/>
        <v>-367569.34762266796</v>
      </c>
      <c r="T14" s="40">
        <f t="shared" si="1"/>
        <v>-402987.60918752087</v>
      </c>
      <c r="U14" s="40">
        <f t="shared" si="1"/>
        <v>-574452.99119612575</v>
      </c>
      <c r="V14" s="40">
        <f t="shared" si="1"/>
        <v>-1013791.8886380881</v>
      </c>
      <c r="W14" s="40">
        <f t="shared" si="1"/>
        <v>-1179852.7498364307</v>
      </c>
      <c r="X14" s="40">
        <f t="shared" si="1"/>
        <v>-1349004.470388175</v>
      </c>
      <c r="Y14" s="40">
        <f t="shared" si="1"/>
        <v>-1358936.3256786347</v>
      </c>
      <c r="Z14" s="40">
        <f t="shared" si="1"/>
        <v>-1298705.2155165025</v>
      </c>
      <c r="AA14" s="40">
        <f t="shared" si="1"/>
        <v>-1825758.0551404909</v>
      </c>
      <c r="AB14" s="40">
        <f t="shared" si="1"/>
        <v>-2712271.5284101791</v>
      </c>
      <c r="AC14" s="40">
        <f t="shared" si="1"/>
        <v>-2763196.4459086787</v>
      </c>
      <c r="AD14" s="40">
        <f t="shared" si="1"/>
        <v>-3928166.0618605576</v>
      </c>
      <c r="AE14" s="40">
        <f t="shared" si="1"/>
        <v>-4965564.9144937228</v>
      </c>
      <c r="AF14" s="40">
        <f t="shared" si="1"/>
        <v>-5170538.2908953894</v>
      </c>
      <c r="AG14" s="40">
        <f t="shared" si="1"/>
        <v>-5603172.9606062081</v>
      </c>
      <c r="AH14" s="40">
        <f t="shared" si="1"/>
        <v>-6778470.0123447059</v>
      </c>
      <c r="AI14" s="40">
        <f t="shared" si="1"/>
        <v>-12563449.363958118</v>
      </c>
      <c r="AJ14" s="40">
        <f t="shared" si="1"/>
        <v>-9184948.5044265985</v>
      </c>
      <c r="AK14" s="40">
        <f t="shared" si="1"/>
        <v>-5934364.730809994</v>
      </c>
      <c r="AL14" s="40">
        <f t="shared" si="1"/>
        <v>-6996196.5725571038</v>
      </c>
      <c r="AM14" s="40">
        <f t="shared" si="1"/>
        <v>-7791817.2509085564</v>
      </c>
      <c r="AN14" s="40">
        <f t="shared" si="1"/>
        <v>-9044054.1451739464</v>
      </c>
      <c r="AO14" s="40">
        <f t="shared" si="1"/>
        <v>-15910983.91945981</v>
      </c>
      <c r="AP14" s="40">
        <f t="shared" si="1"/>
        <v>-10182409.20056273</v>
      </c>
      <c r="AQ14" s="40">
        <f t="shared" si="1"/>
        <v>-10030630.016772643</v>
      </c>
      <c r="AR14" s="40">
        <f t="shared" si="1"/>
        <v>580220.45028608246</v>
      </c>
    </row>
    <row r="15" spans="1:44" ht="15" customHeight="1" x14ac:dyDescent="0.25">
      <c r="A15" s="13" t="s">
        <v>35</v>
      </c>
      <c r="B15" s="14">
        <v>15559656</v>
      </c>
      <c r="C15" s="14">
        <v>5251334</v>
      </c>
      <c r="D15" s="15">
        <v>0</v>
      </c>
      <c r="E15" s="14">
        <v>1853807</v>
      </c>
      <c r="F15" s="15">
        <v>0</v>
      </c>
      <c r="G15" s="16">
        <v>-1865253</v>
      </c>
      <c r="H15" s="20">
        <v>2.1482258035999999</v>
      </c>
      <c r="I15" s="14">
        <v>1104009</v>
      </c>
      <c r="J15" s="17">
        <v>3.7271334663000002</v>
      </c>
      <c r="K15" s="14">
        <v>56543890.761</v>
      </c>
    </row>
    <row r="16" spans="1:44" ht="15" customHeight="1" x14ac:dyDescent="0.25">
      <c r="A16" s="13" t="s">
        <v>36</v>
      </c>
      <c r="B16" s="14">
        <v>23564471</v>
      </c>
      <c r="C16" s="14">
        <v>4308927</v>
      </c>
      <c r="D16" s="15">
        <v>0</v>
      </c>
      <c r="E16" s="14">
        <v>2086413</v>
      </c>
      <c r="F16" s="15">
        <v>0</v>
      </c>
      <c r="G16" s="16">
        <v>-1747600</v>
      </c>
      <c r="H16" s="20">
        <v>1.8287324235</v>
      </c>
      <c r="I16" s="14">
        <v>1197218</v>
      </c>
      <c r="J16" s="17">
        <v>5.2328550160000002</v>
      </c>
      <c r="K16" s="14">
        <v>84767711.988000005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28969086</v>
      </c>
      <c r="C17" s="14">
        <v>8473604</v>
      </c>
      <c r="D17" s="15">
        <v>0</v>
      </c>
      <c r="E17" s="14">
        <v>1897738</v>
      </c>
      <c r="F17" s="15">
        <v>0</v>
      </c>
      <c r="G17" s="16">
        <f>-2279.831*1000</f>
        <v>-2279831</v>
      </c>
      <c r="H17" s="20">
        <v>2.2698294055999999</v>
      </c>
      <c r="I17" s="14">
        <v>2397051</v>
      </c>
      <c r="J17" s="17">
        <v>6.3237977317</v>
      </c>
      <c r="K17" s="14">
        <v>105930220.88</v>
      </c>
      <c r="L17" s="41" t="str">
        <f>+L19</f>
        <v>ItauUnibanco PN</v>
      </c>
      <c r="M17" s="2" t="s">
        <v>38</v>
      </c>
      <c r="N17" s="2"/>
      <c r="O17" s="28"/>
      <c r="P17" s="42">
        <f>+C6</f>
        <v>592097</v>
      </c>
      <c r="Q17" s="42">
        <f>C7</f>
        <v>720780</v>
      </c>
      <c r="R17" s="42">
        <f>C8</f>
        <v>879921</v>
      </c>
      <c r="S17" s="42">
        <f>C9</f>
        <v>1869363</v>
      </c>
      <c r="T17" s="42">
        <f>C10</f>
        <v>1840568</v>
      </c>
      <c r="U17" s="42">
        <f>C11</f>
        <v>2389468</v>
      </c>
      <c r="V17" s="42">
        <f>C12</f>
        <v>2376723</v>
      </c>
      <c r="W17" s="42">
        <f>C13</f>
        <v>3151820</v>
      </c>
      <c r="X17" s="42">
        <f>C14</f>
        <v>3775616</v>
      </c>
      <c r="Y17" s="42">
        <f>C15</f>
        <v>5251334</v>
      </c>
      <c r="Z17" s="42">
        <f>C16</f>
        <v>4308927</v>
      </c>
      <c r="AA17" s="42">
        <f>C17</f>
        <v>8473604</v>
      </c>
      <c r="AB17" s="42">
        <f>C18</f>
        <v>7803483</v>
      </c>
      <c r="AC17" s="42">
        <f>C19</f>
        <v>10066608</v>
      </c>
      <c r="AD17" s="42">
        <f>C20</f>
        <v>13322963</v>
      </c>
      <c r="AE17" s="42">
        <f>C21</f>
        <v>14620621</v>
      </c>
      <c r="AF17" s="42">
        <f>C22</f>
        <v>13593940</v>
      </c>
      <c r="AG17" s="42">
        <f>C23</f>
        <v>15695749</v>
      </c>
      <c r="AH17" s="42">
        <f>C24</f>
        <v>20241564</v>
      </c>
      <c r="AI17" s="42">
        <f>C25</f>
        <v>23359834</v>
      </c>
      <c r="AJ17" s="42">
        <f>C26</f>
        <v>21639125</v>
      </c>
      <c r="AK17" s="42">
        <f>C27</f>
        <v>23964551</v>
      </c>
      <c r="AL17" s="42">
        <f>C28</f>
        <v>24977422</v>
      </c>
      <c r="AM17" s="42">
        <f>C29</f>
        <v>26582639</v>
      </c>
      <c r="AN17" s="42">
        <f>C30</f>
        <v>18909000</v>
      </c>
      <c r="AO17" s="42">
        <f>C31</f>
        <v>24988000</v>
      </c>
      <c r="AP17" s="42">
        <f>C32</f>
        <v>29207000</v>
      </c>
      <c r="AQ17" s="42">
        <f>D32</f>
        <v>15564000</v>
      </c>
      <c r="AR17" s="42">
        <f>E32</f>
        <v>11630000</v>
      </c>
    </row>
    <row r="18" spans="1:44" ht="15" customHeight="1" x14ac:dyDescent="0.25">
      <c r="A18" s="13" t="s">
        <v>39</v>
      </c>
      <c r="B18" s="14">
        <v>43664036</v>
      </c>
      <c r="C18" s="14">
        <v>7803483</v>
      </c>
      <c r="D18" s="15">
        <v>0</v>
      </c>
      <c r="E18" s="14">
        <v>4056673</v>
      </c>
      <c r="F18" s="15">
        <v>0</v>
      </c>
      <c r="G18" s="14">
        <v>-2910040</v>
      </c>
      <c r="H18" s="20">
        <v>5.0334473876999999</v>
      </c>
      <c r="I18" s="14">
        <v>4096634</v>
      </c>
      <c r="J18" s="17">
        <v>4.7519194177999999</v>
      </c>
      <c r="K18" s="14">
        <v>96984164.974000007</v>
      </c>
      <c r="L18" s="43" t="str">
        <f>+L19</f>
        <v>ItauUnibanco PN</v>
      </c>
      <c r="M18" s="18" t="s">
        <v>40</v>
      </c>
      <c r="N18" s="18"/>
      <c r="O18" s="25"/>
      <c r="P18" s="44">
        <f t="shared" ref="P18:AR18" si="2">P14+P17</f>
        <v>433191.5882</v>
      </c>
      <c r="Q18" s="44">
        <f t="shared" si="2"/>
        <v>563899.83151307306</v>
      </c>
      <c r="R18" s="44">
        <f t="shared" si="2"/>
        <v>757785.17702703946</v>
      </c>
      <c r="S18" s="44">
        <f t="shared" si="2"/>
        <v>1501793.6523773321</v>
      </c>
      <c r="T18" s="44">
        <f t="shared" si="2"/>
        <v>1437580.3908124792</v>
      </c>
      <c r="U18" s="44">
        <f t="shared" si="2"/>
        <v>1815015.0088038743</v>
      </c>
      <c r="V18" s="44">
        <f t="shared" si="2"/>
        <v>1362931.111361912</v>
      </c>
      <c r="W18" s="44">
        <f t="shared" si="2"/>
        <v>1971967.2501635693</v>
      </c>
      <c r="X18" s="44">
        <f t="shared" si="2"/>
        <v>2426611.529611825</v>
      </c>
      <c r="Y18" s="44">
        <f t="shared" si="2"/>
        <v>3892397.6743213655</v>
      </c>
      <c r="Z18" s="44">
        <f t="shared" si="2"/>
        <v>3010221.7844834975</v>
      </c>
      <c r="AA18" s="44">
        <f t="shared" si="2"/>
        <v>6647845.9448595094</v>
      </c>
      <c r="AB18" s="44">
        <f t="shared" si="2"/>
        <v>5091211.4715898205</v>
      </c>
      <c r="AC18" s="44">
        <f t="shared" si="2"/>
        <v>7303411.5540913213</v>
      </c>
      <c r="AD18" s="44">
        <f t="shared" si="2"/>
        <v>9394796.9381394424</v>
      </c>
      <c r="AE18" s="44">
        <f t="shared" si="2"/>
        <v>9655056.0855062772</v>
      </c>
      <c r="AF18" s="44">
        <f t="shared" si="2"/>
        <v>8423401.7091046106</v>
      </c>
      <c r="AG18" s="44">
        <f t="shared" si="2"/>
        <v>10092576.039393792</v>
      </c>
      <c r="AH18" s="44">
        <f t="shared" si="2"/>
        <v>13463093.987655293</v>
      </c>
      <c r="AI18" s="44">
        <f t="shared" si="2"/>
        <v>10796384.636041882</v>
      </c>
      <c r="AJ18" s="44">
        <f t="shared" si="2"/>
        <v>12454176.495573401</v>
      </c>
      <c r="AK18" s="44">
        <f t="shared" si="2"/>
        <v>18030186.269190006</v>
      </c>
      <c r="AL18" s="44">
        <f t="shared" si="2"/>
        <v>17981225.427442897</v>
      </c>
      <c r="AM18" s="44">
        <f t="shared" si="2"/>
        <v>18790821.749091443</v>
      </c>
      <c r="AN18" s="44">
        <f t="shared" si="2"/>
        <v>9864945.8548260536</v>
      </c>
      <c r="AO18" s="44">
        <f t="shared" si="2"/>
        <v>9077016.0805401895</v>
      </c>
      <c r="AP18" s="44">
        <f t="shared" si="2"/>
        <v>19024590.79943727</v>
      </c>
      <c r="AQ18" s="44">
        <f t="shared" si="2"/>
        <v>5533369.9832273573</v>
      </c>
      <c r="AR18" s="44">
        <f t="shared" si="2"/>
        <v>12210220.450286083</v>
      </c>
    </row>
    <row r="19" spans="1:44" ht="15" customHeight="1" x14ac:dyDescent="0.25">
      <c r="A19" s="13" t="s">
        <v>41</v>
      </c>
      <c r="B19" s="14">
        <v>50683423</v>
      </c>
      <c r="C19" s="14">
        <v>10066608</v>
      </c>
      <c r="D19" s="15">
        <v>0</v>
      </c>
      <c r="E19" s="14">
        <v>4359599</v>
      </c>
      <c r="F19" s="15">
        <v>0</v>
      </c>
      <c r="G19" s="14">
        <v>-3782407</v>
      </c>
      <c r="H19" s="20">
        <v>1.5173396073000001</v>
      </c>
      <c r="I19" s="14">
        <v>4527346</v>
      </c>
      <c r="J19" s="17">
        <v>7.9332197140999998</v>
      </c>
      <c r="K19" s="14">
        <v>154410753.97999999</v>
      </c>
      <c r="L19" s="18" t="str">
        <f>+A1</f>
        <v>ItauUnibanco PN</v>
      </c>
      <c r="M19" s="18" t="s">
        <v>42</v>
      </c>
      <c r="N19" s="18"/>
      <c r="O19" s="31"/>
      <c r="P19" s="45">
        <f t="shared" ref="P19:AR19" si="3">P18/P17</f>
        <v>0.73162267027193184</v>
      </c>
      <c r="Q19" s="45">
        <f t="shared" si="3"/>
        <v>0.78234666821092858</v>
      </c>
      <c r="R19" s="45">
        <f t="shared" si="3"/>
        <v>0.86119683133717628</v>
      </c>
      <c r="S19" s="45">
        <f t="shared" si="3"/>
        <v>0.80337187179661307</v>
      </c>
      <c r="T19" s="45">
        <f t="shared" si="3"/>
        <v>0.78105258312242698</v>
      </c>
      <c r="U19" s="45">
        <f t="shared" si="3"/>
        <v>0.75958958596803738</v>
      </c>
      <c r="V19" s="45">
        <f t="shared" si="3"/>
        <v>0.57344970842707033</v>
      </c>
      <c r="W19" s="45">
        <f t="shared" si="3"/>
        <v>0.6256598568965136</v>
      </c>
      <c r="X19" s="45">
        <f t="shared" si="3"/>
        <v>0.64270612520230475</v>
      </c>
      <c r="Y19" s="45">
        <f t="shared" si="3"/>
        <v>0.74122074016266448</v>
      </c>
      <c r="Z19" s="45">
        <f t="shared" si="3"/>
        <v>0.69860124910064558</v>
      </c>
      <c r="AA19" s="45">
        <f t="shared" si="3"/>
        <v>0.78453582972009428</v>
      </c>
      <c r="AB19" s="45">
        <f t="shared" si="3"/>
        <v>0.65242808520116213</v>
      </c>
      <c r="AC19" s="45">
        <f t="shared" si="3"/>
        <v>0.72550868714579142</v>
      </c>
      <c r="AD19" s="45">
        <f t="shared" si="3"/>
        <v>0.70515822479875101</v>
      </c>
      <c r="AE19" s="45">
        <f t="shared" si="3"/>
        <v>0.66037250302201778</v>
      </c>
      <c r="AF19" s="45">
        <f t="shared" si="3"/>
        <v>0.61964387875072358</v>
      </c>
      <c r="AG19" s="45">
        <f t="shared" si="3"/>
        <v>0.6430133432557944</v>
      </c>
      <c r="AH19" s="45">
        <f t="shared" si="3"/>
        <v>0.66512123211700902</v>
      </c>
      <c r="AI19" s="45">
        <f t="shared" si="3"/>
        <v>0.46217728413831544</v>
      </c>
      <c r="AJ19" s="45">
        <f t="shared" si="3"/>
        <v>0.57553974551066189</v>
      </c>
      <c r="AK19" s="45">
        <f t="shared" si="3"/>
        <v>0.75236904163946183</v>
      </c>
      <c r="AL19" s="45">
        <f t="shared" si="3"/>
        <v>0.71989917243832835</v>
      </c>
      <c r="AM19" s="45">
        <f t="shared" si="3"/>
        <v>0.70688323116043683</v>
      </c>
      <c r="AN19" s="45">
        <f t="shared" si="3"/>
        <v>0.5217063755262602</v>
      </c>
      <c r="AO19" s="45">
        <f t="shared" si="3"/>
        <v>0.36325500562430724</v>
      </c>
      <c r="AP19" s="45">
        <f t="shared" si="3"/>
        <v>0.65137093160671311</v>
      </c>
      <c r="AQ19" s="45">
        <f t="shared" si="3"/>
        <v>0.35552364322971969</v>
      </c>
      <c r="AR19" s="45">
        <f t="shared" si="3"/>
        <v>1.0498899785284681</v>
      </c>
    </row>
    <row r="20" spans="1:44" ht="15" customHeight="1" x14ac:dyDescent="0.25">
      <c r="A20" s="13" t="s">
        <v>43</v>
      </c>
      <c r="B20" s="14">
        <v>60878545</v>
      </c>
      <c r="C20" s="14">
        <v>13322963</v>
      </c>
      <c r="D20" s="15">
        <v>0</v>
      </c>
      <c r="E20" s="14">
        <v>5024756</v>
      </c>
      <c r="F20" s="15">
        <v>0</v>
      </c>
      <c r="G20" s="14">
        <v>-4315488</v>
      </c>
      <c r="H20" s="20">
        <v>2.4075525112</v>
      </c>
      <c r="I20" s="14">
        <v>4544368</v>
      </c>
      <c r="J20" s="17">
        <v>8.3670802627</v>
      </c>
      <c r="K20" s="14">
        <v>159666024.81999999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71347333</v>
      </c>
      <c r="C21" s="14">
        <v>14620621</v>
      </c>
      <c r="D21" s="15">
        <v>0</v>
      </c>
      <c r="E21" s="14">
        <v>5286998</v>
      </c>
      <c r="F21" s="15">
        <v>0</v>
      </c>
      <c r="G21" s="14">
        <v>-5252958</v>
      </c>
      <c r="H21" s="20">
        <v>3.8242392135999999</v>
      </c>
      <c r="I21" s="14">
        <v>4513640</v>
      </c>
      <c r="J21" s="17">
        <v>7.4261733789999997</v>
      </c>
      <c r="K21" s="14">
        <v>137385257.59999999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74219609</v>
      </c>
      <c r="C22" s="14">
        <v>13593940</v>
      </c>
      <c r="D22" s="15">
        <v>0</v>
      </c>
      <c r="E22" s="14">
        <v>5565701</v>
      </c>
      <c r="F22" s="15">
        <v>0</v>
      </c>
      <c r="G22" s="14">
        <v>-5584259</v>
      </c>
      <c r="H22" s="20">
        <v>3.5349812734000001</v>
      </c>
      <c r="I22" s="14">
        <v>4518380</v>
      </c>
      <c r="J22" s="17">
        <v>7.5519837958</v>
      </c>
      <c r="K22" s="14">
        <v>145741614.86000001</v>
      </c>
      <c r="L22" s="47" t="str">
        <f>+L24</f>
        <v>ItauUnibanco PN</v>
      </c>
      <c r="M22" s="39" t="s">
        <v>46</v>
      </c>
      <c r="N22" s="32"/>
      <c r="O22" s="32"/>
      <c r="P22" s="30">
        <v>3842455</v>
      </c>
      <c r="Q22" s="30">
        <v>4197522</v>
      </c>
      <c r="R22" s="30">
        <v>4651335</v>
      </c>
      <c r="S22" s="30">
        <v>10502002</v>
      </c>
      <c r="T22" s="30">
        <v>10565590</v>
      </c>
      <c r="U22" s="30">
        <v>7578222</v>
      </c>
      <c r="V22" s="30">
        <v>9036410</v>
      </c>
      <c r="W22" s="30">
        <v>11879208</v>
      </c>
      <c r="X22" s="30">
        <v>13971082</v>
      </c>
      <c r="Y22" s="30">
        <v>15559656</v>
      </c>
      <c r="Z22" s="30">
        <v>23564471</v>
      </c>
      <c r="AA22" s="30">
        <v>28969086</v>
      </c>
      <c r="AB22" s="30">
        <v>43664036</v>
      </c>
      <c r="AC22" s="30">
        <v>50683423</v>
      </c>
      <c r="AD22" s="30">
        <v>60878545</v>
      </c>
      <c r="AE22" s="30">
        <v>71347333</v>
      </c>
      <c r="AF22" s="30">
        <v>74219609</v>
      </c>
      <c r="AG22" s="30">
        <v>81024484</v>
      </c>
      <c r="AH22" s="30">
        <v>95847713</v>
      </c>
      <c r="AI22" s="30">
        <v>106462440</v>
      </c>
      <c r="AJ22" s="30">
        <v>115590426</v>
      </c>
      <c r="AK22" s="30">
        <v>126923600</v>
      </c>
      <c r="AL22" s="30">
        <v>131756574</v>
      </c>
      <c r="AM22" s="30">
        <v>131987401</v>
      </c>
      <c r="AN22" s="30">
        <v>136593000</v>
      </c>
      <c r="AO22" s="30">
        <v>144554000</v>
      </c>
      <c r="AP22" s="30">
        <v>160925000</v>
      </c>
      <c r="AQ22" s="30">
        <v>160925000</v>
      </c>
      <c r="AR22" s="30">
        <v>160925000</v>
      </c>
    </row>
    <row r="23" spans="1:44" ht="15" customHeight="1" x14ac:dyDescent="0.25">
      <c r="A23" s="13" t="s">
        <v>47</v>
      </c>
      <c r="B23" s="14">
        <v>81024484</v>
      </c>
      <c r="C23" s="14">
        <v>15695749</v>
      </c>
      <c r="D23" s="15">
        <v>0</v>
      </c>
      <c r="E23" s="14">
        <v>6510912</v>
      </c>
      <c r="F23" s="15">
        <v>0</v>
      </c>
      <c r="G23" s="14">
        <v>-5406276</v>
      </c>
      <c r="H23" s="20">
        <v>3.1971220100000002</v>
      </c>
      <c r="I23" s="14">
        <v>4959161</v>
      </c>
      <c r="J23" s="17">
        <v>8.0579992347000005</v>
      </c>
      <c r="K23" s="14">
        <v>150610705.24000001</v>
      </c>
      <c r="L23" s="47" t="str">
        <f>+L25</f>
        <v>ItauUnibanco PN</v>
      </c>
      <c r="M23" s="39" t="s">
        <v>48</v>
      </c>
      <c r="N23" s="32"/>
      <c r="O23" s="32"/>
      <c r="P23" s="30">
        <f>P22+P9+P10+P14</f>
        <v>4028175.1124</v>
      </c>
      <c r="Q23" s="33">
        <f>Q22+Q9+Q10+Q14+((P9+P10+P14)*(1+Q5))</f>
        <v>4455594.5233476339</v>
      </c>
      <c r="R23" s="33">
        <f>R22+R9+R10+R14+((Q9+Q10+Q14)*(1+R5))+(((P9+P10+P14)*(1+R5)*(1+Q5)))</f>
        <v>4869124.2910580179</v>
      </c>
      <c r="S23" s="33">
        <f>S22+S9+S10+S14+((R9+R10+R14)*(1+S5))+(((Q9+Q10+Q14)*(1+S5)*(1+R5)))+(((P9+P10+P14)*(1+S5)*(1+R5)*(1+Q5)))</f>
        <v>10861855.89529484</v>
      </c>
      <c r="T23" s="33">
        <f>T22+T9+T10+T14+((S9+S10+S14)*(1+T5))+(((R9+R10+R14)*(1+T5)*(1+S5)))+(((Q9+Q10+Q14)*(1+T5)*(1+S5)*(1+R5)))+(((P9+P10+P14)*(1+T5)*(1+S5)*(1+R5)*(1+Q5)))</f>
        <v>10938006.096159909</v>
      </c>
      <c r="U23" s="33">
        <f>U22+U9+U10+U14+((T9+T10+T14)*(1+U5))+((S9+S10+S14)*(1+U5)*(1+T5))+((R9+R10+R14)*(1+U5)*(1+T5)*(1+S5))+((Q9+Q10+Q14)*(1+U5)*(1+T5)*(1+S5)*(1+R5))+((P9+P10+P14)*(1+U5)*(1+T5)*(1+S5)*(1+R5)*(1+Q5))</f>
        <v>7974448.8984227004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9548584.0478022899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12266987.536421958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14037371.602205751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15102739.463104235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22387683.483593293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27024163.935939323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40911334.658998266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46962032.073547006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56090870.453017376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65288935.907494895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66569660.063861609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71511995.938866526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84097238.841117084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90651134.179885104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95795410.887365252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103729695.00813462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104859630.45711128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100910986.62968031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100044763.04479878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99717842.708073527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110448045.34920993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104272542.48684092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109758006.62272388</v>
      </c>
    </row>
    <row r="24" spans="1:44" ht="15" customHeight="1" x14ac:dyDescent="0.25">
      <c r="A24" s="13" t="s">
        <v>49</v>
      </c>
      <c r="B24" s="14">
        <v>95847713</v>
      </c>
      <c r="C24" s="14">
        <v>20241564</v>
      </c>
      <c r="D24" s="15">
        <v>0</v>
      </c>
      <c r="E24" s="14">
        <v>7560821</v>
      </c>
      <c r="F24" s="15">
        <v>0</v>
      </c>
      <c r="G24" s="14">
        <v>-6403900</v>
      </c>
      <c r="H24" s="20">
        <v>2.8144518774999998</v>
      </c>
      <c r="I24" s="14">
        <v>5477002</v>
      </c>
      <c r="J24" s="17">
        <v>10.096570530999999</v>
      </c>
      <c r="K24" s="14">
        <v>183051033.66999999</v>
      </c>
      <c r="L24" s="47" t="str">
        <f>+L25</f>
        <v>ItauUnibanco PN</v>
      </c>
      <c r="M24" s="39" t="s">
        <v>50</v>
      </c>
      <c r="N24" s="32"/>
      <c r="O24" s="32"/>
      <c r="P24" s="30">
        <v>5287458.3660000004</v>
      </c>
      <c r="Q24" s="30">
        <v>6187454.7375999996</v>
      </c>
      <c r="R24" s="30">
        <v>6778330.8526999997</v>
      </c>
      <c r="S24" s="30">
        <v>17428087.655999999</v>
      </c>
      <c r="T24" s="30">
        <v>16748049.408</v>
      </c>
      <c r="U24" s="30">
        <v>19572441.355999999</v>
      </c>
      <c r="V24" s="30">
        <v>17790255.984000001</v>
      </c>
      <c r="W24" s="30">
        <v>29935542.048</v>
      </c>
      <c r="X24" s="30">
        <v>42205296.93</v>
      </c>
      <c r="Y24" s="30">
        <v>56543890.761</v>
      </c>
      <c r="Z24" s="30">
        <v>84767711.988000005</v>
      </c>
      <c r="AA24" s="30">
        <v>105930220.88</v>
      </c>
      <c r="AB24" s="30">
        <v>96984164.974000007</v>
      </c>
      <c r="AC24" s="30">
        <v>154410753.97999999</v>
      </c>
      <c r="AD24" s="30">
        <v>159666024.81999999</v>
      </c>
      <c r="AE24" s="30">
        <v>137385257.59999999</v>
      </c>
      <c r="AF24" s="30">
        <v>145741614.86000001</v>
      </c>
      <c r="AG24" s="30">
        <v>150610705.24000001</v>
      </c>
      <c r="AH24" s="30">
        <v>183051033.66999999</v>
      </c>
      <c r="AI24" s="30">
        <v>150488035.06</v>
      </c>
      <c r="AJ24" s="30">
        <v>207453001.65000001</v>
      </c>
      <c r="AK24" s="30">
        <v>259002948.91999999</v>
      </c>
      <c r="AL24" s="30">
        <v>317910007.19</v>
      </c>
      <c r="AM24" s="30">
        <v>336277119.87</v>
      </c>
      <c r="AN24" s="30">
        <v>290294405.06</v>
      </c>
      <c r="AO24" s="30">
        <v>195493661.03999999</v>
      </c>
      <c r="AP24" s="30">
        <v>229428382.81999999</v>
      </c>
      <c r="AQ24" s="30">
        <f>+K33</f>
        <v>243011046.991992</v>
      </c>
      <c r="AR24" s="30">
        <f>+K34</f>
        <v>238896352.13518801</v>
      </c>
    </row>
    <row r="25" spans="1:44" ht="15" customHeight="1" x14ac:dyDescent="0.25">
      <c r="A25" s="13" t="s">
        <v>51</v>
      </c>
      <c r="B25" s="14">
        <v>106462440</v>
      </c>
      <c r="C25" s="14">
        <v>23359834</v>
      </c>
      <c r="D25" s="15">
        <v>0</v>
      </c>
      <c r="E25" s="14">
        <v>7055331</v>
      </c>
      <c r="F25" s="15">
        <v>0</v>
      </c>
      <c r="G25" s="14">
        <v>-7008406</v>
      </c>
      <c r="H25" s="20">
        <v>5.6735702071</v>
      </c>
      <c r="I25" s="14">
        <v>5921351</v>
      </c>
      <c r="J25" s="17">
        <v>8.8848912172999999</v>
      </c>
      <c r="K25" s="14">
        <v>150488035.06</v>
      </c>
      <c r="L25" s="39" t="str">
        <f>+A1</f>
        <v>ItauUnibanco PN</v>
      </c>
      <c r="M25" s="39" t="s">
        <v>52</v>
      </c>
      <c r="N25" s="18"/>
      <c r="O25" s="18"/>
      <c r="P25" s="31">
        <f t="shared" ref="P25:AR25" si="4">P24/P23</f>
        <v>1.3126187959712892</v>
      </c>
      <c r="Q25" s="31">
        <f t="shared" si="4"/>
        <v>1.3886934067221095</v>
      </c>
      <c r="R25" s="31">
        <f t="shared" si="4"/>
        <v>1.3921047086738318</v>
      </c>
      <c r="S25" s="31">
        <f t="shared" si="4"/>
        <v>1.604522083887113</v>
      </c>
      <c r="T25" s="31">
        <f t="shared" si="4"/>
        <v>1.5311793813938235</v>
      </c>
      <c r="U25" s="31">
        <f t="shared" si="4"/>
        <v>2.4543942290320921</v>
      </c>
      <c r="V25" s="31">
        <f t="shared" si="4"/>
        <v>1.8631302709321202</v>
      </c>
      <c r="W25" s="31">
        <f t="shared" si="4"/>
        <v>2.4403336156589606</v>
      </c>
      <c r="X25" s="31">
        <f t="shared" si="4"/>
        <v>3.0066381460876981</v>
      </c>
      <c r="Y25" s="31">
        <f t="shared" si="4"/>
        <v>3.7439492947048363</v>
      </c>
      <c r="Z25" s="31">
        <f t="shared" si="4"/>
        <v>3.7863547628820831</v>
      </c>
      <c r="AA25" s="31">
        <f t="shared" si="4"/>
        <v>3.9198334176445635</v>
      </c>
      <c r="AB25" s="31">
        <f t="shared" si="4"/>
        <v>2.3705940122065603</v>
      </c>
      <c r="AC25" s="31">
        <f t="shared" si="4"/>
        <v>3.2879913232497708</v>
      </c>
      <c r="AD25" s="31">
        <f t="shared" si="4"/>
        <v>2.8465599397987389</v>
      </c>
      <c r="AE25" s="31">
        <f t="shared" si="4"/>
        <v>2.104265534280652</v>
      </c>
      <c r="AF25" s="31">
        <f t="shared" si="4"/>
        <v>2.1893098856173694</v>
      </c>
      <c r="AG25" s="31">
        <f t="shared" si="4"/>
        <v>2.1060900798902691</v>
      </c>
      <c r="AH25" s="31">
        <f t="shared" si="4"/>
        <v>2.1766592600719501</v>
      </c>
      <c r="AI25" s="31">
        <f t="shared" si="4"/>
        <v>1.6600788994142812</v>
      </c>
      <c r="AJ25" s="31">
        <f t="shared" si="4"/>
        <v>2.1655839223229596</v>
      </c>
      <c r="AK25" s="31">
        <f t="shared" si="4"/>
        <v>2.4969026362189597</v>
      </c>
      <c r="AL25" s="31">
        <f t="shared" si="4"/>
        <v>3.0317673808704542</v>
      </c>
      <c r="AM25" s="31">
        <f t="shared" si="4"/>
        <v>3.3324133585578575</v>
      </c>
      <c r="AN25" s="31">
        <f t="shared" si="4"/>
        <v>2.9016451858655494</v>
      </c>
      <c r="AO25" s="31">
        <f t="shared" si="4"/>
        <v>1.9604682144228949</v>
      </c>
      <c r="AP25" s="31">
        <f t="shared" si="4"/>
        <v>2.0772516353241297</v>
      </c>
      <c r="AQ25" s="31">
        <f t="shared" si="4"/>
        <v>2.3305372746872433</v>
      </c>
      <c r="AR25" s="31">
        <f t="shared" si="4"/>
        <v>2.1765733497361808</v>
      </c>
    </row>
    <row r="26" spans="1:44" ht="15" customHeight="1" x14ac:dyDescent="0.25">
      <c r="A26" s="13" t="s">
        <v>53</v>
      </c>
      <c r="B26" s="14">
        <v>115590426</v>
      </c>
      <c r="C26" s="14">
        <v>21639125</v>
      </c>
      <c r="D26" s="15">
        <v>0</v>
      </c>
      <c r="E26" s="14">
        <v>6811509</v>
      </c>
      <c r="F26" s="15">
        <v>0</v>
      </c>
      <c r="G26" s="14">
        <v>-7765983</v>
      </c>
      <c r="H26" s="20">
        <v>4.7152357027000003</v>
      </c>
      <c r="I26" s="14">
        <v>6512700</v>
      </c>
      <c r="J26" s="17">
        <v>13.324458361</v>
      </c>
      <c r="K26" s="14">
        <v>207453001.65000001</v>
      </c>
    </row>
    <row r="27" spans="1:44" ht="15" customHeight="1" x14ac:dyDescent="0.25">
      <c r="A27" s="13" t="s">
        <v>54</v>
      </c>
      <c r="B27" s="14">
        <v>126923600</v>
      </c>
      <c r="C27" s="14">
        <v>23964551</v>
      </c>
      <c r="D27" s="15">
        <v>0</v>
      </c>
      <c r="E27" s="14">
        <v>6394948</v>
      </c>
      <c r="F27" s="15">
        <v>0</v>
      </c>
      <c r="G27" s="14">
        <v>-10727932</v>
      </c>
      <c r="H27" s="20">
        <v>3.5214378009999998</v>
      </c>
      <c r="I27" s="14">
        <v>6464630</v>
      </c>
      <c r="J27" s="17">
        <v>17.397889942999999</v>
      </c>
      <c r="K27" s="14">
        <v>259002948.91999999</v>
      </c>
      <c r="S27" s="67"/>
    </row>
    <row r="28" spans="1:44" ht="15" customHeight="1" x14ac:dyDescent="0.25">
      <c r="A28" s="13" t="s">
        <v>55</v>
      </c>
      <c r="B28" s="14">
        <v>131756574</v>
      </c>
      <c r="C28" s="14">
        <v>24977422</v>
      </c>
      <c r="D28" s="15">
        <v>0</v>
      </c>
      <c r="E28" s="14">
        <v>6404641</v>
      </c>
      <c r="F28" s="15">
        <v>0</v>
      </c>
      <c r="G28" s="14">
        <v>-20249433</v>
      </c>
      <c r="H28" s="20">
        <v>6.0036635197999999</v>
      </c>
      <c r="I28" s="14">
        <v>9720521</v>
      </c>
      <c r="J28" s="17">
        <v>23.228202646</v>
      </c>
      <c r="K28" s="14">
        <v>317910007.19</v>
      </c>
    </row>
    <row r="29" spans="1:44" ht="15" customHeight="1" x14ac:dyDescent="0.25">
      <c r="A29" s="13" t="s">
        <v>56</v>
      </c>
      <c r="B29" s="14">
        <v>131987401</v>
      </c>
      <c r="C29" s="14">
        <v>26582639</v>
      </c>
      <c r="D29" s="15">
        <v>0</v>
      </c>
      <c r="E29" s="14">
        <v>6411666</v>
      </c>
      <c r="F29" s="15">
        <v>0</v>
      </c>
      <c r="G29" s="14">
        <v>-26142218</v>
      </c>
      <c r="H29" s="20">
        <v>7.5625185385</v>
      </c>
      <c r="I29" s="14">
        <v>9745602</v>
      </c>
      <c r="J29" s="17">
        <v>26.231097451</v>
      </c>
      <c r="K29" s="14">
        <v>336277119.87</v>
      </c>
    </row>
    <row r="30" spans="1:44" ht="15" customHeight="1" x14ac:dyDescent="0.25">
      <c r="A30" s="13" t="s">
        <v>57</v>
      </c>
      <c r="B30" s="14">
        <v>136593000</v>
      </c>
      <c r="C30" s="14">
        <v>18909000</v>
      </c>
      <c r="D30" s="15">
        <v>0</v>
      </c>
      <c r="E30" s="14">
        <v>6493000</v>
      </c>
      <c r="F30" s="15">
        <v>0</v>
      </c>
      <c r="G30" s="14">
        <v>-12058000</v>
      </c>
      <c r="H30" s="20">
        <v>4.1232326426999997</v>
      </c>
      <c r="I30" s="14">
        <v>9762457</v>
      </c>
      <c r="J30" s="17">
        <v>23.303889263999999</v>
      </c>
      <c r="K30" s="14">
        <v>290294405.06</v>
      </c>
    </row>
    <row r="31" spans="1:44" ht="15" customHeight="1" x14ac:dyDescent="0.25">
      <c r="A31" s="13" t="s">
        <v>58</v>
      </c>
      <c r="B31" s="14">
        <v>144554000</v>
      </c>
      <c r="C31" s="14">
        <v>24988000</v>
      </c>
      <c r="D31" s="15">
        <v>0</v>
      </c>
      <c r="E31" s="14">
        <v>6417000</v>
      </c>
      <c r="F31" s="15">
        <v>0</v>
      </c>
      <c r="G31" s="14">
        <v>-6397000</v>
      </c>
      <c r="H31" s="20">
        <v>4.3315633457000002</v>
      </c>
      <c r="I31" s="14">
        <v>9779890</v>
      </c>
      <c r="J31" s="17">
        <v>19.385552135000001</v>
      </c>
      <c r="K31" s="14">
        <v>195493661.03999999</v>
      </c>
    </row>
    <row r="32" spans="1:44" ht="15" customHeight="1" x14ac:dyDescent="0.25">
      <c r="A32" s="13" t="s">
        <v>59</v>
      </c>
      <c r="B32" s="14">
        <v>167717000</v>
      </c>
      <c r="C32" s="14">
        <v>29207000</v>
      </c>
      <c r="D32" s="66">
        <v>15564000</v>
      </c>
      <c r="E32" s="14">
        <v>11630000</v>
      </c>
      <c r="F32" s="15">
        <v>0</v>
      </c>
      <c r="G32" s="14">
        <v>-6999000</v>
      </c>
      <c r="H32" s="20">
        <v>4.0754372587000001</v>
      </c>
      <c r="I32" s="14">
        <v>9800866</v>
      </c>
      <c r="J32" s="17">
        <v>24.073037689</v>
      </c>
      <c r="K32" s="14">
        <v>171175045.38652301</v>
      </c>
    </row>
    <row r="33" spans="1:42" ht="15" customHeight="1" x14ac:dyDescent="0.25">
      <c r="A33" s="13" t="s">
        <v>60</v>
      </c>
      <c r="B33" s="14">
        <v>190177000</v>
      </c>
      <c r="C33" s="14">
        <v>33105000</v>
      </c>
      <c r="D33" s="14">
        <v>15529000</v>
      </c>
      <c r="E33" s="14">
        <v>12486000</v>
      </c>
      <c r="F33" s="14"/>
      <c r="G33" s="14"/>
      <c r="H33" s="14"/>
      <c r="I33" s="14"/>
      <c r="J33" s="14"/>
      <c r="K33" s="14">
        <v>243011046.991992</v>
      </c>
    </row>
    <row r="34" spans="1:42" ht="15" customHeight="1" x14ac:dyDescent="0.25">
      <c r="A34" s="13" t="s">
        <v>61</v>
      </c>
      <c r="B34" s="14">
        <v>211090000</v>
      </c>
      <c r="C34" s="14">
        <v>41085000</v>
      </c>
      <c r="D34" s="14">
        <v>15648000</v>
      </c>
      <c r="E34" s="14">
        <v>13263000</v>
      </c>
      <c r="F34" s="14"/>
      <c r="G34" s="14"/>
      <c r="H34" s="14"/>
      <c r="I34" s="14"/>
      <c r="J34" s="14"/>
      <c r="K34" s="14">
        <v>238896352.13518801</v>
      </c>
    </row>
    <row r="46" spans="1:42" ht="15" customHeight="1" x14ac:dyDescent="0.25">
      <c r="M46" s="46" t="s">
        <v>62</v>
      </c>
      <c r="N46" s="1"/>
      <c r="O46" s="1"/>
      <c r="P46" s="35">
        <f>-G6/P17</f>
        <v>0.24980535283914629</v>
      </c>
      <c r="Q46" s="35">
        <f>-G7/Q17</f>
        <v>0.50260828546852021</v>
      </c>
      <c r="R46" s="35">
        <f>-G8/R17</f>
        <v>0</v>
      </c>
      <c r="S46" s="35">
        <f>-G9/S17</f>
        <v>0</v>
      </c>
      <c r="T46" s="35">
        <f>-G10/T17</f>
        <v>0.3416141104267813</v>
      </c>
      <c r="U46" s="35">
        <f>-G11/U17</f>
        <v>0.33802503318730359</v>
      </c>
      <c r="V46" s="35">
        <f>-G12/V17</f>
        <v>0.34862245200639702</v>
      </c>
      <c r="W46" s="35">
        <f>-G13/W17</f>
        <v>0.29574880545208798</v>
      </c>
      <c r="X46" s="35">
        <f>-G14/X17</f>
        <v>0.31516208216089769</v>
      </c>
      <c r="Y46" s="35">
        <f>-G15/Y17</f>
        <v>0.35519603209394029</v>
      </c>
      <c r="Z46" s="35">
        <f>-G16/Z17</f>
        <v>0.40557660874737494</v>
      </c>
      <c r="AA46" s="35">
        <f>-G17/AA17</f>
        <v>0.26905092567460082</v>
      </c>
      <c r="AB46" s="35">
        <f>-G18/AB17</f>
        <v>0.37291553015493212</v>
      </c>
      <c r="AC46" s="35">
        <f>-G19/AC17</f>
        <v>0.37573798443328676</v>
      </c>
      <c r="AD46" s="35">
        <f>-G20/AD17</f>
        <v>0.32391353184723248</v>
      </c>
      <c r="AE46" s="35">
        <f>-G21/AE17</f>
        <v>0.35928419182741966</v>
      </c>
      <c r="AF46" s="35">
        <f>-G22/AF17</f>
        <v>0.41079032274675331</v>
      </c>
      <c r="AG46" s="35">
        <f>-G23/AG17</f>
        <v>0.34444205243088433</v>
      </c>
      <c r="AH46" s="35">
        <f>-G24/AH17</f>
        <v>0.31637377427949737</v>
      </c>
      <c r="AI46" s="35">
        <f>-G25/AI17</f>
        <v>0.30001951212495775</v>
      </c>
      <c r="AJ46" s="35">
        <f>-G26/AJ17</f>
        <v>0.35888618416872214</v>
      </c>
      <c r="AK46" s="35">
        <f>-G27/AK17</f>
        <v>0.44765837674154629</v>
      </c>
      <c r="AL46" s="35">
        <f>-G28/AL17</f>
        <v>0.81070948795275988</v>
      </c>
      <c r="AM46" s="35">
        <f>-G29/AM17</f>
        <v>0.98343200613001591</v>
      </c>
      <c r="AN46" s="35">
        <f>-G30/AN17</f>
        <v>0.63768575810460626</v>
      </c>
      <c r="AO46" s="35">
        <f>-G31/AO17</f>
        <v>0.25600288138306387</v>
      </c>
      <c r="AP46" s="35">
        <f>-G32/AP17</f>
        <v>0.23963433423494368</v>
      </c>
    </row>
    <row r="47" spans="1:42" ht="15" customHeight="1" x14ac:dyDescent="0.25">
      <c r="M47" s="39" t="s">
        <v>63</v>
      </c>
      <c r="N47" s="32"/>
      <c r="O47" s="32"/>
      <c r="P47" s="36">
        <f>-G6/P18</f>
        <v>0.34144014802917172</v>
      </c>
      <c r="Q47" s="36">
        <f>-G7/Q18</f>
        <v>0.6424367941872694</v>
      </c>
      <c r="R47" s="36">
        <f>-G8/R18</f>
        <v>0</v>
      </c>
      <c r="S47" s="36">
        <f>-G9/S18</f>
        <v>0</v>
      </c>
      <c r="T47" s="36">
        <f>-G10/T18</f>
        <v>0.43737658361118897</v>
      </c>
      <c r="U47" s="36">
        <f>-G11/U18</f>
        <v>0.4450100941767352</v>
      </c>
      <c r="V47" s="36">
        <f>-G12/V18</f>
        <v>0.60793901694124552</v>
      </c>
      <c r="W47" s="36">
        <f>-G13/W18</f>
        <v>0.47269902678286413</v>
      </c>
      <c r="X47" s="36">
        <f>-G14/X18</f>
        <v>0.49036732310851106</v>
      </c>
      <c r="Y47" s="36">
        <f>-G15/Y18</f>
        <v>0.47920411943140018</v>
      </c>
      <c r="Z47" s="36">
        <f>-G16/Z18</f>
        <v>0.58055522985322427</v>
      </c>
      <c r="AA47" s="36">
        <f>-G17/AA18</f>
        <v>0.34294281469667542</v>
      </c>
      <c r="AB47" s="36">
        <f>-G18/AB18</f>
        <v>0.57158105025468309</v>
      </c>
      <c r="AC47" s="36">
        <f>-G19/AC18</f>
        <v>0.5178959137091379</v>
      </c>
      <c r="AD47" s="36">
        <f>-G20/AD18</f>
        <v>0.45934872551429989</v>
      </c>
      <c r="AE47" s="36">
        <f>-G21/AE18</f>
        <v>0.54406291931183048</v>
      </c>
      <c r="AF47" s="36">
        <f>-G22/AF18</f>
        <v>0.66294582555217996</v>
      </c>
      <c r="AG47" s="36">
        <f>-G23/AG18</f>
        <v>0.53566859232944919</v>
      </c>
      <c r="AH47" s="36">
        <f>-G24/AH18</f>
        <v>0.4756633212151623</v>
      </c>
      <c r="AI47" s="36">
        <f>-G25/AI18</f>
        <v>0.64914378620817537</v>
      </c>
      <c r="AJ47" s="36">
        <f>-G26/AJ18</f>
        <v>0.62356455304453651</v>
      </c>
      <c r="AK47" s="36">
        <f>-G27/AK18</f>
        <v>0.59499840100553469</v>
      </c>
      <c r="AL47" s="36">
        <f>-G28/AL18</f>
        <v>1.1261431030776896</v>
      </c>
      <c r="AM47" s="36">
        <f>-G29/AM18</f>
        <v>1.3912227122937828</v>
      </c>
      <c r="AN47" s="36">
        <f>-G30/AN18</f>
        <v>1.2223077731441452</v>
      </c>
      <c r="AO47" s="36">
        <f>-G31/AO18</f>
        <v>0.70474701633659587</v>
      </c>
      <c r="AP47" s="36">
        <f>-G32/AP18</f>
        <v>0.36789227551780113</v>
      </c>
    </row>
    <row r="48" spans="1:42" ht="15" customHeight="1" x14ac:dyDescent="0.25">
      <c r="M48" s="39" t="s">
        <v>64</v>
      </c>
      <c r="N48" s="32"/>
      <c r="O48" s="32"/>
      <c r="P48" s="37">
        <v>2.6386633846000001</v>
      </c>
      <c r="Q48" s="37">
        <v>5.6995075734</v>
      </c>
      <c r="R48" s="37">
        <v>4.9139713963</v>
      </c>
      <c r="S48" s="37">
        <v>3.2983701537000001</v>
      </c>
      <c r="T48" s="37">
        <v>2.6026336089000002</v>
      </c>
      <c r="U48" s="37">
        <v>3.1693243446000001</v>
      </c>
      <c r="V48" s="37">
        <v>2.6787303888</v>
      </c>
      <c r="W48" s="37">
        <v>2.9381424963999998</v>
      </c>
      <c r="X48" s="37">
        <v>3.8186696086</v>
      </c>
      <c r="Y48" s="37">
        <v>2.1482258035999999</v>
      </c>
      <c r="Z48" s="37">
        <v>1.8287324235</v>
      </c>
      <c r="AA48" s="37">
        <v>2.2698294055999999</v>
      </c>
      <c r="AB48" s="37">
        <v>5.0334473876999999</v>
      </c>
      <c r="AC48" s="37">
        <v>1.5173396073000001</v>
      </c>
      <c r="AD48" s="37">
        <v>2.4075525112</v>
      </c>
      <c r="AE48" s="37">
        <v>3.8242392135999999</v>
      </c>
      <c r="AF48" s="37">
        <v>3.5349812734000001</v>
      </c>
      <c r="AG48" s="37">
        <v>3.1971220100000002</v>
      </c>
      <c r="AH48" s="37">
        <v>2.8144518774999998</v>
      </c>
      <c r="AI48" s="37">
        <v>5.6735702071</v>
      </c>
      <c r="AJ48" s="37">
        <v>4.7152357027000003</v>
      </c>
      <c r="AK48" s="37">
        <v>3.5214378009999998</v>
      </c>
      <c r="AL48" s="37">
        <v>6.0036635197999999</v>
      </c>
      <c r="AM48" s="37">
        <v>7.5625185385</v>
      </c>
      <c r="AN48" s="37">
        <v>4.1232326426999997</v>
      </c>
      <c r="AO48" s="37">
        <v>4.3315633457000002</v>
      </c>
      <c r="AP48" s="37">
        <v>4.0754372587000001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49"/>
  <sheetViews>
    <sheetView showGridLines="0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9" width="16.28515625" customWidth="1"/>
    <col min="20" max="23" width="15.28515625" customWidth="1"/>
    <col min="24" max="30" width="16.28515625" customWidth="1"/>
    <col min="31" max="31" width="11.85546875" customWidth="1"/>
    <col min="32" max="42" width="16.28515625" customWidth="1"/>
    <col min="43" max="43" width="18.140625" customWidth="1"/>
    <col min="44" max="44" width="14.7109375" customWidth="1"/>
  </cols>
  <sheetData>
    <row r="1" spans="1:44" ht="15" customHeight="1" x14ac:dyDescent="0.25">
      <c r="A1" s="6" t="s">
        <v>71</v>
      </c>
      <c r="M1" t="s">
        <v>1</v>
      </c>
      <c r="N1" s="7">
        <v>4.07E-2</v>
      </c>
    </row>
    <row r="2" spans="1:44" ht="15" customHeight="1" x14ac:dyDescent="0.25">
      <c r="A2" s="6"/>
    </row>
    <row r="3" spans="1:44" ht="15" customHeight="1" x14ac:dyDescent="0.25">
      <c r="M3" s="2" t="s">
        <v>72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4">
        <v>19750415</v>
      </c>
      <c r="C5" s="14">
        <v>621404</v>
      </c>
      <c r="D5" s="15">
        <v>0</v>
      </c>
      <c r="E5" s="14">
        <v>11764686</v>
      </c>
      <c r="F5" s="15">
        <v>0</v>
      </c>
      <c r="G5" s="15">
        <v>0</v>
      </c>
      <c r="H5" s="15">
        <v>0</v>
      </c>
      <c r="I5" s="14">
        <v>108610408.86</v>
      </c>
      <c r="J5" s="17">
        <v>0.10475657412</v>
      </c>
      <c r="K5" s="14">
        <v>6287287.6591999996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4">
        <v>19975136</v>
      </c>
      <c r="C6" s="14">
        <v>668609</v>
      </c>
      <c r="D6" s="15">
        <v>0</v>
      </c>
      <c r="E6" s="14">
        <v>12927736</v>
      </c>
      <c r="F6" s="15">
        <v>0</v>
      </c>
      <c r="G6" s="15">
        <v>0</v>
      </c>
      <c r="H6" s="20">
        <v>0.79056000000000004</v>
      </c>
      <c r="I6" s="14">
        <v>108610409</v>
      </c>
      <c r="J6" s="17">
        <v>0.33346674269999999</v>
      </c>
      <c r="K6" s="14">
        <v>15406640.593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4">
        <v>21055416</v>
      </c>
      <c r="C7" s="14">
        <v>1510983</v>
      </c>
      <c r="D7" s="15">
        <v>0</v>
      </c>
      <c r="E7" s="14">
        <v>14310299</v>
      </c>
      <c r="F7" s="15">
        <v>0</v>
      </c>
      <c r="G7" s="15">
        <v>0</v>
      </c>
      <c r="H7" s="20">
        <v>0.77816215212999995</v>
      </c>
      <c r="I7" s="14">
        <v>108610409</v>
      </c>
      <c r="J7" s="17">
        <v>0.49777096952</v>
      </c>
      <c r="K7" s="14">
        <v>23527637.241999999</v>
      </c>
      <c r="M7" s="1" t="s">
        <v>20</v>
      </c>
      <c r="N7" s="1"/>
      <c r="O7" s="5"/>
      <c r="P7" s="4">
        <f>((D5+E5)*P5)</f>
        <v>1124703.9816000001</v>
      </c>
      <c r="Q7" s="4">
        <f>((D6+E6+P7+P8)*Q5)</f>
        <v>736439.36287752003</v>
      </c>
      <c r="R7" s="4">
        <f>((D7+E7+Q7+P7+P8+Q8)*R5)</f>
        <v>269967.80907770683</v>
      </c>
      <c r="S7" s="4">
        <f>((D8+E8+R7+Q7+P7+SUM($P$8:R8))*S5)</f>
        <v>1704699.6990136972</v>
      </c>
      <c r="T7" s="4">
        <f>((D9+E9+S7+R7+Q7+P7+SUM($P$8:S8))*T5)</f>
        <v>1632750.1434300351</v>
      </c>
      <c r="U7" s="4">
        <f>((D10+E10+T7+S7+R7+Q7+P7+SUM($P$8:T8))*U5)</f>
        <v>2334124.5877497457</v>
      </c>
      <c r="V7" s="4">
        <f>((D11+E11+U7+T7+S7+R7+Q7+P7+SUM($P$8:U8))*V5)</f>
        <v>4523861.5309573477</v>
      </c>
      <c r="W7" s="4">
        <f>((D12+E12+V7+U7+T7+S7+R7+Q7+P7+SUM($P$8:V8))*W5)</f>
        <v>5067498.0410924619</v>
      </c>
      <c r="X7" s="4">
        <f>((D13+E13+W7+V7+U7+T7+S7+R7+Q7+P7+SUM($P$8:W8))*X5)</f>
        <v>6434534.1200242862</v>
      </c>
      <c r="Y7" s="4">
        <f>((D14+E14+X7+W7+V7+U7+T7+S7+R7+Q7+P7+SUM($P$8:X8))*Y5)</f>
        <v>5890329.4451590078</v>
      </c>
      <c r="Z7" s="4">
        <f>((E14+F14+Y7+X7+W7+V7+U7+T7+S7+R7+Q7+P7+SUM($P$8:Y8))*Z5)</f>
        <v>3461131.5266691782</v>
      </c>
      <c r="AA7" s="4">
        <f>((D16+E16+Z7+Y7+X7+W7+V7+U7+T7+S7+R7+P7+Q7+SUM($P$8:Z8))*AA5)</f>
        <v>6811939.5483720228</v>
      </c>
      <c r="AB7" s="4">
        <f>((D17+E17+AA7+Z7+Y7+X7+W7+V7+U7+T7+S7+P7+Q7+R7+SUM($P$8:AA8))*AB5)</f>
        <v>10896976.475510309</v>
      </c>
      <c r="AC7" s="4">
        <f>((D18+E18+AB7+AA7+Z7+Y7+X7+W7+V7+U7+T7+S7+R7+Q7+P7+SUM($P$8:AB8))*AC5)</f>
        <v>10684659.405372491</v>
      </c>
      <c r="AD7" s="4">
        <f>((D19+E19+AC7+AB7+AA7+Z7+Y7+X7+W7+V7+U7+T7+S7+R7+Q7+P7+SUM($P$8:AC8))*AD5)</f>
        <v>17665915.286650691</v>
      </c>
      <c r="AE7" s="4">
        <f>((D20+E20+AD7+AC7+AB7+AA7+Z7+Y7+X7+W7+V7+U7+T7+S7+R7+Q7+P7+SUM($P$8:AD8))*AE5)</f>
        <v>29659296.316809673</v>
      </c>
      <c r="AF7" s="4">
        <f>((E20+F20+AE7+AD7+AC7+AB7+AA7+Z7+Y7+X7+W7+V7+U7+T7+S7+R7+Q7+P7+SUM($P$8:AE8))*AF5)</f>
        <v>24156700.217633147</v>
      </c>
      <c r="AG7" s="4">
        <f>((D22+E22+AF7+AE7+AD7+AC7+AB7+AA7+Z7+Y7+X7+W7+V7+U7+T7+R7+S7+Q7+P7+SUM($P$8:AF8))*AG5)</f>
        <v>38308937.773956649</v>
      </c>
      <c r="AH7" s="4">
        <f>((E22+F22+AG7+AF7+AE7+AD7+AC7+AB7+AA7+Z7+Y7+X7+W7+V7+U7+S7+T7+R7+Q7+P7+SUM($P$8:AG8))*AH5)</f>
        <v>39732723.991475441</v>
      </c>
      <c r="AI7" s="4">
        <f>((F22+G22+AH7+AG7+AF7+AE7+AD7+AC7+AB7+AA7+Z7+Y7+X7+W7+V7+T7+U7+S7+R7+Q7+P7+SUM($P$8:AH8))*AI5)</f>
        <v>25119513.565542765</v>
      </c>
      <c r="AJ7" s="4">
        <f>((G22+H22+AI7+AH7+AG7+AF7+AE7+AD7+AC7+AB7+AA7+Z7+Y7+X7+W7+U7+V7+T7+S7+R7+Q7+P7+SUM($P$8:AI8))*AJ5)</f>
        <v>15767475.334133111</v>
      </c>
      <c r="AK7" s="4">
        <f>((H22+I22+AJ7+AI7+AH7+AG7+AF7+AE7+AD7+AC7+AB7+AA7+Z7+Y7+X7+V7+W7+U7+T7+S7+R7+Q7+P7+SUM($P$8:AJ8))*AK5)</f>
        <v>8372299.7464370029</v>
      </c>
      <c r="AL7" s="4">
        <f>((D27+E27+AK7+AJ7+AI7+AH7+AG7+AF7+AE7+AD7+AC7++AB7+AA7+Z7+Y7+X7+W7+V7+U7+T7+S7+R7+Q7+P7+SUM($P$8:AK8))*AL5)</f>
        <v>32676470.686447289</v>
      </c>
      <c r="AM7" s="4">
        <f>((E27+F27+AL7+AK7+AJ7+AI7+AH7+AG7+AF7+AE7+AD7++AC7+AB7+AA7+Z7+Y7+X7+W7+V7+U7+T7+S7+R7+Q7+P7+SUM($P$8:AL8))*AM5)</f>
        <v>39195110.253459297</v>
      </c>
      <c r="AN7" s="4">
        <f>((F27+G27+AM7+AL7+AK7+AJ7+AI7+AH7+AG7+AF7+AE7++AD7+AC7+AB7+AA7+Z7+Y7+X7+W7+V7+U7+T7+S7+R7+Q7+P7+SUM($P$8:AM8))*AN5)</f>
        <v>16536365.55788824</v>
      </c>
      <c r="AO7" s="4">
        <f>((G27+H27+AN7+AM7+AL7+AK7+AJ7+AI7+AH7+AG7+AF7++AE7+AD7+AC7+AB7+AA7+Z7+Y7+X7+W7+V7+U7+T7+S7+R7+Q7+P7+SUM($P$8:AN8))*AO5)</f>
        <v>37211094.304730751</v>
      </c>
      <c r="AP7" s="4">
        <f>((H27+I27+AO7+AN7+AM7+AL7+AK7+AJ7+AI7+AH7+AG7++AF7+AE7+AD7+AC7+AB7+AA7+Z7+Y7+X7+W7+V7+U7+T7+S7+R7+Q7+P7+SUM($P$8:AO8))*AP5)</f>
        <v>24337789.44941584</v>
      </c>
      <c r="AQ7" s="4">
        <f>((I27+J27+AP7+AO7+AN7+AM7+AL7+AK7+AJ7+AI7+AH7++AG7+AF7+AE7+AD7+AC7+AB7+AA7+Z7+Y7+X7+W7+V7+U7+T7+S7+R7+Q7+P7+SUM($P$8:AP8))*AQ5)</f>
        <v>19764234.084491063</v>
      </c>
      <c r="AR7" s="4">
        <f>((J27+K27+AQ7+AP7+AO7+AN7+AM7+AL7+AK7+AJ7+AI7++AH7+AG7+AF7+AE7+AD7+AC7+AB7+AA7+Z7+Y7+X7+W7+V7+U7+T7+S7+R7+Q7+P7+SUM($P$8:AQ8))*AR5)</f>
        <v>30771492.579771757</v>
      </c>
    </row>
    <row r="8" spans="1:44" ht="15" customHeight="1" x14ac:dyDescent="0.25">
      <c r="A8" s="13" t="s">
        <v>21</v>
      </c>
      <c r="B8" s="14">
        <v>21734616</v>
      </c>
      <c r="C8" s="14">
        <v>1388629</v>
      </c>
      <c r="D8" s="15">
        <v>0</v>
      </c>
      <c r="E8" s="14">
        <v>16824571</v>
      </c>
      <c r="F8" s="15">
        <v>0</v>
      </c>
      <c r="G8" s="15">
        <v>0</v>
      </c>
      <c r="H8" s="20">
        <v>2.4110810499999999</v>
      </c>
      <c r="I8" s="14">
        <v>108610409</v>
      </c>
      <c r="J8" s="17">
        <v>0.20079831402000001</v>
      </c>
      <c r="K8" s="14">
        <v>10884364.799000001</v>
      </c>
      <c r="M8" s="1" t="s">
        <v>22</v>
      </c>
      <c r="N8" s="1"/>
      <c r="O8" s="4"/>
      <c r="P8" s="4">
        <f>((D6+E6)-(D5+E5))*(P5^1/2)</f>
        <v>55593.79</v>
      </c>
      <c r="Q8" s="4">
        <f>((D7+E7)-(D6+E6))*(Q5^1/2)</f>
        <v>36084.8943</v>
      </c>
      <c r="R8" s="4">
        <f>((D8+E8)-(D7+E7))*(R5^1/2)</f>
        <v>20868.457600000002</v>
      </c>
      <c r="S8" s="4">
        <f>((D9+E9)-(D8+E8))*(S5^1/2)</f>
        <v>281383.63919999998</v>
      </c>
      <c r="T8" s="4">
        <f>((D10+E10)-(D9+E9))*(T5^1/2)</f>
        <v>42024.292650000003</v>
      </c>
      <c r="U8" s="4">
        <f>((D11+E11)-(D10+E10))*(U5^1/2)</f>
        <v>123293.40920000001</v>
      </c>
      <c r="V8" s="4">
        <f>((D12+E12)-(D11+E11))*(V5^1/2)</f>
        <v>817201.65064999997</v>
      </c>
      <c r="W8" s="4">
        <f>((D13+E13)-(D12+E12))*(W5^1/2)</f>
        <v>1115653.3425</v>
      </c>
      <c r="X8" s="4">
        <f>((D14+E14)-(D13+E13))*(X5^1/2)</f>
        <v>454728.63399999996</v>
      </c>
      <c r="Y8" s="4">
        <f>((D15+E15)-(D14+E14))*(Y5^1/2)</f>
        <v>816060.85265000002</v>
      </c>
      <c r="Z8" s="4">
        <f>((E15+F15)-(E14+F14))*(Z5^1/2)</f>
        <v>450339.38089999999</v>
      </c>
      <c r="AA8" s="4">
        <f>((D17+E17)-(D16+E16))*(AA5^1/2)</f>
        <v>548578.39439999999</v>
      </c>
      <c r="AB8" s="4">
        <f>((D18+E18)-(D17+E17))*(AB5^1/2)</f>
        <v>1498996.5094999999</v>
      </c>
      <c r="AC8" s="4">
        <f>((D19+E19)-(D18+E18))*(AC5^1/2)</f>
        <v>850715.36404999997</v>
      </c>
      <c r="AD8" s="4">
        <f>((D20+E20)-(D19+E19))*(AD5/2)</f>
        <v>4010088.8372999998</v>
      </c>
      <c r="AE8" s="4">
        <f>((D21+E21)-(D20+E20))*(AE5^1/2)</f>
        <v>1904993.2850000001</v>
      </c>
      <c r="AF8" s="4">
        <f>((D22+E22)-(D21+E21))*(AF5^1/2)</f>
        <v>2200847.6540000001</v>
      </c>
      <c r="AG8" s="4">
        <f>((D23+E23)-(D22+E22))*(AG5^1/2)</f>
        <v>2070837.8186999999</v>
      </c>
      <c r="AH8" s="4">
        <f>((D24+E24)-(D23+E23))*(AH5^1/2)</f>
        <v>736011.87245000002</v>
      </c>
      <c r="AI8" s="4">
        <f>((D25+E25)-(D24+E24))*(AI5^1/2)</f>
        <v>2610788.9500000002</v>
      </c>
      <c r="AJ8" s="4">
        <f>((D26+E26)-(D25+E25))*(AJ5^1/2)</f>
        <v>-1866997.7999999998</v>
      </c>
      <c r="AK8" s="4">
        <f>((D27+E27)-(D26+E26))*(AK5/2)</f>
        <v>140980.5</v>
      </c>
      <c r="AL8" s="4">
        <f>((D28+E28)-(D27+E27))*(AL5^1/2)</f>
        <v>536287.5</v>
      </c>
      <c r="AM8" s="4">
        <f>((D29+E29)-(D28+E28))*(AM5^1/2)</f>
        <v>2149375.4500000002</v>
      </c>
      <c r="AN8" s="4">
        <f>((D30+E30)-(D29+E29))*(AN5^1/2)</f>
        <v>60432.399999999994</v>
      </c>
      <c r="AO8" s="4">
        <f>((D31+E31)-(D30+E30))*(AO5^1/2)</f>
        <v>-343398.1</v>
      </c>
      <c r="AP8" s="4">
        <f>((D32+E32)-(D31+E31))*(AP5^1/2)</f>
        <v>-16882308.300000001</v>
      </c>
      <c r="AQ8" s="4">
        <f>((D32+E32)-(D31+E31))*(AQ5^1/2)</f>
        <v>-13470857.399999999</v>
      </c>
      <c r="AR8" s="4">
        <f>((E32+F32)-(E31+F31))*(AR5^1/2)</f>
        <v>-13753231.800000001</v>
      </c>
    </row>
    <row r="9" spans="1:44" ht="15" customHeight="1" x14ac:dyDescent="0.25">
      <c r="A9" s="13" t="s">
        <v>23</v>
      </c>
      <c r="B9" s="14">
        <v>17564122</v>
      </c>
      <c r="C9" s="14">
        <v>1756652</v>
      </c>
      <c r="D9" s="15">
        <v>0</v>
      </c>
      <c r="E9" s="14">
        <v>23119507</v>
      </c>
      <c r="F9" s="15">
        <v>0</v>
      </c>
      <c r="G9" s="15">
        <v>0</v>
      </c>
      <c r="H9" s="20">
        <v>1.1647873736000001</v>
      </c>
      <c r="I9" s="14">
        <v>108610409</v>
      </c>
      <c r="J9" s="17">
        <v>1.1189467904999999</v>
      </c>
      <c r="K9" s="14">
        <v>46153875.175999999</v>
      </c>
      <c r="M9" s="1" t="s">
        <v>24</v>
      </c>
      <c r="N9" s="1"/>
      <c r="O9" s="4"/>
      <c r="P9" s="4">
        <f>+B5*P5</f>
        <v>1888139.6740000001</v>
      </c>
      <c r="Q9" s="4">
        <f>+(B6+P9+P10+P14)*Q5</f>
        <v>1104313.6428775201</v>
      </c>
      <c r="R9" s="4">
        <f>+(B7+Q9+P9+P10+Q10+P14+Q14)*R5</f>
        <v>381097.69250611897</v>
      </c>
      <c r="S9" s="4">
        <f>+(B8+R9+Q9+P9+P10+Q10+R10+P14+Q14+R14)*S5</f>
        <v>2131687.5852592969</v>
      </c>
      <c r="T9" s="4">
        <f>+(B9+S9+R9+Q9+P9+P10+Q10+R10+S10+P14+Q14+R14+S14)*T5</f>
        <v>1286909.5835357048</v>
      </c>
      <c r="U9" s="4">
        <f>+(B10+T9+S9+R9+Q9+P9+P10+Q10+R10+S10+T10+P14+Q14+R14+S14+T14)*U5</f>
        <v>2332985.4999320908</v>
      </c>
      <c r="V9" s="4">
        <f>+(B11+U9+T9+S9+R9+Q9+P9+P10+Q10+R10+S10+T10+U10+P14+Q14+R14+S14+T14+U14)*V5</f>
        <v>4587404.423026327</v>
      </c>
      <c r="W9" s="4">
        <f>+(B12+V9+U9+T9+S9+R9+Q9+P9+P10+Q10+R10+S10+T10+U10+V10+P14+Q14+R14+S14+T14+U14+V14)*W5</f>
        <v>4359725.9327170122</v>
      </c>
      <c r="X9" s="4">
        <f>+(B13+W9+V9+U9+T9+S9+R9+Q9+P9+P10+Q10+R10+S10+T10+U10+V10+W10+P14+Q14+R14+S14+T14+U14+V14+W14)*X5</f>
        <v>5121982.5818623118</v>
      </c>
      <c r="Y9" s="4">
        <f>+(B14+X9+W9+V9+U9+T9+S9+R9+Q9+P9+P10+Q10+R10+S10+T10+U10+V10+W10+X10+P14+Q14+R14+S14+T14+U14+V14+W14+X14)*Y5</f>
        <v>4902130.472685813</v>
      </c>
      <c r="Z9" s="4">
        <f>+(B15+Y9+X9+W9+V9+U9+T9+S9+R9+Q9+P9+P10+Q10+R10+S10+T10+U10+V10+W10+X10+Y10+P14+Q14+R14+S14+T14+U14+V14+W14+X14+Y14)*Z5</f>
        <v>3390688.7249648422</v>
      </c>
      <c r="AA9" s="4">
        <f>+(B16+Z9+Y9+X9+W9+V9+U9+T9+S9+R9+Q9+P9+P10+Q10+R10+S10+T10+U10+V10+W10+X10+Y10+Z10+P14+Q14+R14+S14+T14+U14+V14+W14+X14+Y14+Z14)*AA5</f>
        <v>5750084.349747668</v>
      </c>
      <c r="AB9" s="4">
        <f>+(B17+AA9+Z9+Y9+X9+W9+V9+U9+T9+S9+R9+Q9+P9+P10+Q10+R10+S10+T10+U10+V10+W10+X10+Y10+Z10+AA10+P14+Q14+R14+S14+T14+U14+V14+W14+X14+Y14+Z14+AA14)*AB5</f>
        <v>8888463.8312765174</v>
      </c>
      <c r="AC9" s="4">
        <f>+(B18+AB9+AA9+Z9+Y9+X9+W9+V9+U9+T9+S9+R9+Q9+P9+P10+Q10+R10+S10+T10+U10+V10+W10+X10+Y10+Z10+AA10+AB10+P14+Q14+R14+S14+T14+U14+V14+W14+X14+Y14+Z14+AA14+AB14)*AC5</f>
        <v>7980765.7099567633</v>
      </c>
      <c r="AD9" s="4">
        <f>+(B19+AC9+AB9+AA9+Z9+Y9+X9+W9+V9+U9+T9+S9+R9+Q9+P9+P10+Q10+R10+S10+T10+U10+V10+W10+X10+Y10+Z10+AA10+AB10+AC10+P14+Q14+R14+S14+T14+U14+V14+W14+X14+Y14+Z14+AA14+AB14+AC14)*AD5</f>
        <v>12693704.84703785</v>
      </c>
      <c r="AE9" s="4">
        <f>+(B20+AD9+AC9+AB9+AA9+Z9+Y9+X9+W9+V9+U9+T9+S9+R9+Q9+P9+P10+Q10+R10+S10+T10+U10+V10+W10+X10+Y10+Z10+AA10+AB10+AC10+AD10+P14+Q14+S14++R14+T14+U14+V14+W14+X14+Y14+Z14+AA14+AB14+AC14+AD14)*AE5</f>
        <v>24704199.799871862</v>
      </c>
      <c r="AF9" s="4">
        <f>+(B21+AE9+AD9+AC9+AB9+AA9+Z9+Y9+X9+W9+V9+U9+T9+S9+R9+Q9+P9+P10+Q10+R10+S10+T10+U10+V10+W10+X10+Y10+Z10+AA10+AB10+AC10+AD10+AE10+P14+Q14+R14+S14+T14+U14+V14+W14+X14+Y14+Z14+AA14+AB14+AC14+AD14+AE14)*AF5</f>
        <v>25101918.001695998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27357748.148530409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32056727.296083733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52408527.208634831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28403250.347194787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13149098.558220541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16939386.410747513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20728458.232055783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23559178.083252162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53183655.547700711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35868028.991409518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12986502.740000442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12891490.998609558</v>
      </c>
    </row>
    <row r="10" spans="1:44" ht="15" customHeight="1" x14ac:dyDescent="0.25">
      <c r="A10" s="13" t="s">
        <v>25</v>
      </c>
      <c r="B10" s="14">
        <v>24945639</v>
      </c>
      <c r="C10" s="14">
        <v>9942392</v>
      </c>
      <c r="D10" s="15">
        <v>0</v>
      </c>
      <c r="E10" s="14">
        <v>24527356</v>
      </c>
      <c r="F10" s="15">
        <v>0</v>
      </c>
      <c r="G10" s="15">
        <v>0</v>
      </c>
      <c r="H10" s="20">
        <v>1.6824742267999999</v>
      </c>
      <c r="I10" s="14">
        <v>1086104</v>
      </c>
      <c r="J10" s="17">
        <v>1.3830709453000001</v>
      </c>
      <c r="K10" s="14">
        <v>51446777.527999997</v>
      </c>
      <c r="M10" s="22" t="s">
        <v>26</v>
      </c>
      <c r="N10" s="22"/>
      <c r="O10" s="23"/>
      <c r="P10" s="23">
        <f>((B6-B5)*(P5^1/2))</f>
        <v>10741.6638</v>
      </c>
      <c r="Q10" s="23">
        <f>((B7-B6)*(Q5^1/2))</f>
        <v>28195.308000000001</v>
      </c>
      <c r="R10" s="23">
        <f>((B8-B7)*(R5/2))</f>
        <v>5637.36</v>
      </c>
      <c r="S10" s="23">
        <f>((B9-B8)*(S5/2))</f>
        <v>-186421.08179999999</v>
      </c>
      <c r="T10" s="23">
        <f>((B10-B9)*(T5^1/2))</f>
        <v>220338.28245</v>
      </c>
      <c r="U10" s="23">
        <f>((B11-B10)*(U5^1/2))</f>
        <v>154200.13440000001</v>
      </c>
      <c r="V10" s="23">
        <f>((B12-B11)*(V5^1/2))</f>
        <v>335703.94795</v>
      </c>
      <c r="W10" s="23">
        <f>((B13-B12)*(W5/2))</f>
        <v>699472.66949999996</v>
      </c>
      <c r="X10" s="23">
        <f>((B14-B13)*(X5/2))</f>
        <v>490360.85399999999</v>
      </c>
      <c r="Y10" s="23">
        <f>((B15-B14)*(Y5/2))</f>
        <v>469814.02529999998</v>
      </c>
      <c r="Z10" s="23">
        <f>((B16-B15)*(Z5/2))</f>
        <v>294302.96839999995</v>
      </c>
      <c r="AA10" s="23">
        <f>((B17-B16)*(AA5/2))</f>
        <v>364013.58169999998</v>
      </c>
      <c r="AB10" s="23">
        <f>((B18-B17)*(AB5^1/2))</f>
        <v>723079.07250000001</v>
      </c>
      <c r="AC10" s="23">
        <f>((B19-B18)*(AC5^1/2))</f>
        <v>454690.28135</v>
      </c>
      <c r="AD10" s="23">
        <f>((B20-B19)*(AD5/2))</f>
        <v>4352732.2276499998</v>
      </c>
      <c r="AE10" s="23">
        <f>((B21-B20)*(AE5^1/2))</f>
        <v>749895.21750000003</v>
      </c>
      <c r="AF10" s="23">
        <f>((B22-B21)*(AF5^1/2))</f>
        <v>386631.12640000001</v>
      </c>
      <c r="AG10" s="23">
        <f>((B23-B22)*(AG5/2))</f>
        <v>143619.50099999999</v>
      </c>
      <c r="AH10" s="23">
        <f>((B24-B23)*(AH5/2))</f>
        <v>-1252895.17065</v>
      </c>
      <c r="AI10" s="23">
        <f>((B25-B24)*(AI5^1/2))</f>
        <v>-2887141.95</v>
      </c>
      <c r="AJ10" s="23">
        <f>((B26-B25)*(AJ5/2))</f>
        <v>-141556.44999999998</v>
      </c>
      <c r="AK10" s="23">
        <f>((B27-B26)*(AK5/2))</f>
        <v>202886.25</v>
      </c>
      <c r="AL10" s="23">
        <f>((B28-B27)*(AL5^1/2))</f>
        <v>248250</v>
      </c>
      <c r="AM10" s="23">
        <f>((B29-B28)*(AM5/2))</f>
        <v>394709.8</v>
      </c>
      <c r="AN10" s="23">
        <f>((B30-B29)*(AN5/2))</f>
        <v>290839.39999999997</v>
      </c>
      <c r="AO10" s="23">
        <f>((B31-B30)*(AO5/2))</f>
        <v>3969625.6999999997</v>
      </c>
      <c r="AP10" s="23">
        <f>((B32-B31)*(AP5^1/2))</f>
        <v>-9201381.1500000004</v>
      </c>
      <c r="AQ10" s="23">
        <f>((C32-C31)*(AQ5/2))</f>
        <v>-1618039.5</v>
      </c>
      <c r="AR10" s="23">
        <f>((D32-D31)*(AR5^1/2))</f>
        <v>-336095.55000000005</v>
      </c>
    </row>
    <row r="11" spans="1:44" ht="15" customHeight="1" x14ac:dyDescent="0.25">
      <c r="A11" s="13" t="s">
        <v>27</v>
      </c>
      <c r="B11" s="14">
        <v>28966503</v>
      </c>
      <c r="C11" s="14">
        <v>9867038</v>
      </c>
      <c r="D11" s="15">
        <v>0</v>
      </c>
      <c r="E11" s="14">
        <v>27742308</v>
      </c>
      <c r="F11" s="15">
        <v>0</v>
      </c>
      <c r="G11" s="15">
        <v>0</v>
      </c>
      <c r="H11" s="20">
        <v>6.2678603443999998</v>
      </c>
      <c r="I11" s="14">
        <v>1086104</v>
      </c>
      <c r="J11" s="17">
        <v>1.5915094184</v>
      </c>
      <c r="K11" s="14">
        <v>56404006.473999999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4">
        <v>34324906</v>
      </c>
      <c r="C12" s="14">
        <v>8097791</v>
      </c>
      <c r="D12" s="15">
        <v>0</v>
      </c>
      <c r="E12" s="14">
        <v>40786229</v>
      </c>
      <c r="F12" s="15">
        <v>0</v>
      </c>
      <c r="G12" s="15">
        <v>0</v>
      </c>
      <c r="H12" s="20">
        <v>6.0416667540000004</v>
      </c>
      <c r="I12" s="14">
        <v>1086104</v>
      </c>
      <c r="J12" s="17">
        <v>1.6967262576</v>
      </c>
      <c r="K12" s="14">
        <v>54453901.005999997</v>
      </c>
      <c r="M12" s="1" t="s">
        <v>30</v>
      </c>
      <c r="N12" s="1"/>
      <c r="O12" s="1"/>
      <c r="P12" s="4">
        <v>0</v>
      </c>
      <c r="Q12" s="24">
        <f>-($P$7+$P$8)*$N$1</f>
        <v>-48038.119304120002</v>
      </c>
      <c r="R12" s="24">
        <f>-((($P$7+$P$8)*(1+Q5))+($Q$7+$Q$8))*N1</f>
        <v>-81987.446398920132</v>
      </c>
      <c r="S12" s="24">
        <f>-((($P$7+$P$8)*(1+Q5)*(1+R5))+(($Q$7+$Q$8)*(1+R5))+((R7+R8)))*$N$1</f>
        <v>-95185.47406292487</v>
      </c>
      <c r="T12" s="24">
        <f>-((($P$7+$P$8)*(1+R5)*(1+S5)*(1+Q5))+(($Q$7+$Q$8)*(1+S5)*(1+R5))+((R7+R8)*(1+S5))+((S7+S8)))*$N$1</f>
        <v>-184528.64730944784</v>
      </c>
      <c r="U12" s="24">
        <f>-((($P$7+$P$8)*(1+T5)*(1+R5)*(1+S5)*(1+Q5))+(($Q$7+$Q$8)*(1+T5)*(1+S5)*(1+R5))+((R7+R8)*(1+S5)*(1+T5))+((S7+S8)*(1+T5))+(T7+T8))*$N$1</f>
        <v>-263708.32710227929</v>
      </c>
      <c r="V12" s="24">
        <f>-((($P$7+$P$8)*(1+U5)*(1+S5)*(1+T5)*(1+R5)*(1+Q5))+(($Q$7+$Q$8)*(1+U5)*(1+T5)*(1+S5)*(1+R5))+(($R$7+$R$8)*(1+U5)*(1+T5)*(1+S5))+((S7+S8)*(1+T5)*(1+U5))+((T7+T8)*(1+U5))+(U7+U8))*$N$1</f>
        <v>-383951.66826687881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-649442.08379213768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-961494.45889701974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-1314961.0318619816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-1662732.399695755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-1874139.0629842675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-2257298.7454641871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-2894995.4719364936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-3489259.5298924511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-4577688.1359538883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-6159904.451584545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-7592395.0699325511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-9684562.4851866886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-11952420.490148922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-14328094.569218863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-15816866.254609756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-16608214.997140499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-18577737.253751718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-21069636.379203949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-22686623.908015348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-26474822.052309629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-28266998.704227738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-27791243.833763752</v>
      </c>
    </row>
    <row r="13" spans="1:44" ht="15" customHeight="1" x14ac:dyDescent="0.25">
      <c r="A13" s="13" t="s">
        <v>31</v>
      </c>
      <c r="B13" s="14">
        <v>49367329</v>
      </c>
      <c r="C13" s="14">
        <v>17794669</v>
      </c>
      <c r="D13" s="15">
        <v>0</v>
      </c>
      <c r="E13" s="14">
        <v>64778774</v>
      </c>
      <c r="F13" s="15">
        <v>0</v>
      </c>
      <c r="G13" s="15">
        <v>0</v>
      </c>
      <c r="H13" s="20">
        <v>5.4934601665000002</v>
      </c>
      <c r="I13" s="14">
        <v>1096538</v>
      </c>
      <c r="J13" s="17">
        <v>2.9079277264000001</v>
      </c>
      <c r="K13" s="14">
        <v>88658596.799999997</v>
      </c>
      <c r="M13" t="s">
        <v>32</v>
      </c>
      <c r="P13">
        <v>0</v>
      </c>
      <c r="Q13" s="24">
        <f t="shared" ref="Q13:AR13" si="0">Q12*Q5</f>
        <v>-2507.5898276750645</v>
      </c>
      <c r="R13" s="24">
        <f t="shared" si="0"/>
        <v>-1360.9916102220743</v>
      </c>
      <c r="S13" s="24">
        <f t="shared" si="0"/>
        <v>-8509.5813812254819</v>
      </c>
      <c r="T13" s="24">
        <f t="shared" si="0"/>
        <v>-11016.360244374036</v>
      </c>
      <c r="U13" s="24">
        <f t="shared" si="0"/>
        <v>-20226.428688744822</v>
      </c>
      <c r="V13" s="24">
        <f t="shared" si="0"/>
        <v>-48109.144033839912</v>
      </c>
      <c r="W13" s="24">
        <f t="shared" si="0"/>
        <v>-60398.113792668802</v>
      </c>
      <c r="X13" s="24">
        <f t="shared" si="0"/>
        <v>-73073.578876173502</v>
      </c>
      <c r="Y13" s="24">
        <f t="shared" si="0"/>
        <v>-74821.282712946748</v>
      </c>
      <c r="Z13" s="24">
        <f t="shared" si="0"/>
        <v>-52209.797350446701</v>
      </c>
      <c r="AA13" s="24">
        <f t="shared" si="0"/>
        <v>-83586.602209098332</v>
      </c>
      <c r="AB13" s="24">
        <f t="shared" si="0"/>
        <v>-133180.62598238702</v>
      </c>
      <c r="AC13" s="24">
        <f t="shared" si="0"/>
        <v>-124774.30484046288</v>
      </c>
      <c r="AD13" s="24">
        <f t="shared" si="0"/>
        <v>-206215.23821664386</v>
      </c>
      <c r="AE13" s="24">
        <f t="shared" si="0"/>
        <v>-297549.72883700277</v>
      </c>
      <c r="AF13" s="24">
        <f t="shared" si="0"/>
        <v>-359738.41997253743</v>
      </c>
      <c r="AG13" s="24">
        <f t="shared" si="0"/>
        <v>-448710.54863301379</v>
      </c>
      <c r="AH13" s="24">
        <f t="shared" si="0"/>
        <v>-620780.45530046674</v>
      </c>
      <c r="AI13" s="24">
        <f t="shared" si="0"/>
        <v>-1275323.2662988901</v>
      </c>
      <c r="AJ13" s="24">
        <f t="shared" si="0"/>
        <v>-901237.14840386645</v>
      </c>
      <c r="AK13" s="24">
        <f t="shared" si="0"/>
        <v>-466597.55451098777</v>
      </c>
      <c r="AL13" s="24">
        <f t="shared" si="0"/>
        <v>-622808.06239276868</v>
      </c>
      <c r="AM13" s="24">
        <f t="shared" si="0"/>
        <v>-800700.475636699</v>
      </c>
      <c r="AN13" s="24">
        <f t="shared" si="0"/>
        <v>-952347.56434001843</v>
      </c>
      <c r="AO13" s="24">
        <f t="shared" si="0"/>
        <v>-2282274.3651463441</v>
      </c>
      <c r="AP13" s="24">
        <f t="shared" si="0"/>
        <v>-1532892.1968287276</v>
      </c>
      <c r="AQ13" s="24">
        <f t="shared" si="0"/>
        <v>-1305935.3401353215</v>
      </c>
      <c r="AR13" s="24">
        <f t="shared" si="0"/>
        <v>-1342317.0771707892</v>
      </c>
    </row>
    <row r="14" spans="1:44" ht="15" customHeight="1" x14ac:dyDescent="0.25">
      <c r="A14" s="13" t="s">
        <v>33</v>
      </c>
      <c r="B14" s="14">
        <v>62271562</v>
      </c>
      <c r="C14" s="14">
        <v>17860754</v>
      </c>
      <c r="D14" s="15">
        <v>0</v>
      </c>
      <c r="E14" s="14">
        <v>76745317</v>
      </c>
      <c r="F14" s="15">
        <v>0</v>
      </c>
      <c r="G14" s="15">
        <v>0</v>
      </c>
      <c r="H14" s="20">
        <v>4.9107981221000001</v>
      </c>
      <c r="I14" s="14">
        <v>1096538</v>
      </c>
      <c r="J14" s="17">
        <v>3.8857870836999999</v>
      </c>
      <c r="K14" s="14">
        <v>112458137.5</v>
      </c>
      <c r="M14" s="39" t="s">
        <v>34</v>
      </c>
      <c r="N14" s="39"/>
      <c r="O14" s="40"/>
      <c r="P14" s="40">
        <f t="shared" ref="P14:AR14" si="1">(P7+P8)-(P9+P10)+P12+P13</f>
        <v>-718583.5662</v>
      </c>
      <c r="Q14" s="40">
        <f t="shared" si="1"/>
        <v>-410530.40283179504</v>
      </c>
      <c r="R14" s="40">
        <f t="shared" si="1"/>
        <v>-179247.22383755434</v>
      </c>
      <c r="S14" s="40">
        <f t="shared" si="1"/>
        <v>-62878.22068975016</v>
      </c>
      <c r="T14" s="40">
        <f t="shared" si="1"/>
        <v>-28018.437459491644</v>
      </c>
      <c r="U14" s="40">
        <f t="shared" si="1"/>
        <v>-313702.39317336894</v>
      </c>
      <c r="V14" s="40">
        <f t="shared" si="1"/>
        <v>-14106.001669697798</v>
      </c>
      <c r="W14" s="40">
        <f t="shared" si="1"/>
        <v>414112.58379064361</v>
      </c>
      <c r="X14" s="40">
        <f t="shared" si="1"/>
        <v>242351.28038878049</v>
      </c>
      <c r="Y14" s="40">
        <f t="shared" si="1"/>
        <v>-55336.514751733615</v>
      </c>
      <c r="Z14" s="40">
        <f t="shared" si="1"/>
        <v>-1488462.9828418656</v>
      </c>
      <c r="AA14" s="40">
        <f t="shared" si="1"/>
        <v>-711305.65386901132</v>
      </c>
      <c r="AB14" s="40">
        <f t="shared" si="1"/>
        <v>393950.7097872179</v>
      </c>
      <c r="AC14" s="40">
        <f t="shared" si="1"/>
        <v>80149.001338770482</v>
      </c>
      <c r="AD14" s="40">
        <f t="shared" si="1"/>
        <v>934092.28115374525</v>
      </c>
      <c r="AE14" s="40">
        <f t="shared" si="1"/>
        <v>1234956.7196469188</v>
      </c>
      <c r="AF14" s="40">
        <f t="shared" si="1"/>
        <v>-5650644.1280199355</v>
      </c>
      <c r="AG14" s="40">
        <f t="shared" si="1"/>
        <v>4837302.3245606776</v>
      </c>
      <c r="AH14" s="40">
        <f t="shared" si="1"/>
        <v>-640439.20199544507</v>
      </c>
      <c r="AI14" s="40">
        <f t="shared" si="1"/>
        <v>-35018826.499539874</v>
      </c>
      <c r="AJ14" s="40">
        <f t="shared" si="1"/>
        <v>-29590548.080684409</v>
      </c>
      <c r="AK14" s="40">
        <f t="shared" si="1"/>
        <v>-21122168.370904282</v>
      </c>
      <c r="AL14" s="40">
        <f t="shared" si="1"/>
        <v>-1205901.2838334918</v>
      </c>
      <c r="AM14" s="40">
        <f t="shared" si="1"/>
        <v>842879.94201509957</v>
      </c>
      <c r="AN14" s="40">
        <f t="shared" si="1"/>
        <v>-29275203.468907885</v>
      </c>
      <c r="AO14" s="40">
        <f t="shared" si="1"/>
        <v>-45254483.316131659</v>
      </c>
      <c r="AP14" s="40">
        <f t="shared" si="1"/>
        <v>-47218880.941132039</v>
      </c>
      <c r="AQ14" s="40">
        <f t="shared" si="1"/>
        <v>-34648020.59987244</v>
      </c>
      <c r="AR14" s="40">
        <f t="shared" si="1"/>
        <v>-24670695.579772342</v>
      </c>
    </row>
    <row r="15" spans="1:44" ht="15" customHeight="1" x14ac:dyDescent="0.25">
      <c r="A15" s="13" t="s">
        <v>35</v>
      </c>
      <c r="B15" s="14">
        <v>78785236</v>
      </c>
      <c r="C15" s="14">
        <v>23724723</v>
      </c>
      <c r="D15" s="15">
        <v>0</v>
      </c>
      <c r="E15" s="14">
        <v>105429354</v>
      </c>
      <c r="F15" s="15">
        <v>0</v>
      </c>
      <c r="G15" s="14">
        <v>-5151844</v>
      </c>
      <c r="H15" s="20">
        <v>2.2476102940999998</v>
      </c>
      <c r="I15" s="14">
        <v>4386152</v>
      </c>
      <c r="J15" s="17">
        <v>6.2168283871999996</v>
      </c>
      <c r="K15" s="14">
        <v>171390636.58000001</v>
      </c>
    </row>
    <row r="16" spans="1:44" ht="15" customHeight="1" x14ac:dyDescent="0.25">
      <c r="A16" s="13" t="s">
        <v>36</v>
      </c>
      <c r="B16" s="14">
        <v>97530648</v>
      </c>
      <c r="C16" s="14">
        <v>25918920</v>
      </c>
      <c r="D16" s="15">
        <v>0</v>
      </c>
      <c r="E16" s="14">
        <v>115340798</v>
      </c>
      <c r="F16" s="15">
        <v>0</v>
      </c>
      <c r="G16" s="14">
        <v>-6751304</v>
      </c>
      <c r="H16" s="20">
        <v>3.9317172464999999</v>
      </c>
      <c r="I16" s="14">
        <v>4387038</v>
      </c>
      <c r="J16" s="17">
        <v>8.5931067071000005</v>
      </c>
      <c r="K16" s="14">
        <v>228397326.36000001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113854127</v>
      </c>
      <c r="C17" s="14">
        <v>21511789</v>
      </c>
      <c r="D17" s="15">
        <v>0</v>
      </c>
      <c r="E17" s="14">
        <v>139940726</v>
      </c>
      <c r="F17" s="15">
        <v>0</v>
      </c>
      <c r="G17" s="14">
        <v>-7474355</v>
      </c>
      <c r="H17" s="20">
        <v>1.7243809524</v>
      </c>
      <c r="I17" s="14">
        <v>4387038</v>
      </c>
      <c r="J17" s="17">
        <v>17.089573244</v>
      </c>
      <c r="K17" s="14">
        <v>429922947.60000002</v>
      </c>
      <c r="L17" s="41" t="str">
        <f>+L19</f>
        <v>Petrobras ON</v>
      </c>
      <c r="M17" s="2" t="s">
        <v>38</v>
      </c>
      <c r="N17" s="2"/>
      <c r="O17" s="28"/>
      <c r="P17" s="42">
        <f>+C6</f>
        <v>668609</v>
      </c>
      <c r="Q17" s="42">
        <f>C7</f>
        <v>1510983</v>
      </c>
      <c r="R17" s="42">
        <f>C8</f>
        <v>1388629</v>
      </c>
      <c r="S17" s="42">
        <f>C9</f>
        <v>1756652</v>
      </c>
      <c r="T17" s="42">
        <f>C10</f>
        <v>9942392</v>
      </c>
      <c r="U17" s="42">
        <f>C11</f>
        <v>9867038</v>
      </c>
      <c r="V17" s="42">
        <f>C12</f>
        <v>8097791</v>
      </c>
      <c r="W17" s="42">
        <f>C13</f>
        <v>17794669</v>
      </c>
      <c r="X17" s="42">
        <f>C14</f>
        <v>17860754</v>
      </c>
      <c r="Y17" s="42">
        <f>C15</f>
        <v>23724723</v>
      </c>
      <c r="Z17" s="42">
        <f>C16</f>
        <v>25918920</v>
      </c>
      <c r="AA17" s="42">
        <f>C17</f>
        <v>21511789</v>
      </c>
      <c r="AB17" s="42">
        <f>C18</f>
        <v>32987792</v>
      </c>
      <c r="AC17" s="42">
        <f>C19</f>
        <v>28981708</v>
      </c>
      <c r="AD17" s="42">
        <f>C20</f>
        <v>35189366</v>
      </c>
      <c r="AE17" s="42">
        <f>C21</f>
        <v>33313097</v>
      </c>
      <c r="AF17" s="42">
        <f>C22</f>
        <v>21182442</v>
      </c>
      <c r="AG17" s="42">
        <f>C23</f>
        <v>23570367</v>
      </c>
      <c r="AH17" s="42">
        <f>C24</f>
        <v>-21587000</v>
      </c>
      <c r="AI17" s="42">
        <f>C25</f>
        <v>-34836000</v>
      </c>
      <c r="AJ17" s="42">
        <f>C26</f>
        <v>-14824000</v>
      </c>
      <c r="AK17" s="42">
        <f>C27</f>
        <v>-446000</v>
      </c>
      <c r="AL17" s="42">
        <f>C28</f>
        <v>25779000</v>
      </c>
      <c r="AM17" s="42">
        <f>C29</f>
        <v>40137000</v>
      </c>
      <c r="AN17" s="42">
        <f>C30</f>
        <v>7108000</v>
      </c>
      <c r="AO17" s="42">
        <f>C31</f>
        <v>106668000</v>
      </c>
      <c r="AP17" s="42">
        <f>C32</f>
        <v>36623000</v>
      </c>
      <c r="AQ17" s="42">
        <f>D32</f>
        <v>2962000</v>
      </c>
      <c r="AR17" s="42">
        <f>E32</f>
        <v>130169000</v>
      </c>
    </row>
    <row r="18" spans="1:44" ht="15" customHeight="1" x14ac:dyDescent="0.25">
      <c r="A18" s="13" t="s">
        <v>39</v>
      </c>
      <c r="B18" s="14">
        <v>138365282</v>
      </c>
      <c r="C18" s="14">
        <v>32987792</v>
      </c>
      <c r="D18" s="15">
        <v>0</v>
      </c>
      <c r="E18" s="14">
        <v>190754167</v>
      </c>
      <c r="F18" s="15">
        <v>0</v>
      </c>
      <c r="G18" s="14">
        <v>-6212568</v>
      </c>
      <c r="H18" s="20">
        <v>3.8308475809</v>
      </c>
      <c r="I18" s="14">
        <v>8774076</v>
      </c>
      <c r="J18" s="17">
        <v>9.2719962571999996</v>
      </c>
      <c r="K18" s="14">
        <v>223990959.38999999</v>
      </c>
      <c r="L18" s="43" t="str">
        <f>+L19</f>
        <v>Petrobras ON</v>
      </c>
      <c r="M18" s="18" t="s">
        <v>40</v>
      </c>
      <c r="N18" s="18"/>
      <c r="O18" s="25"/>
      <c r="P18" s="44">
        <f t="shared" ref="P18:AR18" si="2">P14+P17</f>
        <v>-49974.566200000001</v>
      </c>
      <c r="Q18" s="44">
        <f t="shared" si="2"/>
        <v>1100452.5971682048</v>
      </c>
      <c r="R18" s="44">
        <f t="shared" si="2"/>
        <v>1209381.7761624455</v>
      </c>
      <c r="S18" s="44">
        <f t="shared" si="2"/>
        <v>1693773.7793102497</v>
      </c>
      <c r="T18" s="44">
        <f t="shared" si="2"/>
        <v>9914373.5625405088</v>
      </c>
      <c r="U18" s="44">
        <f t="shared" si="2"/>
        <v>9553335.6068266314</v>
      </c>
      <c r="V18" s="44">
        <f t="shared" si="2"/>
        <v>8083684.9983303025</v>
      </c>
      <c r="W18" s="44">
        <f t="shared" si="2"/>
        <v>18208781.583790645</v>
      </c>
      <c r="X18" s="44">
        <f t="shared" si="2"/>
        <v>18103105.28038878</v>
      </c>
      <c r="Y18" s="44">
        <f t="shared" si="2"/>
        <v>23669386.485248268</v>
      </c>
      <c r="Z18" s="44">
        <f t="shared" si="2"/>
        <v>24430457.017158136</v>
      </c>
      <c r="AA18" s="44">
        <f t="shared" si="2"/>
        <v>20800483.346130989</v>
      </c>
      <c r="AB18" s="44">
        <f t="shared" si="2"/>
        <v>33381742.70978722</v>
      </c>
      <c r="AC18" s="44">
        <f t="shared" si="2"/>
        <v>29061857.001338769</v>
      </c>
      <c r="AD18" s="44">
        <f t="shared" si="2"/>
        <v>36123458.281153746</v>
      </c>
      <c r="AE18" s="44">
        <f t="shared" si="2"/>
        <v>34548053.719646916</v>
      </c>
      <c r="AF18" s="44">
        <f t="shared" si="2"/>
        <v>15531797.871980064</v>
      </c>
      <c r="AG18" s="44">
        <f t="shared" si="2"/>
        <v>28407669.324560679</v>
      </c>
      <c r="AH18" s="44">
        <f t="shared" si="2"/>
        <v>-22227439.201995444</v>
      </c>
      <c r="AI18" s="44">
        <f t="shared" si="2"/>
        <v>-69854826.499539882</v>
      </c>
      <c r="AJ18" s="44">
        <f t="shared" si="2"/>
        <v>-44414548.080684409</v>
      </c>
      <c r="AK18" s="44">
        <f t="shared" si="2"/>
        <v>-21568168.370904282</v>
      </c>
      <c r="AL18" s="44">
        <f t="shared" si="2"/>
        <v>24573098.716166507</v>
      </c>
      <c r="AM18" s="44">
        <f t="shared" si="2"/>
        <v>40979879.942015097</v>
      </c>
      <c r="AN18" s="44">
        <f t="shared" si="2"/>
        <v>-22167203.468907885</v>
      </c>
      <c r="AO18" s="44">
        <f t="shared" si="2"/>
        <v>61413516.683868341</v>
      </c>
      <c r="AP18" s="44">
        <f t="shared" si="2"/>
        <v>-10595880.941132039</v>
      </c>
      <c r="AQ18" s="44">
        <f t="shared" si="2"/>
        <v>-31686020.59987244</v>
      </c>
      <c r="AR18" s="44">
        <f t="shared" si="2"/>
        <v>105498304.42022766</v>
      </c>
    </row>
    <row r="19" spans="1:44" ht="15" customHeight="1" x14ac:dyDescent="0.25">
      <c r="A19" s="13" t="s">
        <v>41</v>
      </c>
      <c r="B19" s="14">
        <v>159464599</v>
      </c>
      <c r="C19" s="14">
        <v>28981708</v>
      </c>
      <c r="D19" s="15">
        <v>0</v>
      </c>
      <c r="E19" s="14">
        <v>230230518</v>
      </c>
      <c r="F19" s="15">
        <v>0</v>
      </c>
      <c r="G19" s="14">
        <v>-15439711</v>
      </c>
      <c r="H19" s="20">
        <v>2.4979591836999999</v>
      </c>
      <c r="I19" s="14">
        <v>8774076</v>
      </c>
      <c r="J19" s="17">
        <v>14.429531518999999</v>
      </c>
      <c r="K19" s="14">
        <v>347084649.56</v>
      </c>
      <c r="L19" s="18" t="str">
        <f>+A1</f>
        <v>Petrobras ON</v>
      </c>
      <c r="M19" s="18" t="s">
        <v>42</v>
      </c>
      <c r="N19" s="18"/>
      <c r="O19" s="31"/>
      <c r="P19" s="45">
        <f t="shared" ref="P19:AR19" si="3">P18/P17</f>
        <v>-7.4744082415881333E-2</v>
      </c>
      <c r="Q19" s="45">
        <f t="shared" si="3"/>
        <v>0.72830243435445985</v>
      </c>
      <c r="R19" s="45">
        <f t="shared" si="3"/>
        <v>0.87091784498411418</v>
      </c>
      <c r="S19" s="45">
        <f t="shared" si="3"/>
        <v>0.96420564762414507</v>
      </c>
      <c r="T19" s="45">
        <f t="shared" si="3"/>
        <v>0.99718192186955701</v>
      </c>
      <c r="U19" s="45">
        <f t="shared" si="3"/>
        <v>0.96820703506225791</v>
      </c>
      <c r="V19" s="45">
        <f t="shared" si="3"/>
        <v>0.99825804325282075</v>
      </c>
      <c r="W19" s="45">
        <f t="shared" si="3"/>
        <v>1.0232717216482445</v>
      </c>
      <c r="X19" s="45">
        <f t="shared" si="3"/>
        <v>1.0135689277389286</v>
      </c>
      <c r="Y19" s="45">
        <f t="shared" si="3"/>
        <v>0.99766755907954197</v>
      </c>
      <c r="Z19" s="45">
        <f t="shared" si="3"/>
        <v>0.9425723377809776</v>
      </c>
      <c r="AA19" s="45">
        <f t="shared" si="3"/>
        <v>0.96693414695221258</v>
      </c>
      <c r="AB19" s="45">
        <f t="shared" si="3"/>
        <v>1.0119423182305509</v>
      </c>
      <c r="AC19" s="45">
        <f t="shared" si="3"/>
        <v>1.002765503031732</v>
      </c>
      <c r="AD19" s="45">
        <f t="shared" si="3"/>
        <v>1.0265447317565695</v>
      </c>
      <c r="AE19" s="45">
        <f t="shared" si="3"/>
        <v>1.0370712071485553</v>
      </c>
      <c r="AF19" s="45">
        <f t="shared" si="3"/>
        <v>0.73323924937361162</v>
      </c>
      <c r="AG19" s="45">
        <f t="shared" si="3"/>
        <v>1.2052281292251699</v>
      </c>
      <c r="AH19" s="45">
        <f t="shared" si="3"/>
        <v>1.0296678186869617</v>
      </c>
      <c r="AI19" s="45">
        <f t="shared" si="3"/>
        <v>2.0052482058657675</v>
      </c>
      <c r="AJ19" s="45">
        <f t="shared" si="3"/>
        <v>2.9961243983192398</v>
      </c>
      <c r="AK19" s="45">
        <f t="shared" si="3"/>
        <v>48.359121907857137</v>
      </c>
      <c r="AL19" s="45">
        <f t="shared" si="3"/>
        <v>0.95322156469089214</v>
      </c>
      <c r="AM19" s="45">
        <f t="shared" si="3"/>
        <v>1.0210000732993272</v>
      </c>
      <c r="AN19" s="45">
        <f t="shared" si="3"/>
        <v>-3.118627387297114</v>
      </c>
      <c r="AO19" s="45">
        <f t="shared" si="3"/>
        <v>0.57574452210473936</v>
      </c>
      <c r="AP19" s="45">
        <f t="shared" si="3"/>
        <v>-0.28932312866592136</v>
      </c>
      <c r="AQ19" s="45">
        <f t="shared" si="3"/>
        <v>-10.697508642765847</v>
      </c>
      <c r="AR19" s="45">
        <f t="shared" si="3"/>
        <v>0.81047180527028451</v>
      </c>
    </row>
    <row r="20" spans="1:44" ht="15" customHeight="1" x14ac:dyDescent="0.25">
      <c r="A20" s="13" t="s">
        <v>43</v>
      </c>
      <c r="B20" s="14">
        <v>306765182</v>
      </c>
      <c r="C20" s="14">
        <v>35189366</v>
      </c>
      <c r="D20" s="14">
        <v>83098192</v>
      </c>
      <c r="E20" s="14">
        <v>282837532</v>
      </c>
      <c r="F20" s="14">
        <v>8879163</v>
      </c>
      <c r="G20" s="14">
        <v>-9414932</v>
      </c>
      <c r="H20" s="20">
        <v>3.251391162</v>
      </c>
      <c r="I20" s="14">
        <v>13044497</v>
      </c>
      <c r="J20" s="17">
        <v>10.919295234</v>
      </c>
      <c r="K20" s="14">
        <v>380246723.17000002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329838881</v>
      </c>
      <c r="C21" s="14">
        <v>33313097</v>
      </c>
      <c r="D21" s="14">
        <v>82283984</v>
      </c>
      <c r="E21" s="14">
        <v>342266918</v>
      </c>
      <c r="F21" s="14">
        <v>12248080</v>
      </c>
      <c r="G21" s="14">
        <v>-10658915</v>
      </c>
      <c r="H21" s="20">
        <v>3.8126956522</v>
      </c>
      <c r="I21" s="14">
        <v>13044497</v>
      </c>
      <c r="J21" s="17">
        <v>8.4941588613000008</v>
      </c>
      <c r="K21" s="14">
        <v>291564346.06999999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343079673</v>
      </c>
      <c r="C22" s="14">
        <v>21182442</v>
      </c>
      <c r="D22" s="14">
        <v>81206756</v>
      </c>
      <c r="E22" s="14">
        <v>418715641</v>
      </c>
      <c r="F22" s="14">
        <v>12476892</v>
      </c>
      <c r="G22" s="14">
        <v>-6186513</v>
      </c>
      <c r="H22" s="20">
        <v>2.6735038363000001</v>
      </c>
      <c r="I22" s="14">
        <v>13044497</v>
      </c>
      <c r="J22" s="17">
        <v>7.3908395210000002</v>
      </c>
      <c r="K22" s="14">
        <v>254851855.06</v>
      </c>
      <c r="L22" s="47" t="str">
        <f>+L24</f>
        <v>Petrobras ON</v>
      </c>
      <c r="M22" s="39" t="s">
        <v>46</v>
      </c>
      <c r="N22" s="32"/>
      <c r="O22" s="32"/>
      <c r="P22" s="30">
        <v>19975136</v>
      </c>
      <c r="Q22" s="30">
        <v>21055416</v>
      </c>
      <c r="R22" s="30">
        <v>21734616</v>
      </c>
      <c r="S22" s="30">
        <v>10502002</v>
      </c>
      <c r="T22" s="30">
        <v>10565590</v>
      </c>
      <c r="U22" s="30">
        <v>28966503</v>
      </c>
      <c r="V22" s="30">
        <v>34324906</v>
      </c>
      <c r="W22" s="30">
        <v>49367329</v>
      </c>
      <c r="X22" s="30">
        <v>62271562</v>
      </c>
      <c r="Y22" s="30">
        <v>78785236</v>
      </c>
      <c r="Z22" s="30">
        <v>97530648</v>
      </c>
      <c r="AA22" s="30">
        <v>113854127</v>
      </c>
      <c r="AB22" s="30">
        <v>138365282</v>
      </c>
      <c r="AC22" s="30">
        <v>159464599</v>
      </c>
      <c r="AD22" s="30">
        <v>306765182</v>
      </c>
      <c r="AE22" s="30">
        <v>329838881</v>
      </c>
      <c r="AF22" s="30">
        <v>343079673</v>
      </c>
      <c r="AG22" s="30">
        <v>347939893</v>
      </c>
      <c r="AH22" s="30">
        <v>308848000</v>
      </c>
      <c r="AI22" s="30">
        <v>254731000</v>
      </c>
      <c r="AJ22" s="30">
        <v>250230000</v>
      </c>
      <c r="AK22" s="30">
        <v>263985000</v>
      </c>
      <c r="AL22" s="30">
        <v>277225000</v>
      </c>
      <c r="AM22" s="30">
        <v>295541000</v>
      </c>
      <c r="AN22" s="30">
        <v>308410000</v>
      </c>
      <c r="AO22" s="30">
        <v>387329000</v>
      </c>
      <c r="AP22" s="30">
        <v>362594000</v>
      </c>
      <c r="AQ22" s="30">
        <v>362594000</v>
      </c>
      <c r="AR22" s="30">
        <v>362594000</v>
      </c>
    </row>
    <row r="23" spans="1:44" ht="15" customHeight="1" x14ac:dyDescent="0.25">
      <c r="A23" s="13" t="s">
        <v>47</v>
      </c>
      <c r="B23" s="14">
        <v>347939893</v>
      </c>
      <c r="C23" s="14">
        <v>23570367</v>
      </c>
      <c r="D23" s="14">
        <v>36121197</v>
      </c>
      <c r="E23" s="14">
        <v>533880314</v>
      </c>
      <c r="F23" s="14">
        <v>15615384</v>
      </c>
      <c r="G23" s="14">
        <v>-5776430</v>
      </c>
      <c r="H23" s="20">
        <v>1.7265040650000001</v>
      </c>
      <c r="I23" s="14">
        <v>13044497</v>
      </c>
      <c r="J23" s="17">
        <v>6.1333613387000003</v>
      </c>
      <c r="K23" s="14">
        <v>214687733.90000001</v>
      </c>
      <c r="L23" s="47" t="str">
        <f>+L25</f>
        <v>Petrobras ON</v>
      </c>
      <c r="M23" s="39" t="s">
        <v>48</v>
      </c>
      <c r="N23" s="32"/>
      <c r="O23" s="32"/>
      <c r="P23" s="30">
        <f>P22+P9+P10+P14</f>
        <v>21155433.771600001</v>
      </c>
      <c r="Q23" s="33">
        <f>Q22+Q9+Q10+Q14+((P9+P10+P14)*(1+Q5))</f>
        <v>23019303.863323241</v>
      </c>
      <c r="R23" s="33">
        <f>R22+R9+R10+R14+((Q9+Q10+Q14)*(1+R5))+(((P9+P10+P14)*(1+R5)*(1+Q5)))</f>
        <v>23938592.230522975</v>
      </c>
      <c r="S23" s="33">
        <f>S22+S9+S10+S14+((R9+R10+R14)*(1+S5))+(((Q9+Q10+Q14)*(1+S5)*(1+R5)))+(((P9+P10+P14)*(1+S5)*(1+R5)*(1+Q5)))</f>
        <v>14785401.988301275</v>
      </c>
      <c r="T23" s="33">
        <f>T22+T9+T10+T14+((S9+S10+S14)*(1+T5))+(((R9+R10+R14)*(1+T5)*(1+S5)))+(((Q9+Q10+Q14)*(1+T5)*(1+S5)*(1+R5)))+(((P9+P10+P14)*(1+T5)*(1+S5)*(1+R5)*(1+Q5)))</f>
        <v>16583938.396129075</v>
      </c>
      <c r="U23" s="33">
        <f>U22+U9+U10+U14+((T9+T10+T14)*(1+U5))+((S9+S10+S14)*(1+U5)*(1+T5))+((R9+R10+R14)*(1+U5)*(1+T5)*(1+S5))+((Q9+Q10+Q14)*(1+U5)*(1+T5)*(1+S5)*(1+R5))+((P9+P10+P14)*(1+U5)*(1+T5)*(1+S5)*(1+R5)*(1+Q5))</f>
        <v>37619941.959270902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48971623.230174161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70849502.118588015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91241074.991851792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114719722.26432224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136790005.84354496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160267244.48094568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197522267.02588525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229686855.07314643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399118102.76291084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454883793.34951884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495265113.23080695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541458162.72253859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544934183.7351917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530510138.29883176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542026791.91433847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556619613.71312761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596815146.85428429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650871530.15777445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674376284.13525045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802010290.25082541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780733103.85662603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776771573.09492993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784661049.74425232</v>
      </c>
    </row>
    <row r="24" spans="1:44" ht="15" customHeight="1" x14ac:dyDescent="0.25">
      <c r="A24" s="13" t="s">
        <v>49</v>
      </c>
      <c r="B24" s="14">
        <v>308848000</v>
      </c>
      <c r="C24" s="14">
        <v>-21587000</v>
      </c>
      <c r="D24" s="14">
        <v>11976000</v>
      </c>
      <c r="E24" s="14">
        <v>580990000</v>
      </c>
      <c r="F24" s="14">
        <v>15282000</v>
      </c>
      <c r="G24" s="14">
        <v>-8735000</v>
      </c>
      <c r="H24" s="20">
        <v>5.5755995828999998</v>
      </c>
      <c r="I24" s="14">
        <v>13044497</v>
      </c>
      <c r="J24" s="17">
        <v>3.8085218812999999</v>
      </c>
      <c r="K24" s="14">
        <v>127505604.72</v>
      </c>
      <c r="L24" s="47" t="str">
        <f>+L25</f>
        <v>Petrobras ON</v>
      </c>
      <c r="M24" s="39" t="s">
        <v>50</v>
      </c>
      <c r="N24" s="32"/>
      <c r="O24" s="32"/>
      <c r="P24" s="30">
        <v>15406640.593</v>
      </c>
      <c r="Q24" s="30">
        <v>23527637.241999999</v>
      </c>
      <c r="R24" s="30">
        <v>10884364.799000001</v>
      </c>
      <c r="S24" s="30">
        <v>17428087.655999999</v>
      </c>
      <c r="T24" s="30">
        <v>16748049.408</v>
      </c>
      <c r="U24" s="30">
        <v>56404006.473999999</v>
      </c>
      <c r="V24" s="30">
        <v>54453901.005999997</v>
      </c>
      <c r="W24" s="30">
        <v>88658596.799999997</v>
      </c>
      <c r="X24" s="30">
        <v>112458137.5</v>
      </c>
      <c r="Y24" s="30">
        <v>171390636.58000001</v>
      </c>
      <c r="Z24" s="30">
        <v>228397326.36000001</v>
      </c>
      <c r="AA24" s="30">
        <v>429922947.60000002</v>
      </c>
      <c r="AB24" s="30">
        <v>223990959.38999999</v>
      </c>
      <c r="AC24" s="30">
        <v>347084649.56</v>
      </c>
      <c r="AD24" s="30">
        <v>380246723.17000002</v>
      </c>
      <c r="AE24" s="30">
        <v>291564346.06999999</v>
      </c>
      <c r="AF24" s="30">
        <v>254851855.06</v>
      </c>
      <c r="AG24" s="30">
        <v>214687733.90000001</v>
      </c>
      <c r="AH24" s="30">
        <v>127505604.72</v>
      </c>
      <c r="AI24" s="30">
        <v>101315518.88</v>
      </c>
      <c r="AJ24" s="30">
        <v>209377550.16999999</v>
      </c>
      <c r="AK24" s="30">
        <v>216044789.44</v>
      </c>
      <c r="AL24" s="30">
        <v>316085347</v>
      </c>
      <c r="AM24" s="30">
        <v>407218846.60000002</v>
      </c>
      <c r="AN24" s="30">
        <v>373468194.14999998</v>
      </c>
      <c r="AO24" s="30">
        <v>387852546.49000001</v>
      </c>
      <c r="AP24" s="30">
        <v>345928429.99000001</v>
      </c>
      <c r="AQ24" s="30">
        <f>+K33</f>
        <v>381384934.58745301</v>
      </c>
      <c r="AR24" s="30">
        <f>+K34</f>
        <v>456485261.93771899</v>
      </c>
    </row>
    <row r="25" spans="1:44" ht="15" customHeight="1" x14ac:dyDescent="0.25">
      <c r="A25" s="13" t="s">
        <v>51</v>
      </c>
      <c r="B25" s="14">
        <v>254731000</v>
      </c>
      <c r="C25" s="14">
        <v>-34836000</v>
      </c>
      <c r="D25" s="14">
        <v>12072000</v>
      </c>
      <c r="E25" s="14">
        <v>629831000</v>
      </c>
      <c r="F25" s="14">
        <v>13772000</v>
      </c>
      <c r="G25" s="14">
        <v>0</v>
      </c>
      <c r="H25" s="20">
        <v>0</v>
      </c>
      <c r="I25" s="14">
        <v>13044497</v>
      </c>
      <c r="J25" s="17">
        <v>3.4034444758000002</v>
      </c>
      <c r="K25" s="14">
        <v>101315518.88</v>
      </c>
      <c r="L25" s="39" t="str">
        <f>+A1</f>
        <v>Petrobras ON</v>
      </c>
      <c r="M25" s="39" t="s">
        <v>52</v>
      </c>
      <c r="N25" s="18"/>
      <c r="O25" s="18"/>
      <c r="P25" s="31">
        <f t="shared" ref="P25:AR25" si="4">P24/P23</f>
        <v>0.7282592623405606</v>
      </c>
      <c r="Q25" s="31">
        <f t="shared" si="4"/>
        <v>1.0220829170897165</v>
      </c>
      <c r="R25" s="31">
        <f t="shared" si="4"/>
        <v>0.45467856648319771</v>
      </c>
      <c r="S25" s="31">
        <f t="shared" si="4"/>
        <v>1.17873613918578</v>
      </c>
      <c r="T25" s="31">
        <f t="shared" si="4"/>
        <v>1.0098957803599433</v>
      </c>
      <c r="U25" s="31">
        <f t="shared" si="4"/>
        <v>1.4993113635067699</v>
      </c>
      <c r="V25" s="31">
        <f t="shared" si="4"/>
        <v>1.111948051018409</v>
      </c>
      <c r="W25" s="31">
        <f t="shared" si="4"/>
        <v>1.2513651352355744</v>
      </c>
      <c r="X25" s="31">
        <f t="shared" si="4"/>
        <v>1.2325384977110692</v>
      </c>
      <c r="Y25" s="31">
        <f t="shared" si="4"/>
        <v>1.4939945215793327</v>
      </c>
      <c r="Z25" s="31">
        <f t="shared" si="4"/>
        <v>1.669693081388065</v>
      </c>
      <c r="AA25" s="31">
        <f t="shared" si="4"/>
        <v>2.6825378385482503</v>
      </c>
      <c r="AB25" s="31">
        <f t="shared" si="4"/>
        <v>1.134003587355779</v>
      </c>
      <c r="AC25" s="31">
        <f t="shared" si="4"/>
        <v>1.5111210846152554</v>
      </c>
      <c r="AD25" s="31">
        <f t="shared" si="4"/>
        <v>0.95271730482212424</v>
      </c>
      <c r="AE25" s="31">
        <f t="shared" si="4"/>
        <v>0.64096446242473815</v>
      </c>
      <c r="AF25" s="31">
        <f t="shared" si="4"/>
        <v>0.51457663431510903</v>
      </c>
      <c r="AG25" s="31">
        <f t="shared" si="4"/>
        <v>0.39649921024463941</v>
      </c>
      <c r="AH25" s="31">
        <f t="shared" si="4"/>
        <v>0.23398349475165384</v>
      </c>
      <c r="AI25" s="31">
        <f t="shared" si="4"/>
        <v>0.1909775357072061</v>
      </c>
      <c r="AJ25" s="31">
        <f t="shared" si="4"/>
        <v>0.38628634837498932</v>
      </c>
      <c r="AK25" s="31">
        <f t="shared" si="4"/>
        <v>0.38813721995672584</v>
      </c>
      <c r="AL25" s="31">
        <f t="shared" si="4"/>
        <v>0.52962018250715404</v>
      </c>
      <c r="AM25" s="31">
        <f t="shared" si="4"/>
        <v>0.6256516497215483</v>
      </c>
      <c r="AN25" s="31">
        <f t="shared" si="4"/>
        <v>0.5537979358643913</v>
      </c>
      <c r="AO25" s="31">
        <f t="shared" si="4"/>
        <v>0.4836004614961994</v>
      </c>
      <c r="AP25" s="31">
        <f t="shared" si="4"/>
        <v>0.44308154512880288</v>
      </c>
      <c r="AQ25" s="31">
        <f t="shared" si="4"/>
        <v>0.49098724489605339</v>
      </c>
      <c r="AR25" s="31">
        <f t="shared" si="4"/>
        <v>0.58176108280958128</v>
      </c>
    </row>
    <row r="26" spans="1:44" ht="15" customHeight="1" x14ac:dyDescent="0.25">
      <c r="A26" s="13" t="s">
        <v>53</v>
      </c>
      <c r="B26" s="14">
        <v>250230000</v>
      </c>
      <c r="C26" s="14">
        <v>-14824000</v>
      </c>
      <c r="D26" s="14">
        <v>10663000</v>
      </c>
      <c r="E26" s="14">
        <v>571876000</v>
      </c>
      <c r="F26" s="14">
        <v>9948000</v>
      </c>
      <c r="G26" s="14">
        <v>-239000</v>
      </c>
      <c r="H26" s="20">
        <v>0</v>
      </c>
      <c r="I26" s="14">
        <v>13044497</v>
      </c>
      <c r="J26" s="17">
        <v>6.7274620093999999</v>
      </c>
      <c r="K26" s="14">
        <v>209377550.16999999</v>
      </c>
    </row>
    <row r="27" spans="1:44" ht="15" customHeight="1" x14ac:dyDescent="0.25">
      <c r="A27" s="13" t="s">
        <v>54</v>
      </c>
      <c r="B27" s="14">
        <v>263985000</v>
      </c>
      <c r="C27" s="14">
        <v>-446000</v>
      </c>
      <c r="D27" s="14">
        <v>7740000</v>
      </c>
      <c r="E27" s="14">
        <v>584357000</v>
      </c>
      <c r="F27" s="14">
        <v>12554000</v>
      </c>
      <c r="G27" s="14">
        <v>-538000</v>
      </c>
      <c r="H27" s="20">
        <v>0</v>
      </c>
      <c r="I27" s="14">
        <v>13044497</v>
      </c>
      <c r="J27" s="17">
        <v>6.7155479680000001</v>
      </c>
      <c r="K27" s="14">
        <v>216044789.44</v>
      </c>
      <c r="S27" s="67"/>
    </row>
    <row r="28" spans="1:44" ht="15" customHeight="1" x14ac:dyDescent="0.25">
      <c r="A28" s="13" t="s">
        <v>55</v>
      </c>
      <c r="B28" s="14">
        <v>277225000</v>
      </c>
      <c r="C28" s="14">
        <v>25779000</v>
      </c>
      <c r="D28" s="14">
        <v>10870000</v>
      </c>
      <c r="E28" s="14">
        <v>609829000</v>
      </c>
      <c r="F28" s="14">
        <v>10690000</v>
      </c>
      <c r="G28" s="14">
        <v>-3046000</v>
      </c>
      <c r="H28" s="20">
        <v>0.98425196849999996</v>
      </c>
      <c r="I28" s="14">
        <v>13044201</v>
      </c>
      <c r="J28" s="17">
        <v>10.185349454000001</v>
      </c>
      <c r="K28" s="14">
        <v>316085347</v>
      </c>
    </row>
    <row r="29" spans="1:44" ht="15" customHeight="1" x14ac:dyDescent="0.25">
      <c r="A29" s="13" t="s">
        <v>56</v>
      </c>
      <c r="B29" s="14">
        <v>295541000</v>
      </c>
      <c r="C29" s="14">
        <v>40137000</v>
      </c>
      <c r="D29" s="14">
        <v>78489000</v>
      </c>
      <c r="E29" s="14">
        <v>641949000</v>
      </c>
      <c r="F29" s="14">
        <v>22166000</v>
      </c>
      <c r="G29" s="14">
        <v>-8038000</v>
      </c>
      <c r="H29" s="20">
        <v>1.5625</v>
      </c>
      <c r="I29" s="14">
        <v>13044201</v>
      </c>
      <c r="J29" s="17">
        <v>13.048535151999999</v>
      </c>
      <c r="K29" s="14">
        <v>407218846.60000002</v>
      </c>
    </row>
    <row r="30" spans="1:44" ht="15" customHeight="1" x14ac:dyDescent="0.25">
      <c r="A30" s="13" t="s">
        <v>57</v>
      </c>
      <c r="B30" s="14">
        <v>308410000</v>
      </c>
      <c r="C30" s="14">
        <v>7108000</v>
      </c>
      <c r="D30" s="14">
        <v>77678000</v>
      </c>
      <c r="E30" s="14">
        <v>645434000</v>
      </c>
      <c r="F30" s="14">
        <v>17010000</v>
      </c>
      <c r="G30" s="14">
        <v>-6657000</v>
      </c>
      <c r="H30" s="20">
        <v>0.82519584054999995</v>
      </c>
      <c r="I30" s="14">
        <v>13044201</v>
      </c>
      <c r="J30" s="17">
        <v>11.883237218</v>
      </c>
      <c r="K30" s="14">
        <v>373468194.14999998</v>
      </c>
    </row>
    <row r="31" spans="1:44" ht="15" customHeight="1" x14ac:dyDescent="0.25">
      <c r="A31" s="13" t="s">
        <v>58</v>
      </c>
      <c r="B31" s="14">
        <v>387329000</v>
      </c>
      <c r="C31" s="14">
        <v>106668000</v>
      </c>
      <c r="D31" s="14">
        <v>16879000</v>
      </c>
      <c r="E31" s="14">
        <v>699406000</v>
      </c>
      <c r="F31" s="14">
        <v>8427000</v>
      </c>
      <c r="G31" s="14">
        <v>-72718000</v>
      </c>
      <c r="H31" s="20">
        <v>18.411758958</v>
      </c>
      <c r="I31" s="14">
        <v>13044201.261</v>
      </c>
      <c r="J31" s="17">
        <v>15.49261789</v>
      </c>
      <c r="K31" s="14">
        <v>387852546.49000001</v>
      </c>
    </row>
    <row r="32" spans="1:44" ht="15" customHeight="1" x14ac:dyDescent="0.25">
      <c r="A32" s="13" t="s">
        <v>59</v>
      </c>
      <c r="B32" s="14">
        <v>69492000</v>
      </c>
      <c r="C32" s="14">
        <v>36623000</v>
      </c>
      <c r="D32" s="14">
        <v>2962000</v>
      </c>
      <c r="E32" s="14">
        <v>130169000</v>
      </c>
      <c r="F32" s="14">
        <v>8172000</v>
      </c>
      <c r="G32" s="14">
        <v>-194609000</v>
      </c>
      <c r="H32" s="20">
        <v>59.695638729999999</v>
      </c>
      <c r="I32" s="14">
        <v>13044201.261</v>
      </c>
      <c r="J32" s="17">
        <v>23.062623983000002</v>
      </c>
      <c r="K32" s="14">
        <v>210817439.18303901</v>
      </c>
    </row>
    <row r="33" spans="1:42" ht="15" customHeight="1" x14ac:dyDescent="0.25">
      <c r="A33" s="13" t="s">
        <v>60</v>
      </c>
      <c r="B33" s="14">
        <v>78583000</v>
      </c>
      <c r="C33" s="14">
        <v>24884000</v>
      </c>
      <c r="D33" s="14">
        <v>3017000</v>
      </c>
      <c r="E33" s="14">
        <v>153424000</v>
      </c>
      <c r="F33" s="14"/>
      <c r="G33" s="14"/>
      <c r="H33" s="14"/>
      <c r="I33" s="14"/>
      <c r="J33" s="14"/>
      <c r="K33" s="14">
        <v>381384934.58745301</v>
      </c>
    </row>
    <row r="34" spans="1:42" ht="15" customHeight="1" x14ac:dyDescent="0.25">
      <c r="A34" s="13" t="s">
        <v>61</v>
      </c>
      <c r="B34" s="14">
        <v>59106000</v>
      </c>
      <c r="C34" s="14">
        <v>7528000</v>
      </c>
      <c r="D34" s="14">
        <v>2235000</v>
      </c>
      <c r="E34" s="14">
        <v>136285000</v>
      </c>
      <c r="F34" s="14"/>
      <c r="G34" s="14"/>
      <c r="H34" s="14"/>
      <c r="I34" s="14"/>
      <c r="J34" s="14"/>
      <c r="K34" s="14">
        <v>456485261.93771899</v>
      </c>
    </row>
    <row r="46" spans="1:42" ht="15" customHeight="1" x14ac:dyDescent="0.25">
      <c r="M46" s="46" t="s">
        <v>62</v>
      </c>
      <c r="N46" s="1"/>
      <c r="O46" s="1"/>
      <c r="P46" s="35">
        <f>-G6/P17</f>
        <v>0</v>
      </c>
      <c r="Q46" s="35">
        <f>-G7/Q17</f>
        <v>0</v>
      </c>
      <c r="R46" s="35">
        <f>-G8/R17</f>
        <v>0</v>
      </c>
      <c r="S46" s="35">
        <f>-G9/S17</f>
        <v>0</v>
      </c>
      <c r="T46" s="35">
        <f>-G10/T17</f>
        <v>0</v>
      </c>
      <c r="U46" s="35">
        <f>-G11/U17</f>
        <v>0</v>
      </c>
      <c r="V46" s="35">
        <f>-G12/V17</f>
        <v>0</v>
      </c>
      <c r="W46" s="35">
        <f>-G13/W17</f>
        <v>0</v>
      </c>
      <c r="X46" s="35">
        <f>-G14/X17</f>
        <v>0</v>
      </c>
      <c r="Y46" s="35">
        <f>-G15/Y17</f>
        <v>0.21715085988569813</v>
      </c>
      <c r="Z46" s="35">
        <f>-G16/Z17</f>
        <v>0.26047782855149831</v>
      </c>
      <c r="AA46" s="35">
        <f>-G17/AA17</f>
        <v>0.34745390074251842</v>
      </c>
      <c r="AB46" s="35">
        <f>-G18/AB17</f>
        <v>0.18832930679325249</v>
      </c>
      <c r="AC46" s="35">
        <f>-G19/AC17</f>
        <v>0.53273985784412703</v>
      </c>
      <c r="AD46" s="35">
        <f>-G20/AD17</f>
        <v>0.26755048670101078</v>
      </c>
      <c r="AE46" s="35">
        <f>-G21/AE17</f>
        <v>0.31996169554574888</v>
      </c>
      <c r="AF46" s="35">
        <f>-G22/AF17</f>
        <v>0.29205853602714926</v>
      </c>
      <c r="AG46" s="35">
        <f>-G23/AG17</f>
        <v>0.24507170380503621</v>
      </c>
      <c r="AH46" s="35">
        <f>-G24/AH17</f>
        <v>-0.40464168249409366</v>
      </c>
      <c r="AI46" s="35">
        <f>-G25/AI17</f>
        <v>0</v>
      </c>
      <c r="AJ46" s="35">
        <f>-G26/AJ17</f>
        <v>-1.6122504047490556E-2</v>
      </c>
      <c r="AK46" s="35">
        <f>-G27/AK17</f>
        <v>-1.2062780269058295</v>
      </c>
      <c r="AL46" s="35">
        <f>-G28/AL17</f>
        <v>0.11815819077543738</v>
      </c>
      <c r="AM46" s="35">
        <f>-G29/AM17</f>
        <v>0.20026409547300497</v>
      </c>
      <c r="AN46" s="35">
        <f>-G30/AN17</f>
        <v>0.93655036578503092</v>
      </c>
      <c r="AO46" s="35">
        <f>-G31/AO17</f>
        <v>0.68172272846589421</v>
      </c>
      <c r="AP46" s="35">
        <f>-G32/AP17</f>
        <v>5.3138464899107118</v>
      </c>
    </row>
    <row r="47" spans="1:42" ht="15" customHeight="1" x14ac:dyDescent="0.25">
      <c r="M47" s="39" t="s">
        <v>63</v>
      </c>
      <c r="N47" s="32"/>
      <c r="O47" s="32"/>
      <c r="P47" s="36">
        <f>-G6/P18</f>
        <v>0</v>
      </c>
      <c r="Q47" s="36">
        <f>-G7/Q18</f>
        <v>0</v>
      </c>
      <c r="R47" s="36">
        <f>-G8/R18</f>
        <v>0</v>
      </c>
      <c r="S47" s="36">
        <f>-G9/S18</f>
        <v>0</v>
      </c>
      <c r="T47" s="36">
        <f>-G10/T18</f>
        <v>0</v>
      </c>
      <c r="U47" s="36">
        <f>-G11/U18</f>
        <v>0</v>
      </c>
      <c r="V47" s="36">
        <f>-G12/V18</f>
        <v>0</v>
      </c>
      <c r="W47" s="36">
        <f>-G13/W18</f>
        <v>0</v>
      </c>
      <c r="X47" s="36">
        <f>-G14/X18</f>
        <v>0</v>
      </c>
      <c r="Y47" s="36">
        <f>-G15/Y18</f>
        <v>0.21765853556072695</v>
      </c>
      <c r="Z47" s="36">
        <f>-G16/Z18</f>
        <v>0.27634783889873143</v>
      </c>
      <c r="AA47" s="36">
        <f>-G17/AA18</f>
        <v>0.3593356402167584</v>
      </c>
      <c r="AB47" s="36">
        <f>-G18/AB18</f>
        <v>0.18610676063291723</v>
      </c>
      <c r="AC47" s="36">
        <f>-G19/AC18</f>
        <v>0.53127062731362118</v>
      </c>
      <c r="AD47" s="36">
        <f>-G20/AD18</f>
        <v>0.26063207810067118</v>
      </c>
      <c r="AE47" s="36">
        <f>-G21/AE18</f>
        <v>0.30852432633385796</v>
      </c>
      <c r="AF47" s="36">
        <f>-G22/AF18</f>
        <v>0.39831274209154482</v>
      </c>
      <c r="AG47" s="36">
        <f>-G23/AG18</f>
        <v>0.20334051111351886</v>
      </c>
      <c r="AH47" s="36">
        <f>-G24/AH18</f>
        <v>-0.39298274176432457</v>
      </c>
      <c r="AI47" s="36">
        <f>-G25/AI18</f>
        <v>0</v>
      </c>
      <c r="AJ47" s="36">
        <f>-G26/AJ18</f>
        <v>-5.381119708025117E-3</v>
      </c>
      <c r="AK47" s="36">
        <f>-G27/AK18</f>
        <v>-2.4944167290801032E-2</v>
      </c>
      <c r="AL47" s="36">
        <f>-G28/AL18</f>
        <v>0.12395669081799819</v>
      </c>
      <c r="AM47" s="36">
        <f>-G29/AM18</f>
        <v>0.19614503535328681</v>
      </c>
      <c r="AN47" s="36">
        <f>-G30/AN18</f>
        <v>-0.30030851700969979</v>
      </c>
      <c r="AO47" s="36">
        <f>-G31/AO18</f>
        <v>1.184071584343924</v>
      </c>
      <c r="AP47" s="36">
        <f>-G32/AP18</f>
        <v>-18.366476660241563</v>
      </c>
    </row>
    <row r="48" spans="1:42" ht="15" customHeight="1" x14ac:dyDescent="0.25">
      <c r="M48" s="39" t="s">
        <v>64</v>
      </c>
      <c r="N48" s="32"/>
      <c r="O48" s="32"/>
      <c r="P48" s="37">
        <v>0.79056000000000004</v>
      </c>
      <c r="Q48" s="37">
        <v>0.77816215212999995</v>
      </c>
      <c r="R48" s="37">
        <v>2.4110810499999999</v>
      </c>
      <c r="S48" s="37">
        <v>1.1647873736000001</v>
      </c>
      <c r="T48" s="37">
        <v>1.6824742267999999</v>
      </c>
      <c r="U48" s="37">
        <v>6.2678603443999998</v>
      </c>
      <c r="V48" s="37">
        <v>6.0416667540000004</v>
      </c>
      <c r="W48" s="37">
        <v>5.4934601665000002</v>
      </c>
      <c r="X48" s="37">
        <v>4.9107981221000001</v>
      </c>
      <c r="Y48" s="37">
        <v>2.2476102940999998</v>
      </c>
      <c r="Z48" s="37">
        <v>3.9317172464999999</v>
      </c>
      <c r="AA48" s="37">
        <v>1.7243809524</v>
      </c>
      <c r="AB48" s="37">
        <v>3.8308475809</v>
      </c>
      <c r="AC48" s="37">
        <v>2.4979591836999999</v>
      </c>
      <c r="AD48" s="37">
        <v>3.251391162</v>
      </c>
      <c r="AE48" s="37">
        <v>3.8126956522</v>
      </c>
      <c r="AF48" s="37">
        <v>2.6735038363000001</v>
      </c>
      <c r="AG48" s="37">
        <v>1.7265040650000001</v>
      </c>
      <c r="AH48" s="37">
        <v>5.5755995828999998</v>
      </c>
      <c r="AI48" s="37">
        <v>0</v>
      </c>
      <c r="AJ48" s="37">
        <v>0</v>
      </c>
      <c r="AK48" s="37">
        <v>0</v>
      </c>
      <c r="AL48" s="37">
        <v>0.98425196849999996</v>
      </c>
      <c r="AM48" s="37">
        <v>1.5625</v>
      </c>
      <c r="AN48" s="37">
        <v>0.82519584054999995</v>
      </c>
      <c r="AO48" s="37">
        <v>18.411758958</v>
      </c>
      <c r="AP48" s="37">
        <v>59.695638729999999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49"/>
  <sheetViews>
    <sheetView showGridLines="0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5.28515625" customWidth="1"/>
    <col min="17" max="26" width="16.28515625" customWidth="1"/>
    <col min="27" max="30" width="15.28515625" customWidth="1"/>
    <col min="31" max="31" width="11.85546875" customWidth="1"/>
    <col min="32" max="41" width="15.28515625" customWidth="1"/>
    <col min="42" max="42" width="16.28515625" customWidth="1"/>
    <col min="43" max="43" width="18.140625" customWidth="1"/>
    <col min="44" max="44" width="14.7109375" customWidth="1"/>
  </cols>
  <sheetData>
    <row r="1" spans="1:44" ht="15" customHeight="1" x14ac:dyDescent="0.25">
      <c r="A1" s="6" t="s">
        <v>73</v>
      </c>
      <c r="M1" t="s">
        <v>1</v>
      </c>
      <c r="N1" s="7">
        <v>0.15890000000000001</v>
      </c>
    </row>
    <row r="2" spans="1:44" ht="15" customHeight="1" x14ac:dyDescent="0.25">
      <c r="A2" s="6"/>
    </row>
    <row r="3" spans="1:44" ht="15" customHeight="1" x14ac:dyDescent="0.25">
      <c r="M3" s="2" t="s">
        <v>74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4">
        <v>68429771</v>
      </c>
      <c r="C5" s="14">
        <v>756932</v>
      </c>
      <c r="D5" s="15">
        <v>0</v>
      </c>
      <c r="E5" s="14">
        <v>52485201</v>
      </c>
      <c r="F5" s="15">
        <v>0</v>
      </c>
      <c r="G5" s="15">
        <v>0</v>
      </c>
      <c r="H5" s="15">
        <v>0</v>
      </c>
      <c r="I5" s="14">
        <v>53750252</v>
      </c>
      <c r="J5" s="17">
        <v>3.9685329653000001</v>
      </c>
      <c r="K5" s="14">
        <v>14135781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4">
        <v>59644584</v>
      </c>
      <c r="C6" s="14">
        <v>2393485</v>
      </c>
      <c r="D6" s="15">
        <v>0</v>
      </c>
      <c r="E6" s="14">
        <v>57991290</v>
      </c>
      <c r="F6" s="15">
        <v>0</v>
      </c>
      <c r="G6" s="15">
        <v>0</v>
      </c>
      <c r="H6" s="20">
        <v>0.61115079195999999</v>
      </c>
      <c r="I6" s="14">
        <v>53750252.088</v>
      </c>
      <c r="J6" s="17">
        <v>5.6667434618000003</v>
      </c>
      <c r="K6" s="14">
        <v>20113082.390000001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4">
        <v>61646875</v>
      </c>
      <c r="C7" s="14">
        <v>3378212</v>
      </c>
      <c r="D7" s="15">
        <v>0</v>
      </c>
      <c r="E7" s="14">
        <v>69670857</v>
      </c>
      <c r="F7" s="15">
        <v>0</v>
      </c>
      <c r="G7" s="15">
        <v>0</v>
      </c>
      <c r="H7" s="20">
        <v>1.7324997975</v>
      </c>
      <c r="I7" s="14">
        <v>537502520.88</v>
      </c>
      <c r="J7" s="17">
        <v>8.6257793904</v>
      </c>
      <c r="K7" s="14">
        <v>29958876.370999999</v>
      </c>
      <c r="M7" s="1" t="s">
        <v>20</v>
      </c>
      <c r="N7" s="1"/>
      <c r="O7" s="5"/>
      <c r="P7" s="4">
        <f>((D5+E5)*P5)</f>
        <v>5017585.2156000007</v>
      </c>
      <c r="Q7" s="4">
        <f>((D6+E6+P7+P8)*Q5)</f>
        <v>3302801.8592835604</v>
      </c>
      <c r="R7" s="4">
        <f>((D7+E7+Q7+P7+P8+Q8)*R5)</f>
        <v>1304083.912341207</v>
      </c>
      <c r="S7" s="4">
        <f>((D8+E8+R7+Q7+P7+SUM($P$8:R8))*S5)</f>
        <v>6852430.2633733749</v>
      </c>
      <c r="T7" s="4">
        <f>((D9+E9+S7+R7+Q7+P7+SUM($P$8:S8))*T5)</f>
        <v>4952370.05390995</v>
      </c>
      <c r="U7" s="4">
        <f>((D10+E10+T7+S7+R7+Q7+P7+SUM($P$8:T8))*U5)</f>
        <v>6996703.7272550967</v>
      </c>
      <c r="V7" s="4">
        <f>((D11+E11+U7+T7+S7+R7+Q7+P7+SUM($P$8:U8))*V5)</f>
        <v>12835142.641314881</v>
      </c>
      <c r="W7" s="4">
        <f>((D12+E12+V7+U7+T7+S7+R7+Q7+P7+SUM($P$8:V8))*W5)</f>
        <v>11784353.181494011</v>
      </c>
      <c r="X7" s="4">
        <f>((D13+E13+W7+V7+U7+T7+S7+R7+Q7+P7+SUM($P$8:W8))*X5)</f>
        <v>10217618.904784476</v>
      </c>
      <c r="Y7" s="4">
        <f>((D14+E14+X7+W7+V7+U7+T7+S7+R7+Q7+P7+SUM($P$8:X8))*Y5)</f>
        <v>8206796.506957964</v>
      </c>
      <c r="Z7" s="4">
        <f>((E14+F14+Y7+X7+W7+V7+U7+T7+S7+R7+Q7+P7+SUM($P$8:Y8))*Z5)</f>
        <v>4785641.6896155467</v>
      </c>
      <c r="AA7" s="4">
        <f>((D16+E16+Z7+Y7+X7+W7+V7+U7+T7+S7+R7+P7+Q7+SUM($P$8:Z8))*AA5)</f>
        <v>6919841.6074098917</v>
      </c>
      <c r="AB7" s="4">
        <f>((D17+E17+AA7+Z7+Y7+X7+W7+V7+U7+T7+S7+P7+Q7+R7+SUM($P$8:AA8))*AB5)</f>
        <v>9348918.474817507</v>
      </c>
      <c r="AC7" s="4">
        <f>((D18+E18+AB7+AA7+Z7+Y7+X7+W7+V7+U7+T7+S7+R7+Q7+P7+SUM($P$8:AB8))*AC5)</f>
        <v>7503311.782644744</v>
      </c>
      <c r="AD7" s="4">
        <f>((D19+E19+AC7+AB7+AA7+Z7+Y7+X7+W7+V7+U7+T7+S7+R7+Q7+P7+SUM($P$8:AC8))*AD5)</f>
        <v>10551037.18408449</v>
      </c>
      <c r="AE7" s="4">
        <f>((D20+E20+AD7+AC7+AB7+AA7+Z7+Y7+X7+W7+V7+U7+T7+S7+R7+Q7+P7+SUM($P$8:AD8))*AE5)</f>
        <v>10395288.709307887</v>
      </c>
      <c r="AF7" s="4">
        <f>((E20+F20+AE7+AD7+AC7+AB7+AA7+Z7+Y7+X7+W7+V7+U7+T7+S7+R7+Q7+P7+SUM($P$8:AE8))*AF5)</f>
        <v>10103157.686224207</v>
      </c>
      <c r="AG7" s="4">
        <f>((D22+E22+AF7+AE7+AD7+AC7+AB7+AA7+Z7+Y7+X7+W7+V7+U7+T7+R7+S7+Q7+P7+SUM($P$8:AF8))*AG5)</f>
        <v>10710780.483606469</v>
      </c>
      <c r="AH7" s="4">
        <f>((E22+F22+AG7+AF7+AE7+AD7+AC7+AB7+AA7+Z7+Y7+X7+W7+V7+U7+S7+T7+R7+Q7+P7+SUM($P$8:AG8))*AH5)</f>
        <v>12466289.386386357</v>
      </c>
      <c r="AI7" s="4">
        <f>((F22+G22+AH7+AG7+AF7+AE7+AD7+AC7+AB7+AA7+Z7+Y7+X7+W7+V7+T7+U7+S7+R7+Q7+P7+SUM($P$8:AH8))*AI5)</f>
        <v>16491885.932493212</v>
      </c>
      <c r="AJ7" s="4">
        <f>((G22+H22+AI7+AH7+AG7+AF7+AE7+AD7+AC7+AB7+AA7+Z7+Y7+X7+W7+U7+V7+T7+S7+R7+Q7+P7+SUM($P$8:AI8))*AJ5)</f>
        <v>10412923.460829627</v>
      </c>
      <c r="AK7" s="4">
        <f>((H22+I22+AJ7+AI7+AH7+AG7+AF7+AE7+AD7+AC7+AB7+AA7+Z7+Y7+X7+V7+W7+U7+T7+S7+R7+Q7+P7+SUM($P$8:AJ8))*AK5)</f>
        <v>5376494.3595549874</v>
      </c>
      <c r="AL7" s="4">
        <f>((D27+E27+AK7+AJ7+AI7+AH7+AG7+AF7+AE7+AD7+AC7++AB7+AA7+Z7+Y7+X7+W7+V7+U7+T7+S7+R7+Q7+P7+SUM($P$8:AK8))*AL5)</f>
        <v>8062886.7741896063</v>
      </c>
      <c r="AM7" s="4">
        <f>((E27+F27+AL7+AK7+AJ7+AI7+AH7+AG7+AF7+AE7+AD7++AC7+AB7+AA7+Z7+Y7+X7+W7+V7+U7+T7+S7+R7+Q7+P7+SUM($P$8:AL8))*AM5)</f>
        <v>10822949.226635534</v>
      </c>
      <c r="AN7" s="4">
        <f>((F27+G27+AM7+AL7+AK7+AJ7+AI7+AH7+AG7+AF7+AE7++AD7+AC7+AB7+AA7+Z7+Y7+X7+W7+V7+U7+T7+S7+R7+Q7+P7+SUM($P$8:AM8))*AN5)</f>
        <v>10559112.272657381</v>
      </c>
      <c r="AO7" s="4">
        <f>((G27+H27+AN7+AM7+AL7+AK7+AJ7+AI7+AH7+AG7+AF7++AE7+AD7+AC7+AB7+AA7+Z7+Y7+X7+W7+V7+U7+T7+S7+R7+Q7+P7+SUM($P$8:AN8))*AO5)</f>
        <v>21673724.493831281</v>
      </c>
      <c r="AP7" s="4">
        <f>((H27+I27+AO7+AN7+AM7+AL7+AK7+AJ7+AI7+AH7+AG7++AF7+AE7+AD7+AC7+AB7+AA7+Z7+Y7+X7+W7+V7+U7+T7+S7+R7+Q7+P7+SUM($P$8:AO8))*AP5)</f>
        <v>13844249.020866012</v>
      </c>
      <c r="AQ7" s="4">
        <f>((I27+J27+AP7+AO7+AN7+AM7+AL7+AK7+AJ7+AI7+AH7++AG7+AF7+AE7+AD7+AC7+AB7+AA7+Z7+Y7+X7+W7+V7+U7+T7+S7+R7+Q7+P7+SUM($P$8:AP8))*AQ5)</f>
        <v>11788442.443649374</v>
      </c>
      <c r="AR7" s="4">
        <f>((J27+K27+AQ7+AP7+AO7+AN7+AM7+AL7+AK7+AJ7+AI7++AH7+AG7+AF7+AE7+AD7+AC7+AB7+AA7+Z7+Y7+X7+W7+V7+U7+T7+S7+R7+Q7+P7+SUM($P$8:AQ8))*AR5)</f>
        <v>14220130.05790426</v>
      </c>
    </row>
    <row r="8" spans="1:44" ht="15" customHeight="1" x14ac:dyDescent="0.25">
      <c r="A8" s="13" t="s">
        <v>21</v>
      </c>
      <c r="B8" s="14">
        <v>59995657</v>
      </c>
      <c r="C8" s="14">
        <v>1994178</v>
      </c>
      <c r="D8" s="15">
        <v>0</v>
      </c>
      <c r="E8" s="14">
        <v>66483068</v>
      </c>
      <c r="F8" s="15">
        <v>0</v>
      </c>
      <c r="G8" s="15">
        <v>0</v>
      </c>
      <c r="H8" s="20">
        <v>13.634999962</v>
      </c>
      <c r="I8" s="14">
        <v>537502520.88</v>
      </c>
      <c r="J8" s="17">
        <v>3.6574356208999999</v>
      </c>
      <c r="K8" s="14">
        <v>11384030.252</v>
      </c>
      <c r="M8" s="1" t="s">
        <v>22</v>
      </c>
      <c r="N8" s="1"/>
      <c r="O8" s="4"/>
      <c r="P8" s="4">
        <f>((D6+E6)-(D5+E5))*(P5^1/2)</f>
        <v>263191.05420000001</v>
      </c>
      <c r="Q8" s="4">
        <f>((D7+E7)-(D6+E6))*(Q5^1/2)</f>
        <v>304836.69870000001</v>
      </c>
      <c r="R8" s="4">
        <f>((D8+E8)-(D7+E7))*(R5^1/2)</f>
        <v>-26458.648700000002</v>
      </c>
      <c r="S8" s="4">
        <f>((D9+E9)-(D8+E8))*(S5^1/2)</f>
        <v>-23416.094999999998</v>
      </c>
      <c r="T8" s="4">
        <f>((D10+E10)-(D9+E9))*(T5^1/2)</f>
        <v>96086.04555000001</v>
      </c>
      <c r="U8" s="4">
        <f>((D11+E11)-(D10+E10))*(U5^1/2)</f>
        <v>155745.33259999999</v>
      </c>
      <c r="V8" s="4">
        <f>((D12+E12)-(D11+E11))*(V5^1/2)</f>
        <v>674640.00939999998</v>
      </c>
      <c r="W8" s="4">
        <f>((D13+E13)-(D12+E12))*(W5^1/2)</f>
        <v>-180200.24100000001</v>
      </c>
      <c r="X8" s="4">
        <f>((D14+E14)-(D13+E13))*(X5^1/2)</f>
        <v>-15670.364</v>
      </c>
      <c r="Y8" s="4">
        <f>((D15+E15)-(D14+E14))*(Y5^1/2)</f>
        <v>-29750.051199999998</v>
      </c>
      <c r="Z8" s="4">
        <f>((E15+F15)-(E14+F14))*(Z5^1/2)</f>
        <v>-16417.427199999998</v>
      </c>
      <c r="AA8" s="4">
        <f>((D17+E17)-(D16+E16))*(AA5^1/2)</f>
        <v>-78899.540800000002</v>
      </c>
      <c r="AB8" s="4">
        <f>((D18+E18)-(D17+E17))*(AB5^1/2)</f>
        <v>180111.8075</v>
      </c>
      <c r="AC8" s="4">
        <f>((D19+E19)-(D18+E18))*(AC5^1/2)</f>
        <v>-64668.446799999998</v>
      </c>
      <c r="AD8" s="4">
        <f>((D20+E20)-(D19+E19))*(AD5/2)</f>
        <v>-836718.53339999996</v>
      </c>
      <c r="AE8" s="4">
        <f>((D21+E21)-(D20+E20))*(AE5^1/2)</f>
        <v>215792.13500000001</v>
      </c>
      <c r="AF8" s="4">
        <f>((D22+E22)-(D21+E21))*(AF5^1/2)</f>
        <v>-171648.87119999999</v>
      </c>
      <c r="AG8" s="4">
        <f>((D23+E23)-(D22+E22))*(AG5^1/2)</f>
        <v>-557926.04429999995</v>
      </c>
      <c r="AH8" s="4">
        <f>((D24+E24)-(D23+E23))*(AH5^1/2)</f>
        <v>54693.549350000001</v>
      </c>
      <c r="AI8" s="4">
        <f>((D25+E25)-(D24+E24))*(AI5^1/2)</f>
        <v>-109463.90345</v>
      </c>
      <c r="AJ8" s="4">
        <f>((D26+E26)-(D25+E25))*(AJ5^1/2)</f>
        <v>-91429.301399999997</v>
      </c>
      <c r="AK8" s="4">
        <f>((D27+E27)-(D26+E26))*(AK5/2)</f>
        <v>16828.791249999998</v>
      </c>
      <c r="AL8" s="4">
        <f>((D28+E28)-(D27+E27))*(AL5^1/2)</f>
        <v>80708.306249999994</v>
      </c>
      <c r="AM8" s="4">
        <f>((D29+E29)-(D28+E28))*(AM5^1/2)</f>
        <v>20491.313149999998</v>
      </c>
      <c r="AN8" s="4">
        <f>((D30+E30)-(D29+E29))*(AN5^1/2)</f>
        <v>-14849.397799999999</v>
      </c>
      <c r="AO8" s="4">
        <f>((D31+E31)-(D30+E30))*(AO5^1/2)</f>
        <v>253828.6385</v>
      </c>
      <c r="AP8" s="4">
        <f>((D32+E32)-(D31+E31))*(AP5^1/2)</f>
        <v>2210625.7345500002</v>
      </c>
      <c r="AQ8" s="4">
        <f>((D32+E32)-(D31+E31))*(AQ5^1/2)</f>
        <v>1763918.9798999999</v>
      </c>
      <c r="AR8" s="4">
        <f>((E32+F32)-(E31+F31))*(AR5^1/2)</f>
        <v>186183.57975</v>
      </c>
    </row>
    <row r="9" spans="1:44" ht="15" customHeight="1" x14ac:dyDescent="0.25">
      <c r="A9" s="13" t="s">
        <v>23</v>
      </c>
      <c r="B9" s="14">
        <v>59437068</v>
      </c>
      <c r="C9" s="14">
        <v>580589</v>
      </c>
      <c r="D9" s="15">
        <v>0</v>
      </c>
      <c r="E9" s="14">
        <v>65959218</v>
      </c>
      <c r="F9" s="15">
        <v>0</v>
      </c>
      <c r="G9" s="15">
        <v>0</v>
      </c>
      <c r="H9" s="20">
        <v>1.1277143961</v>
      </c>
      <c r="I9" s="14">
        <v>537502520</v>
      </c>
      <c r="J9" s="17">
        <v>7.0318112250000002</v>
      </c>
      <c r="K9" s="14">
        <v>20943480.568</v>
      </c>
      <c r="M9" s="1" t="s">
        <v>24</v>
      </c>
      <c r="N9" s="1"/>
      <c r="O9" s="4"/>
      <c r="P9" s="4">
        <f>+B5*P5</f>
        <v>6541886.1076000007</v>
      </c>
      <c r="Q9" s="4">
        <f>+(B6+P9+P10+P14)*Q5</f>
        <v>3389103.80608356</v>
      </c>
      <c r="R9" s="4">
        <f>+(B7+Q9+P9+P10+Q10+P14+Q14)*R5</f>
        <v>1156229.3861108546</v>
      </c>
      <c r="S9" s="4">
        <f>+(B8+R9+Q9+P9+P10+Q10+R10+P14+Q14+R14)*S5</f>
        <v>6061180.2272119112</v>
      </c>
      <c r="T9" s="4">
        <f>+(B9+S9+R9+Q9+P9+P10+Q10+R10+S10+P14+Q14+R14+S14)*T5</f>
        <v>4312430.1851904588</v>
      </c>
      <c r="U9" s="4">
        <f>+(B10+T9+S9+R9+Q9+P9+P10+Q10+R10+S10+T10+P14+Q14+R14+S14+T14)*U5</f>
        <v>5897423.6411693906</v>
      </c>
      <c r="V9" s="4">
        <f>+(B11+U9+T9+S9+R9+Q9+P9+P10+Q10+R10+S10+T10+U10+P14+Q14+R14+S14+T14+U14)*V5</f>
        <v>10274212.19574907</v>
      </c>
      <c r="W9" s="4">
        <f>+(B12+V9+U9+T9+S9+R9+Q9+P9+P10+Q10+R10+S10+T10+U10+V10+P14+Q14+R14+S14+T14+U14+V14)*W5</f>
        <v>8534920.1404193584</v>
      </c>
      <c r="X9" s="4">
        <f>+(B13+W9+V9+U9+T9+S9+R9+Q9+P9+P10+Q10+R10+S10+T10+U10+V10+W10+P14+Q14+R14+S14+T14+U14+V14+W14)*X5</f>
        <v>7277869.4977139588</v>
      </c>
      <c r="Y9" s="4">
        <f>+(B14+X9+W9+V9+U9+T9+S9+R9+Q9+P9+P10+Q10+R10+S10+T10+U10+V10+W10+X10+P14+Q14+R14+S14+T14+U14+V14+W14+X14)*Y5</f>
        <v>5487202.2142414879</v>
      </c>
      <c r="Z9" s="4">
        <f>+(B15+Y9+X9+W9+V9+U9+T9+S9+R9+Q9+P9+P10+Q10+R10+S10+T10+U10+V10+W10+X10+Y10+P14+Q14+R14+S14+T14+U14+V14+W14+X14+Y14)*Z5</f>
        <v>3030701.2060360783</v>
      </c>
      <c r="AA9" s="4">
        <f>+(B16+Z9+Y9+X9+W9+V9+U9+T9+S9+R9+Q9+P9+P10+Q10+R10+S10+T10+U10+V10+W10+X10+Y10+Z10+P14+Q14+R14+S14+T14+U14+V14+W14+X14+Y14+Z14)*AA5</f>
        <v>3911273.2743416862</v>
      </c>
      <c r="AB9" s="4">
        <f>+(B17+AA9+Z9+Y9+X9+W9+V9+U9+T9+S9+R9+Q9+P9+P10+Q10+R10+S10+T10+U10+V10+W10+X10+Y10+Z10+AA10+P14+Q14+R14+S14+T14+U14+V14+W14+X14+Y14+Z14+AA14)*AB5</f>
        <v>4688147.8131828662</v>
      </c>
      <c r="AC9" s="4">
        <f>+(B18+AB9+AA9+Z9+Y9+X9+W9+V9+U9+T9+S9+R9+Q9+P9+P10+Q10+R10+S10+T10+U10+V10+W10+X10+Y10+Z10+AA10+AB10+P14+Q14+R14+S14+T14+U14+V14+W14+X14+Y14+Z14+AA14+AB14)*AC5</f>
        <v>3244269.1691754363</v>
      </c>
      <c r="AD9" s="4">
        <f>+(B19+AC9+AB9+AA9+Z9+Y9+X9+W9+V9+U9+T9+S9+R9+Q9+P9+P10+Q10+R10+S10+T10+U10+V10+W10+X10+Y10+Z10+AA10+AB10+AC10+P14+Q14+R14+S14+T14+U14+V14+W14+X14+Y14+Z14+AA14+AB14+AC14)*AD5</f>
        <v>3037715.75733604</v>
      </c>
      <c r="AE9" s="4">
        <f>+(B20+AD9+AC9+AB9+AA9+Z9+Y9+X9+W9+V9+U9+T9+S9+R9+Q9+P9+P10+Q10+R10+S10+T10+U10+V10+W10+X10+Y10+Z10+AA10+AB10+AC10+AD10+P14+Q14+S14++R14+T14+U14+V14+W14+X14+Y14+Z14+AA14+AB14+AC14+AD14)*AE5</f>
        <v>2015085.2827408796</v>
      </c>
      <c r="AF9" s="4">
        <f>+(B21+AE9+AD9+AC9+AB9+AA9+Z9+Y9+X9+W9+V9+U9+T9+S9+R9+Q9+P9+P10+Q10+R10+S10+T10+U10+V10+W10+X10+Y10+Z10+AA10+AB10+AC10+AD10+AE10+P14+Q14+R14+S14+T14+U14+V14+W14+X14+Y14+Z14+AA14+AB14+AC14+AD14+AE14)*AF5</f>
        <v>1203145.1599932159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-601030.9795108597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-2631351.58154858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-7559914.3977697901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-7144249.895682225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-4460829.6592985718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-7541274.7676306991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-10164676.760743277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-12180111.289396178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-32267358.648678869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-21354418.930520136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-18433646.90585671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-22714744.051036447</v>
      </c>
    </row>
    <row r="10" spans="1:44" ht="15" customHeight="1" x14ac:dyDescent="0.25">
      <c r="A10" s="13" t="s">
        <v>25</v>
      </c>
      <c r="B10" s="14">
        <v>62136331</v>
      </c>
      <c r="C10" s="14">
        <v>2455813</v>
      </c>
      <c r="D10" s="15">
        <v>0</v>
      </c>
      <c r="E10" s="14">
        <v>69178181</v>
      </c>
      <c r="F10" s="15">
        <v>0</v>
      </c>
      <c r="G10" s="15">
        <v>0</v>
      </c>
      <c r="H10" s="20">
        <v>2.3352954767999998</v>
      </c>
      <c r="I10" s="14">
        <v>537502520</v>
      </c>
      <c r="J10" s="17">
        <v>6.5508265674999997</v>
      </c>
      <c r="K10" s="14">
        <v>18585632.682999998</v>
      </c>
      <c r="M10" s="22" t="s">
        <v>26</v>
      </c>
      <c r="N10" s="22"/>
      <c r="O10" s="23"/>
      <c r="P10" s="23">
        <f>((B6-B5)*(P5^1/2))</f>
        <v>-419931.93859999999</v>
      </c>
      <c r="Q10" s="23">
        <f>((B7-B6)*(Q5^1/2))</f>
        <v>52259.795100000003</v>
      </c>
      <c r="R10" s="23">
        <f>((B8-B7)*(R5/2))</f>
        <v>-13705.109399999999</v>
      </c>
      <c r="S10" s="23">
        <f>((B9-B8)*(S5/2))</f>
        <v>-24968.9283</v>
      </c>
      <c r="T10" s="23">
        <f>((B10-B9)*(T5^1/2))</f>
        <v>80573.000549999997</v>
      </c>
      <c r="U10" s="23">
        <f>((B11-B10)*(U5^1/2))</f>
        <v>82421.551550000004</v>
      </c>
      <c r="V10" s="23">
        <f>((B12-B11)*(V5^1/2))</f>
        <v>141923.42569999999</v>
      </c>
      <c r="W10" s="23">
        <f>((B13-B12)*(W5/2))</f>
        <v>59839.455000000002</v>
      </c>
      <c r="X10" s="23">
        <f>((B14-B13)*(X5/2))</f>
        <v>77370.925999999992</v>
      </c>
      <c r="Y10" s="23">
        <f>((B15-B14)*(Y5/2))</f>
        <v>166178.75445000001</v>
      </c>
      <c r="Z10" s="23">
        <f>((B16-B15)*(Z5/2))</f>
        <v>33298.098599999998</v>
      </c>
      <c r="AA10" s="23">
        <f>((B17-B16)*(AA5/2))</f>
        <v>47442.090400000001</v>
      </c>
      <c r="AB10" s="23">
        <f>((B18-B17)*(AB5^1/2))</f>
        <v>166826.1875</v>
      </c>
      <c r="AC10" s="23">
        <f>((B19-B18)*(AC5^1/2))</f>
        <v>-205297.71280000001</v>
      </c>
      <c r="AD10" s="23">
        <f>((B20-B19)*(AD5/2))</f>
        <v>-171025.64850000001</v>
      </c>
      <c r="AE10" s="23">
        <f>((B21-B20)*(AE5^1/2))</f>
        <v>212530.30499999999</v>
      </c>
      <c r="AF10" s="23">
        <f>((B22-B21)*(AF5^1/2))</f>
        <v>-284979.26880000002</v>
      </c>
      <c r="AG10" s="23">
        <f>((B23-B22)*(AG5/2))</f>
        <v>-194741.44425</v>
      </c>
      <c r="AH10" s="23">
        <f>((B24-B23)*(AH5/2))</f>
        <v>-126730.79595000001</v>
      </c>
      <c r="AI10" s="23">
        <f>((B25-B24)*(AI5^1/2))</f>
        <v>-770776.09895000001</v>
      </c>
      <c r="AJ10" s="23">
        <f>((B26-B25)*(AJ5/2))</f>
        <v>66405.291199999992</v>
      </c>
      <c r="AK10" s="23">
        <f>((B27-B26)*(AK5/2))</f>
        <v>-27495.371749999998</v>
      </c>
      <c r="AL10" s="23">
        <f>((B28-B27)*(AL5^1/2))</f>
        <v>247566.16874999998</v>
      </c>
      <c r="AM10" s="23">
        <f>((B29-B28)*(AM5/2))</f>
        <v>331091.93725000002</v>
      </c>
      <c r="AN10" s="23">
        <f>((B30-B29)*(AN5/2))</f>
        <v>58116.035599999996</v>
      </c>
      <c r="AO10" s="23">
        <f>((B31-B30)*(AO5/2))</f>
        <v>132937.71909999999</v>
      </c>
      <c r="AP10" s="23">
        <f>((B32-B31)*(AP5^1/2))</f>
        <v>995404.98840000003</v>
      </c>
      <c r="AQ10" s="23">
        <f>((C32-C31)*(AQ5/2))</f>
        <v>-46448.648399999998</v>
      </c>
      <c r="AR10" s="23">
        <f>((D32-D31)*(AR5^1/2))</f>
        <v>1810969.9807500001</v>
      </c>
    </row>
    <row r="11" spans="1:44" ht="15" customHeight="1" x14ac:dyDescent="0.25">
      <c r="A11" s="13" t="s">
        <v>27</v>
      </c>
      <c r="B11" s="14">
        <v>64285524</v>
      </c>
      <c r="C11" s="14">
        <v>3251336</v>
      </c>
      <c r="D11" s="15">
        <v>0</v>
      </c>
      <c r="E11" s="14">
        <v>73239337</v>
      </c>
      <c r="F11" s="15">
        <v>0</v>
      </c>
      <c r="G11" s="15">
        <v>0</v>
      </c>
      <c r="H11" s="20">
        <v>3.8510040230999998</v>
      </c>
      <c r="I11" s="14">
        <v>537502520</v>
      </c>
      <c r="J11" s="17">
        <v>6.2653719596000004</v>
      </c>
      <c r="K11" s="14">
        <v>16908117.640999999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4">
        <v>66550862</v>
      </c>
      <c r="C12" s="14">
        <v>1100340</v>
      </c>
      <c r="D12" s="15">
        <v>0</v>
      </c>
      <c r="E12" s="14">
        <v>84007733</v>
      </c>
      <c r="F12" s="15">
        <v>0</v>
      </c>
      <c r="G12" s="15">
        <v>0</v>
      </c>
      <c r="H12" s="20">
        <v>11.384872325</v>
      </c>
      <c r="I12" s="14">
        <v>537502520</v>
      </c>
      <c r="J12" s="17">
        <v>4.7881316878</v>
      </c>
      <c r="K12" s="14">
        <v>12671297.507999999</v>
      </c>
      <c r="M12" s="1" t="s">
        <v>30</v>
      </c>
      <c r="N12" s="1"/>
      <c r="O12" s="1"/>
      <c r="P12" s="4">
        <v>0</v>
      </c>
      <c r="Q12" s="24">
        <f>-($P$7+$P$8)*$N$1</f>
        <v>-839115.34927122016</v>
      </c>
      <c r="R12" s="24">
        <f>-((($P$7+$P$8)*(1+Q5))+($Q$7+$Q$8))*N1</f>
        <v>-1456170.9373667657</v>
      </c>
      <c r="S12" s="24">
        <f>-((($P$7+$P$8)*(1+Q5)*(1+R5))+(($Q$7+$Q$8)*(1+R5))+((R7+R8)))*$N$1</f>
        <v>-1683358.0293196419</v>
      </c>
      <c r="T12" s="24">
        <f>-((($P$7+$P$8)*(1+R5)*(1+S5)*(1+Q5))+(($Q$7+$Q$8)*(1+S5)*(1+R5))+((R7+R8)*(1+S5))+((S7+S8)))*$N$1</f>
        <v>-2918980.5884953472</v>
      </c>
      <c r="U12" s="24">
        <f>-((($P$7+$P$8)*(1+T5)*(1+R5)*(1+S5)*(1+Q5))+(($Q$7+$Q$8)*(1+T5)*(1+S5)*(1+R5))+((R7+R8)*(1+S5)*(1+T5))+((S7+S8)*(1+T5))+(T7+T8))*$N$1</f>
        <v>-3895443.4038327057</v>
      </c>
      <c r="V12" s="24">
        <f>-((($P$7+$P$8)*(1+U5)*(1+S5)*(1+T5)*(1+R5)*(1+Q5))+(($Q$7+$Q$8)*(1+U5)*(1+T5)*(1+S5)*(1+R5))+(($R$7+$R$8)*(1+U5)*(1+T5)*(1+S5))+((S7+S8)*(1+T5)*(1+U5))+((T7+T8)*(1+U5))+(U7+U8))*$N$1</f>
        <v>-5330748.0685176486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-8145395.2647015043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-10746816.926563244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-13184664.636112703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-15234204.735727459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-16470388.49972713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-18291993.521199271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-20885384.050810281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-22967544.529465936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-25868531.644751135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-29236086.947820473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-32521591.176280539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-36056905.785204515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-40357737.634524636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-47103617.893314742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-51884726.468160726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-54058632.876117162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-57366941.083843216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-61608660.645407356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-65997532.043839402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-76207228.905449301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-82841528.456962571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-81054094.367189333</v>
      </c>
    </row>
    <row r="13" spans="1:44" ht="15" customHeight="1" x14ac:dyDescent="0.25">
      <c r="A13" s="13" t="s">
        <v>31</v>
      </c>
      <c r="B13" s="14">
        <v>67837732</v>
      </c>
      <c r="C13" s="14">
        <v>323125</v>
      </c>
      <c r="D13" s="15">
        <v>0</v>
      </c>
      <c r="E13" s="14">
        <v>80132459</v>
      </c>
      <c r="F13" s="15">
        <v>0</v>
      </c>
      <c r="G13" s="15">
        <v>0</v>
      </c>
      <c r="H13" s="20">
        <v>1.1262723711</v>
      </c>
      <c r="I13" s="14">
        <v>537502520</v>
      </c>
      <c r="J13" s="17">
        <v>10.086083155000001</v>
      </c>
      <c r="K13" s="14">
        <v>25788402.721999999</v>
      </c>
      <c r="M13" t="s">
        <v>32</v>
      </c>
      <c r="P13">
        <v>0</v>
      </c>
      <c r="Q13" s="24">
        <f t="shared" ref="Q13:AR13" si="0">Q12*Q5</f>
        <v>-43801.821231957692</v>
      </c>
      <c r="R13" s="24">
        <f t="shared" si="0"/>
        <v>-24172.437560288312</v>
      </c>
      <c r="S13" s="24">
        <f t="shared" si="0"/>
        <v>-150492.20782117598</v>
      </c>
      <c r="T13" s="24">
        <f t="shared" si="0"/>
        <v>-174263.14113317223</v>
      </c>
      <c r="U13" s="24">
        <f t="shared" si="0"/>
        <v>-298780.50907396857</v>
      </c>
      <c r="V13" s="24">
        <f t="shared" si="0"/>
        <v>-667942.73298526136</v>
      </c>
      <c r="W13" s="24">
        <f t="shared" si="0"/>
        <v>-757521.75961723994</v>
      </c>
      <c r="X13" s="24">
        <f t="shared" si="0"/>
        <v>-816758.08641880658</v>
      </c>
      <c r="Y13" s="24">
        <f t="shared" si="0"/>
        <v>-750207.41779481282</v>
      </c>
      <c r="Z13" s="24">
        <f t="shared" si="0"/>
        <v>-478354.02870184218</v>
      </c>
      <c r="AA13" s="24">
        <f t="shared" si="0"/>
        <v>-734579.32708783005</v>
      </c>
      <c r="AB13" s="24">
        <f t="shared" si="0"/>
        <v>-1079227.6177507569</v>
      </c>
      <c r="AC13" s="24">
        <f t="shared" si="0"/>
        <v>-900160.05258992314</v>
      </c>
      <c r="AD13" s="24">
        <f t="shared" si="0"/>
        <v>-1357381.8816914367</v>
      </c>
      <c r="AE13" s="24">
        <f t="shared" si="0"/>
        <v>-1681454.5569088238</v>
      </c>
      <c r="AF13" s="24">
        <f t="shared" si="0"/>
        <v>-1707387.4777527156</v>
      </c>
      <c r="AG13" s="24">
        <f t="shared" si="0"/>
        <v>-1922026.0385181799</v>
      </c>
      <c r="AH13" s="24">
        <f t="shared" si="0"/>
        <v>-2311247.6608316097</v>
      </c>
      <c r="AI13" s="24">
        <f t="shared" si="0"/>
        <v>-4306170.6056037787</v>
      </c>
      <c r="AJ13" s="24">
        <f t="shared" si="0"/>
        <v>-2962817.565489497</v>
      </c>
      <c r="AK13" s="24">
        <f t="shared" si="0"/>
        <v>-1530599.4308107414</v>
      </c>
      <c r="AL13" s="24">
        <f t="shared" si="0"/>
        <v>-2027198.7328543935</v>
      </c>
      <c r="AM13" s="24">
        <f t="shared" si="0"/>
        <v>-2472515.1607136424</v>
      </c>
      <c r="AN13" s="24">
        <f t="shared" si="0"/>
        <v>-2784711.4611724121</v>
      </c>
      <c r="AO13" s="24">
        <f t="shared" si="0"/>
        <v>-6639351.7236102438</v>
      </c>
      <c r="AP13" s="24">
        <f t="shared" si="0"/>
        <v>-4412398.5536255147</v>
      </c>
      <c r="AQ13" s="24">
        <f t="shared" si="0"/>
        <v>-3827278.6147116707</v>
      </c>
      <c r="AR13" s="24">
        <f t="shared" si="0"/>
        <v>-3914912.7579352451</v>
      </c>
    </row>
    <row r="14" spans="1:44" ht="15" customHeight="1" x14ac:dyDescent="0.25">
      <c r="A14" s="13" t="s">
        <v>33</v>
      </c>
      <c r="B14" s="14">
        <v>69873809</v>
      </c>
      <c r="C14" s="14">
        <v>1293314</v>
      </c>
      <c r="D14" s="15">
        <v>0</v>
      </c>
      <c r="E14" s="14">
        <v>79720081</v>
      </c>
      <c r="F14" s="15">
        <v>0</v>
      </c>
      <c r="G14" s="15">
        <v>0</v>
      </c>
      <c r="H14" s="20">
        <v>0.75911823376999998</v>
      </c>
      <c r="I14" s="14">
        <v>537502520</v>
      </c>
      <c r="J14" s="17">
        <v>8.0841985147000006</v>
      </c>
      <c r="K14" s="14">
        <v>20753913.537999999</v>
      </c>
      <c r="M14" s="39" t="s">
        <v>34</v>
      </c>
      <c r="N14" s="39"/>
      <c r="O14" s="40"/>
      <c r="P14" s="40">
        <f t="shared" ref="P14:AR14" si="1">(P7+P8)-(P9+P10)+P12+P13</f>
        <v>-841177.89919999987</v>
      </c>
      <c r="Q14" s="40">
        <f t="shared" si="1"/>
        <v>-716642.21370317752</v>
      </c>
      <c r="R14" s="40">
        <f t="shared" si="1"/>
        <v>-1345242.3879967015</v>
      </c>
      <c r="S14" s="40">
        <f t="shared" si="1"/>
        <v>-1041047.367679354</v>
      </c>
      <c r="T14" s="40">
        <f t="shared" si="1"/>
        <v>-2437790.8159090285</v>
      </c>
      <c r="U14" s="40">
        <f t="shared" si="1"/>
        <v>-3021620.0457709678</v>
      </c>
      <c r="V14" s="40">
        <f t="shared" si="1"/>
        <v>-2905043.7722370983</v>
      </c>
      <c r="W14" s="40">
        <f t="shared" si="1"/>
        <v>-5893523.6792440927</v>
      </c>
      <c r="X14" s="40">
        <f t="shared" si="1"/>
        <v>-8716866.8959115334</v>
      </c>
      <c r="Y14" s="40">
        <f t="shared" si="1"/>
        <v>-11411206.56684104</v>
      </c>
      <c r="Z14" s="40">
        <f t="shared" si="1"/>
        <v>-14007333.806649832</v>
      </c>
      <c r="AA14" s="40">
        <f t="shared" si="1"/>
        <v>-14322741.124946754</v>
      </c>
      <c r="AB14" s="40">
        <f t="shared" si="1"/>
        <v>-14697164.857315388</v>
      </c>
      <c r="AC14" s="40">
        <f t="shared" si="1"/>
        <v>-17385872.223930895</v>
      </c>
      <c r="AD14" s="40">
        <f t="shared" si="1"/>
        <v>-17477297.869308922</v>
      </c>
      <c r="AE14" s="40">
        <f t="shared" si="1"/>
        <v>-19166520.945092954</v>
      </c>
      <c r="AF14" s="40">
        <f t="shared" si="1"/>
        <v>-21930131.501742199</v>
      </c>
      <c r="AG14" s="40">
        <f t="shared" si="1"/>
        <v>-23494990.35173139</v>
      </c>
      <c r="AH14" s="40">
        <f t="shared" si="1"/>
        <v>-23089088.132801183</v>
      </c>
      <c r="AI14" s="40">
        <f t="shared" si="1"/>
        <v>-19950795.714365408</v>
      </c>
      <c r="AJ14" s="40">
        <f t="shared" si="1"/>
        <v>-32667096.694892388</v>
      </c>
      <c r="AK14" s="40">
        <f t="shared" si="1"/>
        <v>-43533677.717117913</v>
      </c>
      <c r="AL14" s="40">
        <f t="shared" si="1"/>
        <v>-40648527.929651253</v>
      </c>
      <c r="AM14" s="40">
        <f t="shared" si="1"/>
        <v>-39162430.881278045</v>
      </c>
      <c r="AN14" s="40">
        <f t="shared" si="1"/>
        <v>-41727113.977926202</v>
      </c>
      <c r="AO14" s="40">
        <f t="shared" si="1"/>
        <v>-18574909.705539495</v>
      </c>
      <c r="AP14" s="40">
        <f t="shared" si="1"/>
        <v>-44205738.761538669</v>
      </c>
      <c r="AQ14" s="40">
        <f t="shared" si="1"/>
        <v>-54636350.093868159</v>
      </c>
      <c r="AR14" s="40">
        <f t="shared" si="1"/>
        <v>-49658919.417183876</v>
      </c>
    </row>
    <row r="15" spans="1:44" ht="15" customHeight="1" x14ac:dyDescent="0.25">
      <c r="A15" s="13" t="s">
        <v>35</v>
      </c>
      <c r="B15" s="14">
        <v>75714890</v>
      </c>
      <c r="C15" s="14">
        <v>974589</v>
      </c>
      <c r="D15" s="15">
        <v>0</v>
      </c>
      <c r="E15" s="14">
        <v>78674385</v>
      </c>
      <c r="F15" s="15">
        <v>0</v>
      </c>
      <c r="G15" s="15">
        <v>0</v>
      </c>
      <c r="H15" s="20">
        <v>0.75197768421</v>
      </c>
      <c r="I15" s="14">
        <v>564749251</v>
      </c>
      <c r="J15" s="17">
        <v>8.0524895325999992</v>
      </c>
      <c r="K15" s="14">
        <v>21640780.202</v>
      </c>
    </row>
    <row r="16" spans="1:44" ht="15" customHeight="1" x14ac:dyDescent="0.25">
      <c r="A16" s="13" t="s">
        <v>36</v>
      </c>
      <c r="B16" s="14">
        <v>77835788</v>
      </c>
      <c r="C16" s="14">
        <v>1161318</v>
      </c>
      <c r="D16" s="15">
        <v>0</v>
      </c>
      <c r="E16" s="14">
        <v>77695285</v>
      </c>
      <c r="F16" s="15">
        <v>0</v>
      </c>
      <c r="G16" s="15">
        <v>0</v>
      </c>
      <c r="H16" s="20">
        <v>0.69548330397000002</v>
      </c>
      <c r="I16" s="14">
        <v>564749000</v>
      </c>
      <c r="J16" s="17">
        <v>10.893795982</v>
      </c>
      <c r="K16" s="14">
        <v>28495223.25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79963236</v>
      </c>
      <c r="C17" s="14">
        <v>1547857</v>
      </c>
      <c r="D17" s="15">
        <v>0</v>
      </c>
      <c r="E17" s="14">
        <v>74157189</v>
      </c>
      <c r="F17" s="15">
        <v>0</v>
      </c>
      <c r="G17" s="14">
        <v>-753010</v>
      </c>
      <c r="H17" s="20">
        <v>0.57381502297999998</v>
      </c>
      <c r="I17" s="14">
        <v>1129499</v>
      </c>
      <c r="J17" s="17">
        <v>10.266309338999999</v>
      </c>
      <c r="K17" s="14">
        <v>26809961.920000002</v>
      </c>
      <c r="L17" s="41" t="str">
        <f>+L19</f>
        <v>Eletrobras ON</v>
      </c>
      <c r="M17" s="2" t="s">
        <v>38</v>
      </c>
      <c r="N17" s="2"/>
      <c r="O17" s="28"/>
      <c r="P17" s="42">
        <f>+C6</f>
        <v>2393485</v>
      </c>
      <c r="Q17" s="42">
        <f>C7</f>
        <v>3378212</v>
      </c>
      <c r="R17" s="42">
        <f>C8</f>
        <v>1994178</v>
      </c>
      <c r="S17" s="42">
        <f>C9</f>
        <v>580589</v>
      </c>
      <c r="T17" s="42">
        <f>C10</f>
        <v>2455813</v>
      </c>
      <c r="U17" s="42">
        <f>C11</f>
        <v>3251336</v>
      </c>
      <c r="V17" s="42">
        <f>C12</f>
        <v>1100340</v>
      </c>
      <c r="W17" s="42">
        <f>C13</f>
        <v>323125</v>
      </c>
      <c r="X17" s="42">
        <f>C14</f>
        <v>1293314</v>
      </c>
      <c r="Y17" s="42">
        <f>C15</f>
        <v>974589</v>
      </c>
      <c r="Z17" s="42">
        <f>C16</f>
        <v>1161318</v>
      </c>
      <c r="AA17" s="42">
        <f>C17</f>
        <v>1547857</v>
      </c>
      <c r="AB17" s="42">
        <f>C18</f>
        <v>6136497</v>
      </c>
      <c r="AC17" s="42">
        <f>C19</f>
        <v>170526</v>
      </c>
      <c r="AD17" s="42">
        <f>C20</f>
        <v>2247913</v>
      </c>
      <c r="AE17" s="42">
        <f>C21</f>
        <v>3732565</v>
      </c>
      <c r="AF17" s="42">
        <f>C22</f>
        <v>-6878915</v>
      </c>
      <c r="AG17" s="42">
        <f>C23</f>
        <v>-6286663</v>
      </c>
      <c r="AH17" s="42">
        <f>C24</f>
        <v>-3031055</v>
      </c>
      <c r="AI17" s="42">
        <f>C25</f>
        <v>-14441607</v>
      </c>
      <c r="AJ17" s="42">
        <f>C26</f>
        <v>3425899</v>
      </c>
      <c r="AK17" s="42">
        <f>C27</f>
        <v>-1763805</v>
      </c>
      <c r="AL17" s="42">
        <f>C28</f>
        <v>13262378</v>
      </c>
      <c r="AM17" s="42">
        <f>C29</f>
        <v>10697124</v>
      </c>
      <c r="AN17" s="42">
        <f>C30</f>
        <v>6338688</v>
      </c>
      <c r="AO17" s="42">
        <f>C31</f>
        <v>5646141</v>
      </c>
      <c r="AP17" s="42">
        <f>C32</f>
        <v>3635377</v>
      </c>
      <c r="AQ17" s="42">
        <f>D32</f>
        <v>79980581</v>
      </c>
      <c r="AR17" s="42">
        <f>E32</f>
        <v>34739705</v>
      </c>
    </row>
    <row r="18" spans="1:44" ht="15" customHeight="1" x14ac:dyDescent="0.25">
      <c r="A18" s="13" t="s">
        <v>39</v>
      </c>
      <c r="B18" s="14">
        <v>85618361</v>
      </c>
      <c r="C18" s="14">
        <v>6136497</v>
      </c>
      <c r="D18" s="15">
        <v>0</v>
      </c>
      <c r="E18" s="14">
        <v>80262674</v>
      </c>
      <c r="F18" s="15">
        <v>0</v>
      </c>
      <c r="G18" s="14">
        <v>-1718778</v>
      </c>
      <c r="H18" s="20">
        <v>1.6070258015000001</v>
      </c>
      <c r="I18" s="14">
        <v>1132357</v>
      </c>
      <c r="J18" s="17">
        <v>11.288516463000001</v>
      </c>
      <c r="K18" s="14">
        <v>28927983.300000001</v>
      </c>
      <c r="L18" s="43" t="str">
        <f>+L19</f>
        <v>Eletrobras ON</v>
      </c>
      <c r="M18" s="18" t="s">
        <v>40</v>
      </c>
      <c r="N18" s="18"/>
      <c r="O18" s="25"/>
      <c r="P18" s="44">
        <f t="shared" ref="P18:AR18" si="2">P14+P17</f>
        <v>1552307.1008000001</v>
      </c>
      <c r="Q18" s="44">
        <f t="shared" si="2"/>
        <v>2661569.7862968226</v>
      </c>
      <c r="R18" s="44">
        <f t="shared" si="2"/>
        <v>648935.61200329848</v>
      </c>
      <c r="S18" s="44">
        <f t="shared" si="2"/>
        <v>-460458.36767935404</v>
      </c>
      <c r="T18" s="44">
        <f t="shared" si="2"/>
        <v>18022.184090971481</v>
      </c>
      <c r="U18" s="44">
        <f t="shared" si="2"/>
        <v>229715.95422903216</v>
      </c>
      <c r="V18" s="44">
        <f t="shared" si="2"/>
        <v>-1804703.7722370983</v>
      </c>
      <c r="W18" s="44">
        <f t="shared" si="2"/>
        <v>-5570398.6792440927</v>
      </c>
      <c r="X18" s="44">
        <f t="shared" si="2"/>
        <v>-7423552.8959115334</v>
      </c>
      <c r="Y18" s="44">
        <f t="shared" si="2"/>
        <v>-10436617.56684104</v>
      </c>
      <c r="Z18" s="44">
        <f t="shared" si="2"/>
        <v>-12846015.806649832</v>
      </c>
      <c r="AA18" s="44">
        <f t="shared" si="2"/>
        <v>-12774884.124946754</v>
      </c>
      <c r="AB18" s="44">
        <f t="shared" si="2"/>
        <v>-8560667.8573153876</v>
      </c>
      <c r="AC18" s="44">
        <f t="shared" si="2"/>
        <v>-17215346.223930895</v>
      </c>
      <c r="AD18" s="44">
        <f t="shared" si="2"/>
        <v>-15229384.869308922</v>
      </c>
      <c r="AE18" s="44">
        <f t="shared" si="2"/>
        <v>-15433955.945092954</v>
      </c>
      <c r="AF18" s="44">
        <f t="shared" si="2"/>
        <v>-28809046.501742199</v>
      </c>
      <c r="AG18" s="44">
        <f t="shared" si="2"/>
        <v>-29781653.35173139</v>
      </c>
      <c r="AH18" s="44">
        <f t="shared" si="2"/>
        <v>-26120143.132801183</v>
      </c>
      <c r="AI18" s="44">
        <f t="shared" si="2"/>
        <v>-34392402.714365408</v>
      </c>
      <c r="AJ18" s="44">
        <f t="shared" si="2"/>
        <v>-29241197.694892388</v>
      </c>
      <c r="AK18" s="44">
        <f t="shared" si="2"/>
        <v>-45297482.717117913</v>
      </c>
      <c r="AL18" s="44">
        <f t="shared" si="2"/>
        <v>-27386149.929651253</v>
      </c>
      <c r="AM18" s="44">
        <f t="shared" si="2"/>
        <v>-28465306.881278045</v>
      </c>
      <c r="AN18" s="44">
        <f t="shared" si="2"/>
        <v>-35388425.977926202</v>
      </c>
      <c r="AO18" s="44">
        <f t="shared" si="2"/>
        <v>-12928768.705539495</v>
      </c>
      <c r="AP18" s="44">
        <f t="shared" si="2"/>
        <v>-40570361.761538669</v>
      </c>
      <c r="AQ18" s="44">
        <f t="shared" si="2"/>
        <v>25344230.906131841</v>
      </c>
      <c r="AR18" s="44">
        <f t="shared" si="2"/>
        <v>-14919214.417183876</v>
      </c>
    </row>
    <row r="19" spans="1:44" ht="15" customHeight="1" x14ac:dyDescent="0.25">
      <c r="A19" s="13" t="s">
        <v>41</v>
      </c>
      <c r="B19" s="14">
        <v>76091785</v>
      </c>
      <c r="C19" s="14">
        <v>170526</v>
      </c>
      <c r="D19" s="15">
        <v>0</v>
      </c>
      <c r="E19" s="14">
        <v>77261818</v>
      </c>
      <c r="F19" s="15">
        <v>0</v>
      </c>
      <c r="G19" s="14">
        <v>-1132677</v>
      </c>
      <c r="H19" s="20">
        <v>4.2440279422999998</v>
      </c>
      <c r="I19" s="14">
        <v>1132357</v>
      </c>
      <c r="J19" s="17">
        <v>16.719301459</v>
      </c>
      <c r="K19" s="14">
        <v>40100342.259999998</v>
      </c>
      <c r="L19" s="18" t="str">
        <f>+A1</f>
        <v>Eletrobras ON</v>
      </c>
      <c r="M19" s="18" t="s">
        <v>42</v>
      </c>
      <c r="N19" s="18"/>
      <c r="O19" s="31"/>
      <c r="P19" s="45">
        <f t="shared" ref="P19:AR19" si="3">P18/P17</f>
        <v>0.64855518242228383</v>
      </c>
      <c r="Q19" s="45">
        <f t="shared" si="3"/>
        <v>0.78786345744341169</v>
      </c>
      <c r="R19" s="45">
        <f t="shared" si="3"/>
        <v>0.32541508932667917</v>
      </c>
      <c r="S19" s="45">
        <f t="shared" si="3"/>
        <v>-0.79308834249245863</v>
      </c>
      <c r="T19" s="45">
        <f t="shared" si="3"/>
        <v>7.3385815984244249E-3</v>
      </c>
      <c r="U19" s="45">
        <f t="shared" si="3"/>
        <v>7.0652788339633968E-2</v>
      </c>
      <c r="V19" s="45">
        <f t="shared" si="3"/>
        <v>-1.6401328427914084</v>
      </c>
      <c r="W19" s="45">
        <f t="shared" si="3"/>
        <v>-17.239144848724465</v>
      </c>
      <c r="X19" s="45">
        <f t="shared" si="3"/>
        <v>-5.7399462898503639</v>
      </c>
      <c r="Y19" s="45">
        <f t="shared" si="3"/>
        <v>-10.708737290120286</v>
      </c>
      <c r="Z19" s="45">
        <f t="shared" si="3"/>
        <v>-11.061583310212907</v>
      </c>
      <c r="AA19" s="45">
        <f t="shared" si="3"/>
        <v>-8.2532715392615437</v>
      </c>
      <c r="AB19" s="45">
        <f t="shared" si="3"/>
        <v>-1.3950414800684148</v>
      </c>
      <c r="AC19" s="45">
        <f t="shared" si="3"/>
        <v>-100.95437777189927</v>
      </c>
      <c r="AD19" s="45">
        <f t="shared" si="3"/>
        <v>-6.7748995932266602</v>
      </c>
      <c r="AE19" s="45">
        <f t="shared" si="3"/>
        <v>-4.1349463291578186</v>
      </c>
      <c r="AF19" s="45">
        <f t="shared" si="3"/>
        <v>4.1880218757961396</v>
      </c>
      <c r="AG19" s="45">
        <f t="shared" si="3"/>
        <v>4.7372753003829517</v>
      </c>
      <c r="AH19" s="45">
        <f t="shared" si="3"/>
        <v>8.6175087990159138</v>
      </c>
      <c r="AI19" s="45">
        <f t="shared" si="3"/>
        <v>2.3814803099381812</v>
      </c>
      <c r="AJ19" s="45">
        <f t="shared" si="3"/>
        <v>-8.5353355994710842</v>
      </c>
      <c r="AK19" s="45">
        <f t="shared" si="3"/>
        <v>25.681684039402267</v>
      </c>
      <c r="AL19" s="45">
        <f t="shared" si="3"/>
        <v>-2.0649501868858851</v>
      </c>
      <c r="AM19" s="45">
        <f t="shared" si="3"/>
        <v>-2.6610242978652998</v>
      </c>
      <c r="AN19" s="45">
        <f t="shared" si="3"/>
        <v>-5.582925990035509</v>
      </c>
      <c r="AO19" s="45">
        <f t="shared" si="3"/>
        <v>-2.2898416290948975</v>
      </c>
      <c r="AP19" s="45">
        <f t="shared" si="3"/>
        <v>-11.159877438169046</v>
      </c>
      <c r="AQ19" s="45">
        <f t="shared" si="3"/>
        <v>0.3168798049382992</v>
      </c>
      <c r="AR19" s="45">
        <f t="shared" si="3"/>
        <v>-0.42945714182615757</v>
      </c>
    </row>
    <row r="20" spans="1:44" ht="15" customHeight="1" x14ac:dyDescent="0.25">
      <c r="A20" s="13" t="s">
        <v>43</v>
      </c>
      <c r="B20" s="14">
        <v>70304115</v>
      </c>
      <c r="C20" s="14">
        <v>2247913</v>
      </c>
      <c r="D20" s="14">
        <v>2263972</v>
      </c>
      <c r="E20" s="14">
        <v>46682498</v>
      </c>
      <c r="F20" s="14">
        <v>4724648</v>
      </c>
      <c r="G20" s="14">
        <v>-3143565</v>
      </c>
      <c r="H20" s="20">
        <v>52.990767112999997</v>
      </c>
      <c r="I20" s="14">
        <v>1132357.0900000001</v>
      </c>
      <c r="J20" s="17">
        <v>14.534884179000001</v>
      </c>
      <c r="K20" s="14">
        <v>26211137.806000002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76843509</v>
      </c>
      <c r="C21" s="14">
        <v>3732565</v>
      </c>
      <c r="D21" s="14">
        <v>2371367</v>
      </c>
      <c r="E21" s="14">
        <v>53214861</v>
      </c>
      <c r="F21" s="14">
        <v>4570959</v>
      </c>
      <c r="G21" s="14">
        <v>-4062839</v>
      </c>
      <c r="H21" s="20">
        <v>4.9025047829000004</v>
      </c>
      <c r="I21" s="14">
        <v>1352634.1</v>
      </c>
      <c r="J21" s="17">
        <v>12.159829958</v>
      </c>
      <c r="K21" s="14">
        <v>26523902.409000002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67083945</v>
      </c>
      <c r="C22" s="14">
        <v>-6878915</v>
      </c>
      <c r="D22" s="14">
        <v>2300740</v>
      </c>
      <c r="E22" s="14">
        <v>47407102</v>
      </c>
      <c r="F22" s="14">
        <v>5398299</v>
      </c>
      <c r="G22" s="14">
        <v>-5032645</v>
      </c>
      <c r="H22" s="20">
        <v>20.159025261</v>
      </c>
      <c r="I22" s="14">
        <v>1352634.1</v>
      </c>
      <c r="J22" s="17">
        <v>4.6986584134999996</v>
      </c>
      <c r="K22" s="14">
        <v>9664346.6355000008</v>
      </c>
      <c r="L22" s="47" t="str">
        <f>+L24</f>
        <v>Eletrobras ON</v>
      </c>
      <c r="M22" s="39" t="s">
        <v>46</v>
      </c>
      <c r="N22" s="32"/>
      <c r="O22" s="32"/>
      <c r="P22" s="30">
        <v>59644584</v>
      </c>
      <c r="Q22" s="30">
        <v>61646875</v>
      </c>
      <c r="R22" s="30">
        <v>59995657</v>
      </c>
      <c r="S22" s="30">
        <v>10502002</v>
      </c>
      <c r="T22" s="30">
        <v>10565590</v>
      </c>
      <c r="U22" s="30">
        <v>64285524</v>
      </c>
      <c r="V22" s="30">
        <v>66550862</v>
      </c>
      <c r="W22" s="30">
        <v>67837732</v>
      </c>
      <c r="X22" s="30">
        <v>69873809</v>
      </c>
      <c r="Y22" s="30">
        <v>75714890</v>
      </c>
      <c r="Z22" s="30">
        <v>77835788</v>
      </c>
      <c r="AA22" s="30">
        <v>79963236</v>
      </c>
      <c r="AB22" s="30">
        <v>85618361</v>
      </c>
      <c r="AC22" s="30">
        <v>76091785</v>
      </c>
      <c r="AD22" s="30">
        <v>70304115</v>
      </c>
      <c r="AE22" s="30">
        <v>76843509</v>
      </c>
      <c r="AF22" s="30">
        <v>67083945</v>
      </c>
      <c r="AG22" s="30">
        <v>60493710</v>
      </c>
      <c r="AH22" s="30">
        <v>56539551</v>
      </c>
      <c r="AI22" s="30">
        <v>42092014</v>
      </c>
      <c r="AJ22" s="30">
        <v>44203470</v>
      </c>
      <c r="AK22" s="30">
        <v>42339377</v>
      </c>
      <c r="AL22" s="30">
        <v>55542906</v>
      </c>
      <c r="AM22" s="30">
        <v>70906801</v>
      </c>
      <c r="AN22" s="30">
        <v>73478307</v>
      </c>
      <c r="AO22" s="30">
        <v>76121204</v>
      </c>
      <c r="AP22" s="30">
        <v>110504796</v>
      </c>
      <c r="AQ22" s="30">
        <v>110504796</v>
      </c>
      <c r="AR22" s="30">
        <v>110504796</v>
      </c>
    </row>
    <row r="23" spans="1:44" ht="15" customHeight="1" x14ac:dyDescent="0.25">
      <c r="A23" s="13" t="s">
        <v>47</v>
      </c>
      <c r="B23" s="14">
        <v>60493710</v>
      </c>
      <c r="C23" s="14">
        <v>-6286663</v>
      </c>
      <c r="D23" s="14">
        <v>788582</v>
      </c>
      <c r="E23" s="14">
        <v>30038514</v>
      </c>
      <c r="F23" s="14">
        <v>17414994</v>
      </c>
      <c r="G23" s="14">
        <v>-4189709</v>
      </c>
      <c r="H23" s="20">
        <v>6.959592862</v>
      </c>
      <c r="I23" s="14">
        <v>1352634.1</v>
      </c>
      <c r="J23" s="17">
        <v>4.7116937847000004</v>
      </c>
      <c r="K23" s="14">
        <v>9018232.4071999993</v>
      </c>
      <c r="L23" s="47" t="str">
        <f>+L25</f>
        <v>Eletrobras ON</v>
      </c>
      <c r="M23" s="39" t="s">
        <v>48</v>
      </c>
      <c r="N23" s="32"/>
      <c r="O23" s="32"/>
      <c r="P23" s="30">
        <f>P22+P9+P10+P14</f>
        <v>64925360.2698</v>
      </c>
      <c r="Q23" s="33">
        <f>Q22+Q9+Q10+Q14+((P9+P10+P14)*(1+Q5))</f>
        <v>69928029.178563952</v>
      </c>
      <c r="R23" s="33">
        <f>R22+R9+R10+R14+((Q9+Q10+Q14)*(1+R5))+(((P9+P10+P14)*(1+R5)*(1+Q5)))</f>
        <v>68211560.226642266</v>
      </c>
      <c r="S23" s="33">
        <f>S22+S9+S10+S14+((R9+R10+R14)*(1+S5))+(((Q9+Q10+Q14)*(1+S5)*(1+R5)))+(((P9+P10+P14)*(1+S5)*(1+R5)*(1+Q5)))</f>
        <v>24447570.906336632</v>
      </c>
      <c r="T23" s="33">
        <f>T22+T9+T10+T14+((S9+S10+S14)*(1+T5))+(((R9+R10+R14)*(1+T5)*(1+S5)))+(((Q9+Q10+Q14)*(1+T5)*(1+S5)*(1+R5)))+(((P9+P10+P14)*(1+T5)*(1+S5)*(1+R5)*(1+Q5)))</f>
        <v>27298921.73987636</v>
      </c>
      <c r="U23" s="33">
        <f>U22+U9+U10+U14+((T9+T10+T14)*(1+U5))+((S9+S10+S14)*(1+U5)*(1+T5))+((R9+R10+R14)*(1+U5)*(1+T5)*(1+S5))+((Q9+Q10+Q14)*(1+U5)*(1+T5)*(1+S5)*(1+R5))+((P9+P10+P14)*(1+U5)*(1+T5)*(1+S5)*(1+R5)*(1+Q5))</f>
        <v>85260527.431273296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97665125.210423827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104546857.60516849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108011201.67896372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110264474.72424722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102526895.18257479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95391540.802712604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92114744.929440111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68521262.309243515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47675566.657746933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35805199.658148415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2637032.7820352986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-32052777.505538657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-67786336.864943475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-123780932.31121816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-171847825.9335683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-228107434.91177505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-272987897.88699865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-320779696.2392996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-389761529.14623827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-484429890.2976684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-547066959.36116207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-650563220.10697269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-757885498.7724098</v>
      </c>
    </row>
    <row r="24" spans="1:44" ht="15" customHeight="1" x14ac:dyDescent="0.25">
      <c r="A24" s="13" t="s">
        <v>49</v>
      </c>
      <c r="B24" s="14">
        <v>56539551</v>
      </c>
      <c r="C24" s="14">
        <v>-3031055</v>
      </c>
      <c r="D24" s="14">
        <v>1365371</v>
      </c>
      <c r="E24" s="14">
        <v>31168232</v>
      </c>
      <c r="F24" s="14">
        <v>20070517</v>
      </c>
      <c r="G24" s="14">
        <v>-814993</v>
      </c>
      <c r="H24" s="20">
        <v>7.1105008447999998</v>
      </c>
      <c r="I24" s="14">
        <v>1352634.1</v>
      </c>
      <c r="J24" s="17">
        <v>4.9161037667</v>
      </c>
      <c r="K24" s="14">
        <v>8477017.3703000005</v>
      </c>
      <c r="L24" s="47" t="str">
        <f>+L25</f>
        <v>Eletrobras ON</v>
      </c>
      <c r="M24" s="39" t="s">
        <v>50</v>
      </c>
      <c r="N24" s="32"/>
      <c r="O24" s="32"/>
      <c r="P24" s="30">
        <v>20113082.390000001</v>
      </c>
      <c r="Q24" s="30">
        <v>29958876.370999999</v>
      </c>
      <c r="R24" s="30">
        <v>11384030.252</v>
      </c>
      <c r="S24" s="30">
        <v>17428087.655999999</v>
      </c>
      <c r="T24" s="30">
        <v>16748049.408</v>
      </c>
      <c r="U24" s="30">
        <v>16908117.640999999</v>
      </c>
      <c r="V24" s="30">
        <v>12671297.507999999</v>
      </c>
      <c r="W24" s="30">
        <v>25788402.721999999</v>
      </c>
      <c r="X24" s="30">
        <v>20753913.537999999</v>
      </c>
      <c r="Y24" s="30">
        <v>21640780.202</v>
      </c>
      <c r="Z24" s="30">
        <v>28495223.25</v>
      </c>
      <c r="AA24" s="30">
        <v>26809961.920000002</v>
      </c>
      <c r="AB24" s="30">
        <v>28927983.300000001</v>
      </c>
      <c r="AC24" s="30">
        <v>40100342.259999998</v>
      </c>
      <c r="AD24" s="30">
        <v>26211137.806000002</v>
      </c>
      <c r="AE24" s="30">
        <v>26523902.409000002</v>
      </c>
      <c r="AF24" s="30">
        <v>9664346.6355000008</v>
      </c>
      <c r="AG24" s="30">
        <v>9018232.4071999993</v>
      </c>
      <c r="AH24" s="30">
        <v>8477017.3703000005</v>
      </c>
      <c r="AI24" s="30">
        <v>9034104.6140000001</v>
      </c>
      <c r="AJ24" s="30">
        <v>31671129.421</v>
      </c>
      <c r="AK24" s="30">
        <v>27051811.421</v>
      </c>
      <c r="AL24" s="30">
        <v>33820949.214000002</v>
      </c>
      <c r="AM24" s="30">
        <v>51246978.273000002</v>
      </c>
      <c r="AN24" s="30">
        <v>57626440.546999998</v>
      </c>
      <c r="AO24" s="30">
        <v>52310576.016000003</v>
      </c>
      <c r="AP24" s="30">
        <v>97238415.839000002</v>
      </c>
      <c r="AQ24" s="30">
        <f>+K33</f>
        <v>87944465.214327097</v>
      </c>
      <c r="AR24" s="30">
        <f>+K34</f>
        <v>73332650.480117202</v>
      </c>
    </row>
    <row r="25" spans="1:44" ht="15" customHeight="1" x14ac:dyDescent="0.25">
      <c r="A25" s="13" t="s">
        <v>51</v>
      </c>
      <c r="B25" s="14">
        <v>42092014</v>
      </c>
      <c r="C25" s="14">
        <v>-14441607</v>
      </c>
      <c r="D25" s="14">
        <v>935151</v>
      </c>
      <c r="E25" s="14">
        <v>29546645</v>
      </c>
      <c r="F25" s="14">
        <v>21954530</v>
      </c>
      <c r="G25" s="14">
        <v>-23056</v>
      </c>
      <c r="H25" s="20">
        <v>0</v>
      </c>
      <c r="I25" s="14">
        <v>1352634.1</v>
      </c>
      <c r="J25" s="17">
        <v>4.8821996028000001</v>
      </c>
      <c r="K25" s="14">
        <v>9034104.6140000001</v>
      </c>
      <c r="L25" s="39" t="str">
        <f>+A1</f>
        <v>Eletrobras ON</v>
      </c>
      <c r="M25" s="39" t="s">
        <v>52</v>
      </c>
      <c r="N25" s="18"/>
      <c r="O25" s="18"/>
      <c r="P25" s="31">
        <f t="shared" ref="P25:AR25" si="4">P24/P23</f>
        <v>0.30978776715938522</v>
      </c>
      <c r="Q25" s="31">
        <f t="shared" si="4"/>
        <v>0.42842443470698766</v>
      </c>
      <c r="R25" s="31">
        <f t="shared" si="4"/>
        <v>0.1668929755333993</v>
      </c>
      <c r="S25" s="31">
        <f t="shared" si="4"/>
        <v>0.71287604493593126</v>
      </c>
      <c r="T25" s="31">
        <f t="shared" si="4"/>
        <v>0.6135058947597779</v>
      </c>
      <c r="U25" s="31">
        <f t="shared" si="4"/>
        <v>0.19831120156545212</v>
      </c>
      <c r="V25" s="31">
        <f t="shared" si="4"/>
        <v>0.12974229522256925</v>
      </c>
      <c r="W25" s="31">
        <f t="shared" si="4"/>
        <v>0.24666836778004789</v>
      </c>
      <c r="X25" s="31">
        <f t="shared" si="4"/>
        <v>0.19214593686019543</v>
      </c>
      <c r="Y25" s="31">
        <f t="shared" si="4"/>
        <v>0.19626248849522865</v>
      </c>
      <c r="Z25" s="31">
        <f t="shared" si="4"/>
        <v>0.2779292516296053</v>
      </c>
      <c r="AA25" s="31">
        <f t="shared" si="4"/>
        <v>0.28105177560186362</v>
      </c>
      <c r="AB25" s="31">
        <f t="shared" si="4"/>
        <v>0.31404291812520174</v>
      </c>
      <c r="AC25" s="31">
        <f t="shared" si="4"/>
        <v>0.58522480334677762</v>
      </c>
      <c r="AD25" s="31">
        <f t="shared" si="4"/>
        <v>0.54978135853453736</v>
      </c>
      <c r="AE25" s="31">
        <f t="shared" si="4"/>
        <v>0.74078353597349067</v>
      </c>
      <c r="AF25" s="31">
        <f t="shared" si="4"/>
        <v>3.6648564634228489</v>
      </c>
      <c r="AG25" s="31">
        <f t="shared" si="4"/>
        <v>-0.28135572356067012</v>
      </c>
      <c r="AH25" s="31">
        <f t="shared" si="4"/>
        <v>-0.12505495594472804</v>
      </c>
      <c r="AI25" s="31">
        <f t="shared" si="4"/>
        <v>-7.2984622472271096E-2</v>
      </c>
      <c r="AJ25" s="31">
        <f t="shared" si="4"/>
        <v>-0.18429752747202749</v>
      </c>
      <c r="AK25" s="31">
        <f t="shared" si="4"/>
        <v>-0.11859241427822294</v>
      </c>
      <c r="AL25" s="31">
        <f t="shared" si="4"/>
        <v>-0.12389175298899124</v>
      </c>
      <c r="AM25" s="31">
        <f t="shared" si="4"/>
        <v>-0.15975754972587194</v>
      </c>
      <c r="AN25" s="31">
        <f t="shared" si="4"/>
        <v>-0.14785050919014275</v>
      </c>
      <c r="AO25" s="31">
        <f t="shared" si="4"/>
        <v>-0.10798379097511229</v>
      </c>
      <c r="AP25" s="31">
        <f t="shared" si="4"/>
        <v>-0.17774499844141611</v>
      </c>
      <c r="AQ25" s="31">
        <f t="shared" si="4"/>
        <v>-0.13518204303013981</v>
      </c>
      <c r="AR25" s="31">
        <f t="shared" si="4"/>
        <v>-9.6759537685967428E-2</v>
      </c>
    </row>
    <row r="26" spans="1:44" ht="15" customHeight="1" x14ac:dyDescent="0.25">
      <c r="A26" s="13" t="s">
        <v>53</v>
      </c>
      <c r="B26" s="14">
        <v>44203470</v>
      </c>
      <c r="C26" s="14">
        <v>3425899</v>
      </c>
      <c r="D26" s="14">
        <v>761739</v>
      </c>
      <c r="E26" s="14">
        <v>26812925</v>
      </c>
      <c r="F26" s="14">
        <v>26531534</v>
      </c>
      <c r="G26" s="14">
        <v>-5790</v>
      </c>
      <c r="H26" s="20">
        <v>0</v>
      </c>
      <c r="I26" s="14">
        <v>1352634.1</v>
      </c>
      <c r="J26" s="17">
        <v>19.333849469</v>
      </c>
      <c r="K26" s="14">
        <v>31671129.421</v>
      </c>
    </row>
    <row r="27" spans="1:44" ht="15" customHeight="1" x14ac:dyDescent="0.25">
      <c r="A27" s="13" t="s">
        <v>54</v>
      </c>
      <c r="B27" s="14">
        <v>42339377</v>
      </c>
      <c r="C27" s="14">
        <v>-1763805</v>
      </c>
      <c r="D27" s="14">
        <v>749762</v>
      </c>
      <c r="E27" s="14">
        <v>27965837</v>
      </c>
      <c r="F27" s="14">
        <v>28708364</v>
      </c>
      <c r="G27" s="14">
        <v>-381436</v>
      </c>
      <c r="H27" s="20">
        <v>0</v>
      </c>
      <c r="I27" s="14">
        <v>1352634.1</v>
      </c>
      <c r="J27" s="17">
        <v>16.392663249999998</v>
      </c>
      <c r="K27" s="14">
        <v>27051811.421</v>
      </c>
      <c r="S27" s="67"/>
    </row>
    <row r="28" spans="1:44" ht="15" customHeight="1" x14ac:dyDescent="0.25">
      <c r="A28" s="13" t="s">
        <v>55</v>
      </c>
      <c r="B28" s="14">
        <v>55542906</v>
      </c>
      <c r="C28" s="14">
        <v>13262378</v>
      </c>
      <c r="D28" s="14">
        <v>649650</v>
      </c>
      <c r="E28" s="14">
        <v>32370392</v>
      </c>
      <c r="F28" s="14">
        <v>27983348</v>
      </c>
      <c r="G28" s="14">
        <v>-64499</v>
      </c>
      <c r="H28" s="20">
        <v>0</v>
      </c>
      <c r="I28" s="14">
        <v>1352634.1</v>
      </c>
      <c r="J28" s="17">
        <v>20.537447286999999</v>
      </c>
      <c r="K28" s="14">
        <v>33820949.214000002</v>
      </c>
    </row>
    <row r="29" spans="1:44" ht="15" customHeight="1" x14ac:dyDescent="0.25">
      <c r="A29" s="13" t="s">
        <v>56</v>
      </c>
      <c r="B29" s="14">
        <v>70906801</v>
      </c>
      <c r="C29" s="14">
        <v>10697124</v>
      </c>
      <c r="D29" s="14">
        <v>655041</v>
      </c>
      <c r="E29" s="14">
        <v>33315874</v>
      </c>
      <c r="F29" s="14">
        <v>29112919</v>
      </c>
      <c r="G29" s="14">
        <v>-1183146</v>
      </c>
      <c r="H29" s="20">
        <v>2.1875565863999999</v>
      </c>
      <c r="I29" s="14">
        <v>1352634.1</v>
      </c>
      <c r="J29" s="17">
        <v>32.874101611999997</v>
      </c>
      <c r="K29" s="14">
        <v>51246978.273000002</v>
      </c>
    </row>
    <row r="30" spans="1:44" ht="15" customHeight="1" x14ac:dyDescent="0.25">
      <c r="A30" s="13" t="s">
        <v>57</v>
      </c>
      <c r="B30" s="14">
        <v>73478307</v>
      </c>
      <c r="C30" s="14">
        <v>6338688</v>
      </c>
      <c r="D30" s="14">
        <v>650950</v>
      </c>
      <c r="E30" s="14">
        <v>32662912</v>
      </c>
      <c r="F30" s="14">
        <v>29089522</v>
      </c>
      <c r="G30" s="14">
        <v>-2593945</v>
      </c>
      <c r="H30" s="20">
        <v>4.4226167866999999</v>
      </c>
      <c r="I30" s="14">
        <v>1568930.91</v>
      </c>
      <c r="J30" s="17">
        <v>33.247847374999999</v>
      </c>
      <c r="K30" s="14">
        <v>57626440.546999998</v>
      </c>
    </row>
    <row r="31" spans="1:44" ht="15" customHeight="1" x14ac:dyDescent="0.25">
      <c r="A31" s="13" t="s">
        <v>58</v>
      </c>
      <c r="B31" s="14">
        <v>76121204</v>
      </c>
      <c r="C31" s="14">
        <v>5646141</v>
      </c>
      <c r="D31" s="14">
        <v>4992176</v>
      </c>
      <c r="E31" s="14">
        <v>33367981</v>
      </c>
      <c r="F31" s="14">
        <v>27647781</v>
      </c>
      <c r="G31" s="14">
        <v>-3747606</v>
      </c>
      <c r="H31" s="20">
        <v>7.1389670491999997</v>
      </c>
      <c r="I31" s="14">
        <v>1568931</v>
      </c>
      <c r="J31" s="17">
        <v>32.583347901000003</v>
      </c>
      <c r="K31" s="14">
        <v>52310576.016000003</v>
      </c>
    </row>
    <row r="32" spans="1:44" ht="15" customHeight="1" x14ac:dyDescent="0.25">
      <c r="A32" s="13" t="s">
        <v>59</v>
      </c>
      <c r="B32" s="14">
        <v>110504796</v>
      </c>
      <c r="C32" s="14">
        <v>3635377</v>
      </c>
      <c r="D32" s="14">
        <v>79980581</v>
      </c>
      <c r="E32" s="14">
        <v>34739705</v>
      </c>
      <c r="F32" s="14">
        <v>33985522</v>
      </c>
      <c r="G32" s="14">
        <v>-1490058</v>
      </c>
      <c r="H32" s="20">
        <v>1.7512795849</v>
      </c>
      <c r="I32" s="14">
        <v>2301228</v>
      </c>
      <c r="J32" s="17">
        <v>41.847430379000002</v>
      </c>
      <c r="K32" s="14">
        <v>87806979.2578125</v>
      </c>
    </row>
    <row r="33" spans="1:42" ht="15" customHeight="1" x14ac:dyDescent="0.25">
      <c r="A33" s="13" t="s">
        <v>60</v>
      </c>
      <c r="B33" s="14">
        <v>112333372</v>
      </c>
      <c r="C33" s="14">
        <v>4549774</v>
      </c>
      <c r="D33" s="14">
        <v>79866241</v>
      </c>
      <c r="E33" s="14">
        <v>35805421</v>
      </c>
      <c r="F33" s="14"/>
      <c r="G33" s="14"/>
      <c r="H33" s="14"/>
      <c r="I33" s="14"/>
      <c r="J33" s="14"/>
      <c r="K33" s="14">
        <v>87944465.214327097</v>
      </c>
    </row>
    <row r="34" spans="1:42" ht="15" customHeight="1" x14ac:dyDescent="0.25">
      <c r="A34" s="13" t="s">
        <v>61</v>
      </c>
      <c r="B34" s="14">
        <v>121863225</v>
      </c>
      <c r="C34" s="14">
        <v>10378122</v>
      </c>
      <c r="D34" s="14">
        <v>78173273</v>
      </c>
      <c r="E34" s="14">
        <v>36854056</v>
      </c>
      <c r="F34" s="14"/>
      <c r="G34" s="14"/>
      <c r="H34" s="14"/>
      <c r="I34" s="14"/>
      <c r="J34" s="14"/>
      <c r="K34" s="14">
        <v>73332650.480117202</v>
      </c>
    </row>
    <row r="46" spans="1:42" ht="15" customHeight="1" x14ac:dyDescent="0.25">
      <c r="M46" s="46" t="s">
        <v>62</v>
      </c>
      <c r="N46" s="1"/>
      <c r="O46" s="1"/>
      <c r="P46" s="35">
        <f>-G6/P17</f>
        <v>0</v>
      </c>
      <c r="Q46" s="35">
        <f>-G7/Q17</f>
        <v>0</v>
      </c>
      <c r="R46" s="35">
        <f>-G8/R17</f>
        <v>0</v>
      </c>
      <c r="S46" s="35">
        <f>-G9/S17</f>
        <v>0</v>
      </c>
      <c r="T46" s="35">
        <f>-G10/T17</f>
        <v>0</v>
      </c>
      <c r="U46" s="35">
        <f>-G11/U17</f>
        <v>0</v>
      </c>
      <c r="V46" s="35">
        <f>-G12/V17</f>
        <v>0</v>
      </c>
      <c r="W46" s="35">
        <f>-G13/W17</f>
        <v>0</v>
      </c>
      <c r="X46" s="35">
        <f>-G14/X17</f>
        <v>0</v>
      </c>
      <c r="Y46" s="35">
        <f>-G15/Y17</f>
        <v>0</v>
      </c>
      <c r="Z46" s="35">
        <f>-G16/Z17</f>
        <v>0</v>
      </c>
      <c r="AA46" s="35">
        <f>-G17/AA17</f>
        <v>0.48648550867425089</v>
      </c>
      <c r="AB46" s="35">
        <f>-G18/AB17</f>
        <v>0.28009106824300573</v>
      </c>
      <c r="AC46" s="35">
        <f>-G19/AC17</f>
        <v>6.642253967136976</v>
      </c>
      <c r="AD46" s="35">
        <f>-G20/AD17</f>
        <v>1.3984371281272896</v>
      </c>
      <c r="AE46" s="35">
        <f>-G21/AE17</f>
        <v>1.08848446041797</v>
      </c>
      <c r="AF46" s="35">
        <f>-G22/AF17</f>
        <v>-0.73160447541509088</v>
      </c>
      <c r="AG46" s="35">
        <f>-G23/AG17</f>
        <v>-0.66644402602779884</v>
      </c>
      <c r="AH46" s="35">
        <f>-G24/AH17</f>
        <v>-0.26888096718799231</v>
      </c>
      <c r="AI46" s="35">
        <f>-G25/AI17</f>
        <v>-1.5964982290405771E-3</v>
      </c>
      <c r="AJ46" s="35">
        <f>-G26/AJ17</f>
        <v>1.6900673370697735E-3</v>
      </c>
      <c r="AK46" s="35">
        <f>-G27/AK17</f>
        <v>-0.21625746610311231</v>
      </c>
      <c r="AL46" s="35">
        <f>-G28/AL17</f>
        <v>4.8633058113710832E-3</v>
      </c>
      <c r="AM46" s="35">
        <f>-G29/AM17</f>
        <v>0.11060412125726504</v>
      </c>
      <c r="AN46" s="35">
        <f>-G30/AN17</f>
        <v>0.40922427480260898</v>
      </c>
      <c r="AO46" s="35">
        <f>-G31/AO17</f>
        <v>0.66374644203890765</v>
      </c>
      <c r="AP46" s="35">
        <f>-G32/AP17</f>
        <v>0.4098771599204154</v>
      </c>
    </row>
    <row r="47" spans="1:42" ht="15" customHeight="1" x14ac:dyDescent="0.25">
      <c r="M47" s="39" t="s">
        <v>63</v>
      </c>
      <c r="N47" s="32"/>
      <c r="O47" s="32"/>
      <c r="P47" s="36">
        <f>-G6/P18</f>
        <v>0</v>
      </c>
      <c r="Q47" s="36">
        <f>-G7/Q18</f>
        <v>0</v>
      </c>
      <c r="R47" s="36">
        <f>-G8/R18</f>
        <v>0</v>
      </c>
      <c r="S47" s="36">
        <f>-G9/S18</f>
        <v>0</v>
      </c>
      <c r="T47" s="36">
        <f>-G10/T18</f>
        <v>0</v>
      </c>
      <c r="U47" s="36">
        <f>-G11/U18</f>
        <v>0</v>
      </c>
      <c r="V47" s="36">
        <f>-G12/V18</f>
        <v>0</v>
      </c>
      <c r="W47" s="36">
        <f>-G13/W18</f>
        <v>0</v>
      </c>
      <c r="X47" s="36">
        <f>-G14/X18</f>
        <v>0</v>
      </c>
      <c r="Y47" s="36">
        <f>-G15/Y18</f>
        <v>0</v>
      </c>
      <c r="Z47" s="36">
        <f>-G16/Z18</f>
        <v>0</v>
      </c>
      <c r="AA47" s="36">
        <f>-G17/AA18</f>
        <v>-5.8944565965144406E-2</v>
      </c>
      <c r="AB47" s="36">
        <f>-G18/AB18</f>
        <v>-0.200776157730643</v>
      </c>
      <c r="AC47" s="36">
        <f>-G19/AC18</f>
        <v>-6.5794610533331938E-2</v>
      </c>
      <c r="AD47" s="36">
        <f>-G20/AD18</f>
        <v>-0.20641444332627523</v>
      </c>
      <c r="AE47" s="36">
        <f>-G21/AE18</f>
        <v>-0.26324028748389244</v>
      </c>
      <c r="AF47" s="36">
        <f>-G22/AF18</f>
        <v>-0.17468974544838392</v>
      </c>
      <c r="AG47" s="36">
        <f>-G23/AG18</f>
        <v>-0.14068087323823567</v>
      </c>
      <c r="AH47" s="36">
        <f>-G24/AH18</f>
        <v>-3.1201704977510143E-2</v>
      </c>
      <c r="AI47" s="36">
        <f>-G25/AI18</f>
        <v>-6.7038061258714295E-4</v>
      </c>
      <c r="AJ47" s="36">
        <f>-G26/AJ18</f>
        <v>-1.980083052826304E-4</v>
      </c>
      <c r="AK47" s="36">
        <f>-G27/AK18</f>
        <v>-8.4206886811362559E-3</v>
      </c>
      <c r="AL47" s="36">
        <f>-G28/AL18</f>
        <v>-2.355168585788187E-3</v>
      </c>
      <c r="AM47" s="36">
        <f>-G29/AM18</f>
        <v>-4.1564491292316562E-2</v>
      </c>
      <c r="AN47" s="36">
        <f>-G30/AN18</f>
        <v>-7.3299247658485653E-2</v>
      </c>
      <c r="AO47" s="36">
        <f>-G31/AO18</f>
        <v>-0.28986565429036493</v>
      </c>
      <c r="AP47" s="36">
        <f>-G32/AP18</f>
        <v>-3.6727747431934361E-2</v>
      </c>
    </row>
    <row r="48" spans="1:42" ht="15" customHeight="1" x14ac:dyDescent="0.25">
      <c r="M48" s="39" t="s">
        <v>64</v>
      </c>
      <c r="N48" s="32"/>
      <c r="O48" s="32"/>
      <c r="P48" s="37">
        <v>0.61115079195999999</v>
      </c>
      <c r="Q48" s="37">
        <v>1.7324997975</v>
      </c>
      <c r="R48" s="37">
        <v>13.634999962</v>
      </c>
      <c r="S48" s="37">
        <v>1.1277143961</v>
      </c>
      <c r="T48" s="37">
        <v>2.3352954767999998</v>
      </c>
      <c r="U48" s="37">
        <v>3.8510040230999998</v>
      </c>
      <c r="V48" s="37">
        <v>11.384872325</v>
      </c>
      <c r="W48" s="37">
        <v>1.1262723711</v>
      </c>
      <c r="X48" s="37">
        <v>0.75911823376999998</v>
      </c>
      <c r="Y48" s="37">
        <v>0.75197768421</v>
      </c>
      <c r="Z48" s="37">
        <v>0.69548330397000002</v>
      </c>
      <c r="AA48" s="37">
        <v>0.57381502297999998</v>
      </c>
      <c r="AB48" s="37">
        <v>1.6070258015000001</v>
      </c>
      <c r="AC48" s="37">
        <v>4.2440279422999998</v>
      </c>
      <c r="AD48" s="37">
        <v>52.990767112999997</v>
      </c>
      <c r="AE48" s="37">
        <v>4.9025047829000004</v>
      </c>
      <c r="AF48" s="37">
        <v>20.159025261</v>
      </c>
      <c r="AG48" s="37">
        <v>6.959592862</v>
      </c>
      <c r="AH48" s="37">
        <v>7.1105008447999998</v>
      </c>
      <c r="AI48" s="37">
        <v>0</v>
      </c>
      <c r="AJ48" s="37">
        <v>0</v>
      </c>
      <c r="AK48" s="37">
        <v>0</v>
      </c>
      <c r="AL48" s="37">
        <v>0</v>
      </c>
      <c r="AM48" s="37">
        <v>2.1875565863999999</v>
      </c>
      <c r="AN48" s="37">
        <v>4.4226167866999999</v>
      </c>
      <c r="AO48" s="37">
        <v>7.1389670491999997</v>
      </c>
      <c r="AP48" s="37">
        <v>1.7512795849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49"/>
  <sheetViews>
    <sheetView showGridLines="0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8" width="11" customWidth="1"/>
    <col min="9" max="9" width="12.28515625" customWidth="1"/>
    <col min="10" max="11" width="11" customWidth="1"/>
    <col min="12" max="12" width="9" customWidth="1"/>
    <col min="13" max="13" width="16.28515625" customWidth="1"/>
    <col min="14" max="14" width="16.5703125" customWidth="1"/>
    <col min="16" max="18" width="16.28515625" customWidth="1"/>
    <col min="19" max="23" width="18" customWidth="1"/>
    <col min="24" max="26" width="15.28515625" customWidth="1"/>
    <col min="27" max="27" width="16.28515625" customWidth="1"/>
    <col min="28" max="28" width="15.28515625" customWidth="1"/>
    <col min="29" max="30" width="16.28515625" customWidth="1"/>
    <col min="31" max="31" width="11.85546875" customWidth="1"/>
    <col min="32" max="42" width="16.28515625" customWidth="1"/>
    <col min="43" max="43" width="13.5703125" customWidth="1"/>
    <col min="44" max="44" width="14.7109375" customWidth="1"/>
  </cols>
  <sheetData>
    <row r="1" spans="1:44" ht="15" customHeight="1" x14ac:dyDescent="0.25">
      <c r="A1" s="6" t="s">
        <v>75</v>
      </c>
      <c r="M1" t="s">
        <v>1</v>
      </c>
      <c r="N1" s="7">
        <v>0.2165</v>
      </c>
    </row>
    <row r="2" spans="1:44" ht="15" customHeight="1" x14ac:dyDescent="0.25">
      <c r="A2" s="6"/>
    </row>
    <row r="3" spans="1:44" ht="15" customHeight="1" x14ac:dyDescent="0.25">
      <c r="M3" s="2" t="s">
        <v>76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4">
        <v>4842092</v>
      </c>
      <c r="C5" s="14">
        <v>540119</v>
      </c>
      <c r="D5" s="15">
        <v>0</v>
      </c>
      <c r="E5" s="14">
        <v>1606509</v>
      </c>
      <c r="F5" s="15">
        <v>0</v>
      </c>
      <c r="G5" s="16">
        <v>-44064</v>
      </c>
      <c r="H5" s="15">
        <v>0</v>
      </c>
      <c r="I5" s="14">
        <v>620134838.54999995</v>
      </c>
      <c r="J5" s="17">
        <v>0.17529710788</v>
      </c>
      <c r="K5" s="14">
        <v>4950652.0388000002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4">
        <v>5460211</v>
      </c>
      <c r="C6" s="14">
        <v>824493</v>
      </c>
      <c r="D6" s="15">
        <v>0</v>
      </c>
      <c r="E6" s="14">
        <v>1456456</v>
      </c>
      <c r="F6" s="15">
        <v>0</v>
      </c>
      <c r="G6" s="16">
        <v>-95171</v>
      </c>
      <c r="H6" s="20">
        <v>2.6241134540000002</v>
      </c>
      <c r="I6" s="14">
        <v>947902257.83000004</v>
      </c>
      <c r="J6" s="17">
        <v>0.23870383546999999</v>
      </c>
      <c r="K6" s="14">
        <v>6896759.3513000002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4">
        <v>5572745</v>
      </c>
      <c r="C7" s="14">
        <v>830512</v>
      </c>
      <c r="D7" s="15">
        <v>0</v>
      </c>
      <c r="E7" s="14">
        <v>1579379</v>
      </c>
      <c r="F7" s="15">
        <v>0</v>
      </c>
      <c r="G7" s="16">
        <v>-47337</v>
      </c>
      <c r="H7" s="20">
        <v>6.9507366703000004</v>
      </c>
      <c r="I7" s="14">
        <v>935559257.83000004</v>
      </c>
      <c r="J7" s="17">
        <v>0.38362478004</v>
      </c>
      <c r="K7" s="14">
        <v>10327833.515000001</v>
      </c>
      <c r="M7" s="1" t="s">
        <v>20</v>
      </c>
      <c r="N7" s="1"/>
      <c r="O7" s="5"/>
      <c r="P7" s="4">
        <f>((D5+E5)*P5)</f>
        <v>153582.2604</v>
      </c>
      <c r="Q7" s="4">
        <f>((D6+E6+P7+P8)*Q5)</f>
        <v>83669.590949400008</v>
      </c>
      <c r="R7" s="4">
        <f>((D7+E7+Q7+P7+P8+Q8)*R5)</f>
        <v>30090.265696940041</v>
      </c>
      <c r="S7" s="4">
        <f>((D8+E8+R7+Q7+P7+SUM($P$8:R8))*S5)</f>
        <v>165229.41172284278</v>
      </c>
      <c r="T7" s="4">
        <f>((D9+E9+S7+R7+Q7+P7+SUM($P$8:S8))*T5)</f>
        <v>120378.83472071022</v>
      </c>
      <c r="U7" s="4">
        <f>((D10+E10+T7+S7+R7+Q7+P7+SUM($P$8:T8))*U5)</f>
        <v>190319.3216833398</v>
      </c>
      <c r="V7" s="4">
        <f>((D11+E11+U7+T7+S7+R7+Q7+P7+SUM($P$8:U8))*V5)</f>
        <v>396758.46803782601</v>
      </c>
      <c r="W7" s="4">
        <f>((D12+E12+V7+U7+T7+S7+R7+Q7+P7+SUM($P$8:V8))*W5)</f>
        <v>347147.15035317844</v>
      </c>
      <c r="X7" s="4">
        <f>((D13+E13+W7+V7+U7+T7+S7+R7+Q7+P7+SUM($P$8:W8))*X5)</f>
        <v>291628.12065748201</v>
      </c>
      <c r="Y7" s="4">
        <f>((D14+E14+X7+W7+V7+U7+T7+S7+R7+Q7+P7+SUM($P$8:X8))*Y5)</f>
        <v>232751.14166953083</v>
      </c>
      <c r="Z7" s="4">
        <f>((E14+F14+Y7+X7+W7+V7+U7+T7+S7+R7+Q7+P7+SUM($P$8:Y8))*Z5)</f>
        <v>135487.88546355523</v>
      </c>
      <c r="AA7" s="4">
        <f>((D16+E16+Z7+Y7+X7+W7+V7+U7+T7+S7+R7+P7+Q7+SUM($P$8:Z8))*AA5)</f>
        <v>192191.88985777431</v>
      </c>
      <c r="AB7" s="4">
        <f>((D17+E17+AA7+Z7+Y7+X7+W7+V7+U7+T7+S7+P7+Q7+R7+SUM($P$8:AA8))*AB5)</f>
        <v>274184.0107252922</v>
      </c>
      <c r="AC7" s="4">
        <f>((D18+E18+AB7+AA7+Z7+Y7+X7+W7+V7+U7+T7+S7+R7+Q7+P7+SUM($P$8:AB8))*AC5)</f>
        <v>254436.37924509731</v>
      </c>
      <c r="AD7" s="4">
        <f>((D19+E19+AC7+AB7+AA7+Z7+Y7+X7+W7+V7+U7+T7+S7+R7+Q7+P7+SUM($P$8:AC8))*AD5)</f>
        <v>374105.02780273347</v>
      </c>
      <c r="AE7" s="4">
        <f>((D20+E20+AD7+AC7+AB7+AA7+Z7+Y7+X7+W7+V7+U7+T7+S7+R7+Q7+P7+SUM($P$8:AD8))*AE5)</f>
        <v>459069.32301982079</v>
      </c>
      <c r="AF7" s="4">
        <f>((E20+F20+AE7+AD7+AC7+AB7+AA7+Z7+Y7+X7+W7+V7+U7+T7+S7+R7+Q7+P7+SUM($P$8:AE8))*AF5)</f>
        <v>440493.23806124262</v>
      </c>
      <c r="AG7" s="4">
        <f>((D22+E22+AF7+AE7+AD7+AC7+AB7+AA7+Z7+Y7+X7+W7+V7+U7+T7+R7+S7+Q7+P7+SUM($P$8:AF8))*AG5)</f>
        <v>526146.68051925092</v>
      </c>
      <c r="AH7" s="4">
        <f>((E22+F22+AG7+AF7+AE7+AD7+AC7+AB7+AA7+Z7+Y7+X7+W7+V7+U7+S7+T7+R7+Q7+P7+SUM($P$8:AG8))*AH5)</f>
        <v>604365.83561660384</v>
      </c>
      <c r="AI7" s="4">
        <f>((F22+G22+AH7+AG7+AF7+AE7+AD7+AC7+AB7+AA7+Z7+Y7+X7+W7+V7+T7+U7+S7+R7+Q7+P7+SUM($P$8:AH8))*AI5)</f>
        <v>172389.51415779968</v>
      </c>
      <c r="AJ7" s="4">
        <f>((G22+H22+AI7+AH7+AG7+AF7+AE7+AD7+AC7+AB7+AA7+Z7+Y7+X7+W7+U7+V7+T7+S7+R7+Q7+P7+SUM($P$8:AI8))*AJ5)</f>
        <v>114510.31724030575</v>
      </c>
      <c r="AK7" s="4">
        <f>((H22+I22+AJ7+AI7+AH7+AG7+AF7+AE7+AD7+AC7+AB7+AA7+Z7+Y7+X7+V7+W7+U7+T7+S7+R7+Q7+P7+SUM($P$8:AJ8))*AK5)</f>
        <v>282280.23497406364</v>
      </c>
      <c r="AL7" s="4">
        <f>((D27+E27+AK7+AJ7+AI7+AH7+AG7+AF7+AE7+AD7+AC7++AB7+AA7+Z7+Y7+X7+W7+V7+U7+T7+S7+R7+Q7+P7+SUM($P$8:AK8))*AL5)</f>
        <v>516701.26771405456</v>
      </c>
      <c r="AM7" s="4">
        <f>((E27+F27+AL7+AK7+AJ7+AI7+AH7+AG7+AF7+AE7+AD7++AC7+AB7+AA7+Z7+Y7+X7+W7+V7+U7+T7+S7+R7+Q7+P7+SUM($P$8:AL8))*AM5)</f>
        <v>616467.34122470394</v>
      </c>
      <c r="AN7" s="4">
        <f>((F27+G27+AM7+AL7+AK7+AJ7+AI7+AH7+AG7+AF7+AE7++AD7+AC7+AB7+AA7+Z7+Y7+X7+W7+V7+U7+T7+S7+R7+Q7+P7+SUM($P$8:AM8))*AN5)</f>
        <v>36657.278519792402</v>
      </c>
      <c r="AO7" s="4">
        <f>((G27+H27+AN7+AM7+AL7+AK7+AJ7+AI7+AH7+AG7+AF7++AE7+AD7+AC7+AB7+AA7+Z7+Y7+X7+W7+V7+U7+T7+S7+R7+Q7+P7+SUM($P$8:AN8))*AO5)</f>
        <v>84726.207859266433</v>
      </c>
      <c r="AP7" s="4">
        <f>((H27+I27+AO7+AN7+AM7+AL7+AK7+AJ7+AI7+AH7+AG7++AF7+AE7+AD7+AC7+AB7+AA7+Z7+Y7+X7+W7+V7+U7+T7+S7+R7+Q7+P7+SUM($P$8:AO8))*AP5)</f>
        <v>775201.64029707958</v>
      </c>
      <c r="AQ7" s="4">
        <f>((I27+J27+AP7+AO7+AN7+AM7+AL7+AK7+AJ7+AI7+AH7++AG7+AF7+AE7+AD7+AC7+AB7+AA7+Z7+Y7+X7+W7+V7+U7+T7+S7+R7+Q7+P7+SUM($P$8:AP8))*AQ5)</f>
        <v>674647.40475549782</v>
      </c>
      <c r="AR7" s="4">
        <f>((J27+K27+AQ7+AP7+AO7+AN7+AM7+AL7+AK7+AJ7+AI7++AH7+AG7+AF7+AE7+AD7+AC7+AB7+AA7+Z7+Y7+X7+W7+V7+U7+T7+S7+R7+Q7+P7+SUM($P$8:AQ8))*AR5)</f>
        <v>10146082.87846767</v>
      </c>
    </row>
    <row r="8" spans="1:44" ht="15" customHeight="1" x14ac:dyDescent="0.25">
      <c r="A8" s="13" t="s">
        <v>21</v>
      </c>
      <c r="B8" s="14">
        <v>6320999</v>
      </c>
      <c r="C8" s="14">
        <v>1012420</v>
      </c>
      <c r="D8" s="15">
        <v>0</v>
      </c>
      <c r="E8" s="14">
        <v>1584781</v>
      </c>
      <c r="F8" s="15">
        <v>0</v>
      </c>
      <c r="G8" s="16"/>
      <c r="H8" s="20">
        <v>10.913170484</v>
      </c>
      <c r="I8" s="14">
        <v>989164027</v>
      </c>
      <c r="J8" s="17">
        <v>0.25627152961999999</v>
      </c>
      <c r="K8" s="14">
        <v>6435282.7752999999</v>
      </c>
      <c r="M8" s="1" t="s">
        <v>22</v>
      </c>
      <c r="N8" s="1"/>
      <c r="O8" s="4"/>
      <c r="P8" s="4">
        <f>((D6+E6)-(D5+E5))*(P5^1/2)</f>
        <v>-7172.5334000000003</v>
      </c>
      <c r="Q8" s="4">
        <f>((D7+E7)-(D6+E6))*(Q5^1/2)</f>
        <v>3208.2903000000001</v>
      </c>
      <c r="R8" s="4">
        <f>((D8+E8)-(D7+E7))*(R5^1/2)</f>
        <v>44.836599999999997</v>
      </c>
      <c r="S8" s="4">
        <f>((D9+E9)-(D8+E8))*(S5^1/2)</f>
        <v>126.76919999999998</v>
      </c>
      <c r="T8" s="4">
        <f>((D10+E10)-(D9+E9))*(T5^1/2)</f>
        <v>9987.3622500000001</v>
      </c>
      <c r="U8" s="4">
        <f>((D11+E11)-(D10+E10))*(U5^1/2)</f>
        <v>18274.810450000001</v>
      </c>
      <c r="V8" s="4">
        <f>((D12+E12)-(D11+E11))*(V5^1/2)</f>
        <v>9995.36895</v>
      </c>
      <c r="W8" s="4">
        <f>((D13+E13)-(D12+E12))*(W5^1/2)</f>
        <v>-10784.093999999999</v>
      </c>
      <c r="X8" s="4">
        <f>((D14+E14)-(D13+E13))*(X5^1/2)</f>
        <v>-1402.5039999999999</v>
      </c>
      <c r="Y8" s="4">
        <f>((D15+E15)-(D14+E14))*(Y5^1/2)</f>
        <v>-8380.0612999999994</v>
      </c>
      <c r="Z8" s="4">
        <f>((E15+F15)-(E14+F14))*(Z5^1/2)</f>
        <v>-4624.4977999999992</v>
      </c>
      <c r="AA8" s="4">
        <f>((D17+E17)-(D16+E16))*(AA5^1/2)</f>
        <v>3179.5340000000001</v>
      </c>
      <c r="AB8" s="4">
        <f>((D18+E18)-(D17+E17))*(AB5^1/2)</f>
        <v>28139.636999999999</v>
      </c>
      <c r="AC8" s="4">
        <f>((D19+E19)-(D18+E18))*(AC5^1/2)</f>
        <v>3632.6619500000002</v>
      </c>
      <c r="AD8" s="4">
        <f>((D20+E20)-(D19+E19))*(AD5/2)</f>
        <v>10288.630349999999</v>
      </c>
      <c r="AE8" s="4">
        <f>((D21+E21)-(D20+E20))*(AE5^1/2)</f>
        <v>21018.14</v>
      </c>
      <c r="AF8" s="4">
        <f>((D22+E22)-(D21+E21))*(AF5^1/2)</f>
        <v>7738.4380000000001</v>
      </c>
      <c r="AG8" s="4">
        <f>((D23+E23)-(D22+E22))*(AG5^1/2)</f>
        <v>-313.61415</v>
      </c>
      <c r="AH8" s="4">
        <f>((D24+E24)-(D23+E23))*(AH5^1/2)</f>
        <v>7047.7950000000001</v>
      </c>
      <c r="AI8" s="4">
        <f>((D25+E25)-(D24+E24))*(AI5^1/2)</f>
        <v>32474.51845</v>
      </c>
      <c r="AJ8" s="4">
        <f>((D26+E26)-(D25+E25))*(AJ5^1/2)</f>
        <v>70032.419699999999</v>
      </c>
      <c r="AK8" s="4">
        <f>((D27+E27)-(D26+E26))*(AK5/2)</f>
        <v>324.66224999999997</v>
      </c>
      <c r="AL8" s="4">
        <f>((D28+E28)-(D27+E27))*(AL5^1/2)</f>
        <v>7784.8312499999993</v>
      </c>
      <c r="AM8" s="4">
        <f>((D29+E29)-(D28+E28))*(AM5^1/2)</f>
        <v>33870.8246</v>
      </c>
      <c r="AN8" s="4">
        <f>((D30+E30)-(D29+E29))*(AN5^1/2)</f>
        <v>-5453.8545999999997</v>
      </c>
      <c r="AO8" s="4">
        <f>((D31+E31)-(D30+E30))*(AO5^1/2)</f>
        <v>-21254.667399999998</v>
      </c>
      <c r="AP8" s="4">
        <f>((D32+E32)-(D31+E31))*(AP5^1/2)</f>
        <v>438915.32144999999</v>
      </c>
      <c r="AQ8" s="4">
        <f>((D32+E32)-(D31+E31))*(AQ5^1/2)</f>
        <v>350222.58809999999</v>
      </c>
      <c r="AR8" s="4">
        <f>((E32+F32)-(E31+F31))*(AR5^1/2)</f>
        <v>70117.81035</v>
      </c>
    </row>
    <row r="9" spans="1:44" ht="15" customHeight="1" x14ac:dyDescent="0.25">
      <c r="A9" s="13" t="s">
        <v>23</v>
      </c>
      <c r="B9" s="14">
        <v>6769219</v>
      </c>
      <c r="C9" s="14">
        <v>1104806</v>
      </c>
      <c r="D9" s="15">
        <v>0</v>
      </c>
      <c r="E9" s="14">
        <v>1587617</v>
      </c>
      <c r="F9" s="15">
        <v>0</v>
      </c>
      <c r="G9" s="16">
        <v>-855967</v>
      </c>
      <c r="H9" s="20">
        <v>6.1894056428999997</v>
      </c>
      <c r="I9" s="14">
        <v>1024115334</v>
      </c>
      <c r="J9" s="17">
        <v>0.60924732597999998</v>
      </c>
      <c r="K9" s="14">
        <v>13094869.956</v>
      </c>
      <c r="M9" s="1" t="s">
        <v>24</v>
      </c>
      <c r="N9" s="1"/>
      <c r="O9" s="4"/>
      <c r="P9" s="4">
        <f>+B5*P5</f>
        <v>462903.9952</v>
      </c>
      <c r="Q9" s="4">
        <f>+(B6+P9+P10+P14)*Q5</f>
        <v>292665.60194940004</v>
      </c>
      <c r="R9" s="4">
        <f>+(B7+Q9+P9+P10+Q10+P14+Q14)*R5</f>
        <v>95826.492682962184</v>
      </c>
      <c r="S9" s="4">
        <f>+(B8+R9+Q9+P9+P10+Q10+R10+P14+Q14+R14)*S5</f>
        <v>580924.96534365311</v>
      </c>
      <c r="T9" s="4">
        <f>+(B9+S9+R9+Q9+P9+P10+Q10+R10+S10+P14+Q14+R14+S14)*T5</f>
        <v>420690.54976931284</v>
      </c>
      <c r="U9" s="4">
        <f>+(B10+T9+S9+R9+Q9+P9+P10+Q10+R10+S10+T10+P14+Q14+R14+S14+T14)*U5</f>
        <v>643774.29694089887</v>
      </c>
      <c r="V9" s="4">
        <f>+(B11+U9+T9+S9+R9+Q9+P9+P10+Q10+R10+S10+T10+U10+P14+Q14+R14+S14+T14+U14)*V5</f>
        <v>1269600.7073457344</v>
      </c>
      <c r="W9" s="4">
        <f>+(B12+V9+U9+T9+S9+R9+Q9+P9+P10+Q10+R10+S10+T10+U10+V10+P14+Q14+R14+S14+T14+U14+V14)*W5</f>
        <v>1060455.5044896766</v>
      </c>
      <c r="X9" s="4">
        <f>+(B13+W9+V9+U9+T9+S9+R9+Q9+P9+P10+Q10+R10+S10+T10+U10+V10+W10+P14+Q14+R14+S14+T14+U14+V14+W14)*X5</f>
        <v>1072345.1407883663</v>
      </c>
      <c r="Y9" s="4">
        <f>+(B14+X9+W9+V9+U9+T9+S9+R9+Q9+P9+P10+Q10+R10+S10+T10+U10+V10+W10+X10+P14+Q14+R14+S14+T14+U14+V14+W14+X14)*Y5</f>
        <v>889567.05062311282</v>
      </c>
      <c r="Z9" s="4">
        <f>+(B15+Y9+X9+W9+V9+U9+T9+S9+R9+Q9+P9+P10+Q10+R10+S10+T10+U10+V10+W10+X10+Y10+P14+Q14+R14+S14+T14+U14+V14+W14+X14+Y14)*Z5</f>
        <v>613174.11270856042</v>
      </c>
      <c r="AA9" s="4">
        <f>+(B16+Z9+Y9+X9+W9+V9+U9+T9+S9+R9+Q9+P9+P10+Q10+R10+S10+T10+U10+V10+W10+X10+Y10+Z10+P14+Q14+R14+S14+T14+U14+V14+W14+X14+Y14+Z14)*AA5</f>
        <v>1083520.1347862668</v>
      </c>
      <c r="AB9" s="4">
        <f>+(B17+AA9+Z9+Y9+X9+W9+V9+U9+T9+S9+R9+Q9+P9+P10+Q10+R10+S10+T10+U10+V10+W10+X10+Y10+Z10+AA10+P14+Q14+R14+S14+T14+U14+V14+W14+X14+Y14+Z14+AA14)*AB5</f>
        <v>1744212.828984831</v>
      </c>
      <c r="AC9" s="4">
        <f>+(B18+AB9+AA9+Z9+Y9+X9+W9+V9+U9+T9+S9+R9+Q9+P9+P10+Q10+R10+S10+T10+U10+V10+W10+X10+Y10+Z10+AA10+AB10+P14+Q14+R14+S14+T14+U14+V14+W14+X14+Y14+Z14+AA14+AB14)*AC5</f>
        <v>1423759.0928552493</v>
      </c>
      <c r="AD9" s="4">
        <f>+(B19+AC9+AB9+AA9+Z9+Y9+X9+W9+V9+U9+T9+S9+R9+Q9+P9+P10+Q10+R10+S10+T10+U10+V10+W10+X10+Y10+Z10+AA10+AB10+AC10+P14+Q14+R14+S14+T14+U14+V14+W14+X14+Y14+Z14+AA14+AB14+AC14)*AD5</f>
        <v>2361563.15849789</v>
      </c>
      <c r="AE9" s="4">
        <f>+(B20+AD9+AC9+AB9+AA9+Z9+Y9+X9+W9+V9+U9+T9+S9+R9+Q9+P9+P10+Q10+R10+S10+T10+U10+V10+W10+X10+Y10+Z10+AA10+AB10+AC10+AD10+P14+Q14+S14++R14+T14+U14+V14+W14+X14+Y14+Z14+AA14+AB14+AC14+AD14)*AE5</f>
        <v>2970087.2202603561</v>
      </c>
      <c r="AF9" s="4">
        <f>+(B21+AE9+AD9+AC9+AB9+AA9+Z9+Y9+X9+W9+V9+U9+T9+S9+R9+Q9+P9+P10+Q10+R10+S10+T10+U10+V10+W10+X10+Y10+Z10+AA10+AB10+AC10+AD10+AE10+P14+Q14+R14+S14+T14+U14+V14+W14+X14+Y14+Z14+AA14+AB14+AC14+AD14+AE14)*AF5</f>
        <v>3073259.1262248768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3916941.9219445987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4246979.1439584838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8086028.1339395577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5120733.7929358352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2684234.0982125937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3713910.7764343489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4647668.0516051399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5355087.4610215351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12636071.300249623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7290530.3063116623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6291032.6149079232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6771601.3339400878</v>
      </c>
    </row>
    <row r="10" spans="1:44" ht="15" customHeight="1" x14ac:dyDescent="0.25">
      <c r="A10" s="13" t="s">
        <v>25</v>
      </c>
      <c r="B10" s="14">
        <v>8092202</v>
      </c>
      <c r="C10" s="14">
        <v>1740165</v>
      </c>
      <c r="D10" s="15">
        <v>0</v>
      </c>
      <c r="E10" s="14">
        <v>1922202</v>
      </c>
      <c r="F10" s="15">
        <v>0</v>
      </c>
      <c r="G10" s="16">
        <v>-873000</v>
      </c>
      <c r="H10" s="20">
        <v>4.3003582005999998</v>
      </c>
      <c r="I10" s="14">
        <v>1392036201.8</v>
      </c>
      <c r="J10" s="17">
        <v>0.84336542195999997</v>
      </c>
      <c r="K10" s="14">
        <v>17864183.544</v>
      </c>
      <c r="M10" s="22" t="s">
        <v>26</v>
      </c>
      <c r="N10" s="22"/>
      <c r="O10" s="23"/>
      <c r="P10" s="23">
        <f>((B6-B5)*(P5^1/2))</f>
        <v>29546.088200000002</v>
      </c>
      <c r="Q10" s="23">
        <f>((B7-B6)*(Q5^1/2))</f>
        <v>2937.1374000000001</v>
      </c>
      <c r="R10" s="23">
        <f>((B8-B7)*(R5/2))</f>
        <v>6210.5082000000002</v>
      </c>
      <c r="S10" s="23">
        <f>((B9-B8)*(S5/2))</f>
        <v>20035.433999999997</v>
      </c>
      <c r="T10" s="23">
        <f>((B10-B9)*(T5^1/2))</f>
        <v>39491.042550000006</v>
      </c>
      <c r="U10" s="23">
        <f>((B11-B10)*(U5^1/2))</f>
        <v>64264.782400000004</v>
      </c>
      <c r="V10" s="23">
        <f>((B12-B11)*(V5^1/2))</f>
        <v>67523.104949999994</v>
      </c>
      <c r="W10" s="23">
        <f>((B13-B12)*(W5/2))</f>
        <v>125603.5215</v>
      </c>
      <c r="X10" s="23">
        <f>((B14-B13)*(X5/2))</f>
        <v>63375.108</v>
      </c>
      <c r="Y10" s="23">
        <f>((B15-B14)*(Y5/2))</f>
        <v>119337.1666</v>
      </c>
      <c r="Z10" s="23">
        <f>((B16-B15)*(Z5/2))</f>
        <v>82065.281599999988</v>
      </c>
      <c r="AA10" s="23">
        <f>((B17-B16)*(AA5/2))</f>
        <v>127577.8986</v>
      </c>
      <c r="AB10" s="23">
        <f>((B18-B17)*(AB5^1/2))</f>
        <v>115026.4</v>
      </c>
      <c r="AC10" s="23">
        <f>((B19-B18)*(AC5^1/2))</f>
        <v>161564.81085000001</v>
      </c>
      <c r="AD10" s="23">
        <f>((B20-B19)*(AD5/2))</f>
        <v>185842.87544999999</v>
      </c>
      <c r="AE10" s="23">
        <f>((B21-B20)*(AE5^1/2))</f>
        <v>245011.45500000002</v>
      </c>
      <c r="AF10" s="23">
        <f>((B22-B21)*(AF5^1/2))</f>
        <v>422401.21399999998</v>
      </c>
      <c r="AG10" s="23">
        <f>((B23-B22)*(AG5/2))</f>
        <v>26368.735649999999</v>
      </c>
      <c r="AH10" s="23">
        <f>((B24-B23)*(AH5/2))</f>
        <v>338718.75840000005</v>
      </c>
      <c r="AI10" s="23">
        <f>((B25-B24)*(AI5^1/2))</f>
        <v>394704.3199</v>
      </c>
      <c r="AJ10" s="23">
        <f>((B26-B25)*(AJ5/2))</f>
        <v>362799.93504999997</v>
      </c>
      <c r="AK10" s="23">
        <f>((B27-B26)*(AK5/2))</f>
        <v>147722.17924999999</v>
      </c>
      <c r="AL10" s="23">
        <f>((B28-B27)*(AL5^1/2))</f>
        <v>199938.61874999999</v>
      </c>
      <c r="AM10" s="23">
        <f>((B29-B28)*(AM5/2))</f>
        <v>271580.68559999997</v>
      </c>
      <c r="AN10" s="23">
        <f>((B30-B29)*(AN5/2))</f>
        <v>225534.8694</v>
      </c>
      <c r="AO10" s="23">
        <f>((B31-B30)*(AO5/2))</f>
        <v>171944.0613</v>
      </c>
      <c r="AP10" s="23">
        <f>((B32-B31)*(AP5^1/2))</f>
        <v>359382.984</v>
      </c>
      <c r="AQ10" s="23">
        <f>((C32-C31)*(AQ5/2))</f>
        <v>-16687.9944</v>
      </c>
      <c r="AR10" s="23">
        <f>((D32-D31)*(AR5^1/2))</f>
        <v>296023.98629999999</v>
      </c>
    </row>
    <row r="11" spans="1:44" ht="15" customHeight="1" x14ac:dyDescent="0.25">
      <c r="A11" s="13" t="s">
        <v>27</v>
      </c>
      <c r="B11" s="14">
        <v>9767946</v>
      </c>
      <c r="C11" s="14">
        <v>2170130</v>
      </c>
      <c r="D11" s="15">
        <v>0</v>
      </c>
      <c r="E11" s="14">
        <v>2398729</v>
      </c>
      <c r="F11" s="15">
        <v>0</v>
      </c>
      <c r="G11" s="16">
        <v>-837000</v>
      </c>
      <c r="H11" s="20">
        <v>4.9435759263000003</v>
      </c>
      <c r="I11" s="14">
        <v>1440546002</v>
      </c>
      <c r="J11" s="17">
        <v>0.79255957421000001</v>
      </c>
      <c r="K11" s="14">
        <v>16545627.073999999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4">
        <v>10845729</v>
      </c>
      <c r="C12" s="14">
        <v>2022588</v>
      </c>
      <c r="D12" s="15">
        <v>0</v>
      </c>
      <c r="E12" s="14">
        <v>2558272</v>
      </c>
      <c r="F12" s="15">
        <v>0</v>
      </c>
      <c r="G12" s="16">
        <v>-848000</v>
      </c>
      <c r="H12" s="20">
        <v>2.1999119380000001</v>
      </c>
      <c r="I12" s="14">
        <v>1427880302</v>
      </c>
      <c r="J12" s="17">
        <v>0.71551239117999998</v>
      </c>
      <c r="K12" s="14">
        <v>14538426.843</v>
      </c>
      <c r="M12" s="1" t="s">
        <v>30</v>
      </c>
      <c r="N12" s="1"/>
      <c r="O12" s="1"/>
      <c r="P12" s="4">
        <v>0</v>
      </c>
      <c r="Q12" s="24">
        <f>-($P$7+$P$8)*$N$1</f>
        <v>-31697.705895500003</v>
      </c>
      <c r="R12" s="24">
        <f>-((($P$7+$P$8)*(1+Q5))+($Q$7+$Q$8))*N1</f>
        <v>-52161.387433740201</v>
      </c>
      <c r="S12" s="24">
        <f>-((($P$7+$P$8)*(1+Q5)*(1+R5))+(($Q$7+$Q$8)*(1+R5))+((R7+R8)))*$N$1</f>
        <v>-59551.516112427809</v>
      </c>
      <c r="T12" s="24">
        <f>-((($P$7+$P$8)*(1+R5)*(1+S5)*(1+Q5))+(($Q$7+$Q$8)*(1+S5)*(1+R5))+((R7+R8)*(1+S5))+((S7+S8)))*$N$1</f>
        <v>-100675.03482267431</v>
      </c>
      <c r="U12" s="24">
        <f>-((($P$7+$P$8)*(1+T5)*(1+R5)*(1+S5)*(1+Q5))+(($Q$7+$Q$8)*(1+T5)*(1+S5)*(1+R5))+((R7+R8)*(1+S5)*(1+T5))+((S7+S8)*(1+T5))+(T7+T8))*$N$1</f>
        <v>-134909.61604574672</v>
      </c>
      <c r="V12" s="24">
        <f>-((($P$7+$P$8)*(1+U5)*(1+S5)*(1+T5)*(1+R5)*(1+Q5))+(($Q$7+$Q$8)*(1+U5)*(1+T5)*(1+S5)*(1+R5))+(($R$7+$R$8)*(1+U5)*(1+T5)*(1+S5))+((S7+S8)*(1+T5)*(1+U5))+((T7+T8)*(1+U5))+(U7+U8))*$N$1</f>
        <v>-190417.81320332357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-302339.37090556434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-403279.53410024499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-496762.62469820847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-573604.75694353983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-619947.86974072689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-689895.45799637144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-796052.35975068284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-886234.16387467599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-1021831.8299497362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-1192189.8346402601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-1358855.8788505103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-1553007.1201595184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-1784925.9275902379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-2013394.9442073086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-2186530.9105353258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-2304553.4887672374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-2503910.8612046074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-2754437.5724109071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-2882989.6097859181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-3189710.3672171193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-3624216.9090921879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-3526274.810436707</v>
      </c>
    </row>
    <row r="13" spans="1:44" ht="15" customHeight="1" x14ac:dyDescent="0.25">
      <c r="A13" s="13" t="s">
        <v>31</v>
      </c>
      <c r="B13" s="14">
        <v>13546880</v>
      </c>
      <c r="C13" s="14">
        <v>2306339</v>
      </c>
      <c r="D13" s="15">
        <v>0</v>
      </c>
      <c r="E13" s="14">
        <v>2326356</v>
      </c>
      <c r="F13" s="15">
        <v>0</v>
      </c>
      <c r="G13" s="16">
        <v>-1120000</v>
      </c>
      <c r="H13" s="20">
        <v>8.9534164473000004</v>
      </c>
      <c r="I13" s="14">
        <v>1585304623</v>
      </c>
      <c r="J13" s="17">
        <v>1.1181057572999999</v>
      </c>
      <c r="K13" s="14">
        <v>22699491.068</v>
      </c>
      <c r="M13" t="s">
        <v>32</v>
      </c>
      <c r="P13">
        <v>0</v>
      </c>
      <c r="Q13" s="24">
        <f t="shared" ref="Q13:AR13" si="0">Q12*Q5</f>
        <v>-1654.6202477451002</v>
      </c>
      <c r="R13" s="24">
        <f t="shared" si="0"/>
        <v>-865.87903140008734</v>
      </c>
      <c r="S13" s="24">
        <f t="shared" si="0"/>
        <v>-5323.9055404510455</v>
      </c>
      <c r="T13" s="24">
        <f t="shared" si="0"/>
        <v>-6010.2995789136567</v>
      </c>
      <c r="U13" s="24">
        <f t="shared" si="0"/>
        <v>-10347.567550708774</v>
      </c>
      <c r="V13" s="24">
        <f t="shared" si="0"/>
        <v>-23859.351994376444</v>
      </c>
      <c r="W13" s="24">
        <f t="shared" si="0"/>
        <v>-28117.561494217483</v>
      </c>
      <c r="X13" s="24">
        <f t="shared" si="0"/>
        <v>-30649.244591618619</v>
      </c>
      <c r="Y13" s="24">
        <f t="shared" si="0"/>
        <v>-28265.79334532806</v>
      </c>
      <c r="Z13" s="24">
        <f t="shared" si="0"/>
        <v>-18011.18936802715</v>
      </c>
      <c r="AA13" s="24">
        <f t="shared" si="0"/>
        <v>-27649.674990436419</v>
      </c>
      <c r="AB13" s="24">
        <f t="shared" si="0"/>
        <v>-40703.832021785915</v>
      </c>
      <c r="AC13" s="24">
        <f t="shared" si="0"/>
        <v>-34309.856705254431</v>
      </c>
      <c r="AD13" s="24">
        <f t="shared" si="0"/>
        <v>-52376.439084993348</v>
      </c>
      <c r="AE13" s="24">
        <f t="shared" si="0"/>
        <v>-66419.068946732863</v>
      </c>
      <c r="AF13" s="24">
        <f t="shared" si="0"/>
        <v>-69623.886342991187</v>
      </c>
      <c r="AG13" s="24">
        <f t="shared" si="0"/>
        <v>-80308.382440065165</v>
      </c>
      <c r="AH13" s="24">
        <f t="shared" si="0"/>
        <v>-99547.756402225132</v>
      </c>
      <c r="AI13" s="24">
        <f t="shared" si="0"/>
        <v>-190451.5964738784</v>
      </c>
      <c r="AJ13" s="24">
        <f t="shared" si="0"/>
        <v>-126642.5419906397</v>
      </c>
      <c r="AK13" s="24">
        <f t="shared" si="0"/>
        <v>-64502.661860792105</v>
      </c>
      <c r="AL13" s="24">
        <f t="shared" si="0"/>
        <v>-86420.755828771406</v>
      </c>
      <c r="AM13" s="24">
        <f t="shared" si="0"/>
        <v>-107918.55811791858</v>
      </c>
      <c r="AN13" s="24">
        <f t="shared" si="0"/>
        <v>-124500.578272973</v>
      </c>
      <c r="AO13" s="24">
        <f t="shared" si="0"/>
        <v>-290028.75474446337</v>
      </c>
      <c r="AP13" s="24">
        <f t="shared" si="0"/>
        <v>-184684.23026187121</v>
      </c>
      <c r="AQ13" s="24">
        <f t="shared" si="0"/>
        <v>-167438.82120005909</v>
      </c>
      <c r="AR13" s="24">
        <f t="shared" si="0"/>
        <v>-170319.07334409296</v>
      </c>
    </row>
    <row r="14" spans="1:44" ht="15" customHeight="1" x14ac:dyDescent="0.25">
      <c r="A14" s="13" t="s">
        <v>33</v>
      </c>
      <c r="B14" s="14">
        <v>15214646</v>
      </c>
      <c r="C14" s="14">
        <v>3060151</v>
      </c>
      <c r="D14" s="15">
        <v>0</v>
      </c>
      <c r="E14" s="14">
        <v>2289448</v>
      </c>
      <c r="F14" s="15">
        <v>0</v>
      </c>
      <c r="G14" s="16">
        <v>-1324983</v>
      </c>
      <c r="H14" s="20">
        <v>4.5559505402999996</v>
      </c>
      <c r="I14" s="14">
        <v>474433</v>
      </c>
      <c r="J14" s="17">
        <v>1.5120079660000001</v>
      </c>
      <c r="K14" s="14">
        <v>28749553.859999999</v>
      </c>
      <c r="M14" s="39" t="s">
        <v>34</v>
      </c>
      <c r="N14" s="39"/>
      <c r="O14" s="40"/>
      <c r="P14" s="40">
        <f t="shared" ref="P14:AR14" si="1">(P7+P8)-(P9+P10)+P12+P13</f>
        <v>-346040.35639999999</v>
      </c>
      <c r="Q14" s="40">
        <f t="shared" si="1"/>
        <v>-242077.18424324514</v>
      </c>
      <c r="R14" s="40">
        <f t="shared" si="1"/>
        <v>-124929.16505116243</v>
      </c>
      <c r="S14" s="40">
        <f t="shared" si="1"/>
        <v>-500479.64007368917</v>
      </c>
      <c r="T14" s="40">
        <f t="shared" si="1"/>
        <v>-436500.72975019057</v>
      </c>
      <c r="U14" s="40">
        <f t="shared" si="1"/>
        <v>-644702.13080401463</v>
      </c>
      <c r="V14" s="40">
        <f t="shared" si="1"/>
        <v>-1144647.1405056084</v>
      </c>
      <c r="W14" s="40">
        <f t="shared" si="1"/>
        <v>-1180152.9020362799</v>
      </c>
      <c r="X14" s="40">
        <f t="shared" si="1"/>
        <v>-1279423.410822748</v>
      </c>
      <c r="Y14" s="40">
        <f t="shared" si="1"/>
        <v>-1309561.5548971184</v>
      </c>
      <c r="Z14" s="40">
        <f t="shared" si="1"/>
        <v>-1155991.9529565722</v>
      </c>
      <c r="AA14" s="40">
        <f t="shared" si="1"/>
        <v>-1663324.1542596559</v>
      </c>
      <c r="AB14" s="40">
        <f t="shared" si="1"/>
        <v>-2287514.871277696</v>
      </c>
      <c r="AC14" s="40">
        <f t="shared" si="1"/>
        <v>-2157617.0789660891</v>
      </c>
      <c r="AD14" s="40">
        <f t="shared" si="1"/>
        <v>-3101622.9787548259</v>
      </c>
      <c r="AE14" s="40">
        <f t="shared" si="1"/>
        <v>-3823262.1111370041</v>
      </c>
      <c r="AF14" s="40">
        <f t="shared" si="1"/>
        <v>-4309242.3851468852</v>
      </c>
      <c r="AG14" s="40">
        <f t="shared" si="1"/>
        <v>-4856641.8525159238</v>
      </c>
      <c r="AH14" s="40">
        <f t="shared" si="1"/>
        <v>-5626839.1483036233</v>
      </c>
      <c r="AI14" s="40">
        <f t="shared" si="1"/>
        <v>-10251245.945295874</v>
      </c>
      <c r="AJ14" s="40">
        <f t="shared" si="1"/>
        <v>-7439028.4772434775</v>
      </c>
      <c r="AK14" s="40">
        <f t="shared" si="1"/>
        <v>-4800384.9526346475</v>
      </c>
      <c r="AL14" s="40">
        <f t="shared" si="1"/>
        <v>-5780337.5408163033</v>
      </c>
      <c r="AM14" s="40">
        <f t="shared" si="1"/>
        <v>-6880739.9907029625</v>
      </c>
      <c r="AN14" s="40">
        <f t="shared" si="1"/>
        <v>-8428357.0571856219</v>
      </c>
      <c r="AO14" s="40">
        <f t="shared" si="1"/>
        <v>-15917562.185620738</v>
      </c>
      <c r="AP14" s="40">
        <f t="shared" si="1"/>
        <v>-9810190.9260435738</v>
      </c>
      <c r="AQ14" s="40">
        <f t="shared" si="1"/>
        <v>-9041130.3579446729</v>
      </c>
      <c r="AR14" s="40">
        <f t="shared" si="1"/>
        <v>-548018.51520321716</v>
      </c>
    </row>
    <row r="15" spans="1:44" ht="15" customHeight="1" x14ac:dyDescent="0.25">
      <c r="A15" s="13" t="s">
        <v>35</v>
      </c>
      <c r="B15" s="14">
        <v>19409274</v>
      </c>
      <c r="C15" s="14">
        <v>5514074</v>
      </c>
      <c r="D15" s="15">
        <v>0</v>
      </c>
      <c r="E15" s="14">
        <v>1994894</v>
      </c>
      <c r="F15" s="15">
        <v>0</v>
      </c>
      <c r="G15" s="16">
        <v>-1881000</v>
      </c>
      <c r="H15" s="20">
        <v>2.4754678427000001</v>
      </c>
      <c r="I15" s="14">
        <v>979389</v>
      </c>
      <c r="J15" s="17">
        <v>3.2911377492999998</v>
      </c>
      <c r="K15" s="14">
        <v>64733500.799999997</v>
      </c>
    </row>
    <row r="16" spans="1:44" ht="15" customHeight="1" x14ac:dyDescent="0.25">
      <c r="A16" s="13" t="s">
        <v>36</v>
      </c>
      <c r="B16" s="14">
        <v>24636362</v>
      </c>
      <c r="C16" s="14">
        <v>5054040</v>
      </c>
      <c r="D16" s="15">
        <v>0</v>
      </c>
      <c r="E16" s="14">
        <v>2152919</v>
      </c>
      <c r="F16" s="15">
        <v>0</v>
      </c>
      <c r="G16" s="16">
        <v>-2159571</v>
      </c>
      <c r="H16" s="20">
        <v>3.0469926103999998</v>
      </c>
      <c r="I16" s="14">
        <v>1000883</v>
      </c>
      <c r="J16" s="17">
        <v>4.3788732839</v>
      </c>
      <c r="K16" s="14">
        <v>84801127.450000003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30357344</v>
      </c>
      <c r="C17" s="14">
        <v>8009724</v>
      </c>
      <c r="D17" s="15">
        <v>0</v>
      </c>
      <c r="E17" s="14">
        <v>2295499</v>
      </c>
      <c r="F17" s="15">
        <v>0</v>
      </c>
      <c r="G17" s="16">
        <v>-804923</v>
      </c>
      <c r="H17" s="20">
        <v>0.75793003599999997</v>
      </c>
      <c r="I17" s="14">
        <v>2018674</v>
      </c>
      <c r="J17" s="17">
        <v>5.8187813174</v>
      </c>
      <c r="K17" s="14">
        <v>107474447.59999999</v>
      </c>
      <c r="L17" s="41" t="str">
        <f>+L19</f>
        <v>Bradesco PN</v>
      </c>
      <c r="M17" s="2" t="s">
        <v>38</v>
      </c>
      <c r="N17" s="2"/>
      <c r="O17" s="28"/>
      <c r="P17" s="42">
        <f>+C6</f>
        <v>824493</v>
      </c>
      <c r="Q17" s="42">
        <f>C7</f>
        <v>830512</v>
      </c>
      <c r="R17" s="42">
        <f>C8</f>
        <v>1012420</v>
      </c>
      <c r="S17" s="42">
        <f>C9</f>
        <v>1104806</v>
      </c>
      <c r="T17" s="42">
        <f>C10</f>
        <v>1740165</v>
      </c>
      <c r="U17" s="42">
        <f>C11</f>
        <v>2170130</v>
      </c>
      <c r="V17" s="42">
        <f>C12</f>
        <v>2022588</v>
      </c>
      <c r="W17" s="42">
        <f>C13</f>
        <v>2306339</v>
      </c>
      <c r="X17" s="42">
        <f>C14</f>
        <v>3060151</v>
      </c>
      <c r="Y17" s="42">
        <f>C15</f>
        <v>5514074</v>
      </c>
      <c r="Z17" s="42">
        <f>C16</f>
        <v>5054040</v>
      </c>
      <c r="AA17" s="42">
        <f>C17</f>
        <v>8009724</v>
      </c>
      <c r="AB17" s="42">
        <f>C18</f>
        <v>7620238</v>
      </c>
      <c r="AC17" s="42">
        <f>C19</f>
        <v>8012282</v>
      </c>
      <c r="AD17" s="42">
        <f>C20</f>
        <v>10021673</v>
      </c>
      <c r="AE17" s="42">
        <f>C21</f>
        <v>11028266</v>
      </c>
      <c r="AF17" s="42">
        <f>C22</f>
        <v>11381244</v>
      </c>
      <c r="AG17" s="42">
        <f>C23</f>
        <v>12011028</v>
      </c>
      <c r="AH17" s="42">
        <f>C24</f>
        <v>15088818</v>
      </c>
      <c r="AI17" s="42">
        <f>C25</f>
        <v>17189635</v>
      </c>
      <c r="AJ17" s="42">
        <f>C26</f>
        <v>15083578</v>
      </c>
      <c r="AK17" s="42">
        <f>C27</f>
        <v>14657755</v>
      </c>
      <c r="AL17" s="42">
        <f>C28</f>
        <v>19084953</v>
      </c>
      <c r="AM17" s="42">
        <f>C29</f>
        <v>22582615</v>
      </c>
      <c r="AN17" s="42">
        <f>C30</f>
        <v>16546577</v>
      </c>
      <c r="AO17" s="42">
        <f>C31</f>
        <v>21945688</v>
      </c>
      <c r="AP17" s="42">
        <f>C32</f>
        <v>21223264</v>
      </c>
      <c r="AQ17" s="42">
        <f>D32</f>
        <v>12257722</v>
      </c>
      <c r="AR17" s="42">
        <f>E32</f>
        <v>11971122</v>
      </c>
    </row>
    <row r="18" spans="1:44" ht="15" customHeight="1" x14ac:dyDescent="0.25">
      <c r="A18" s="13" t="s">
        <v>39</v>
      </c>
      <c r="B18" s="14">
        <v>34256544</v>
      </c>
      <c r="C18" s="14">
        <v>7620238</v>
      </c>
      <c r="D18" s="15">
        <v>0</v>
      </c>
      <c r="E18" s="14">
        <v>3249385</v>
      </c>
      <c r="F18" s="15">
        <v>0</v>
      </c>
      <c r="G18" s="14">
        <v>-2903283</v>
      </c>
      <c r="H18" s="20">
        <v>7.2149799439000004</v>
      </c>
      <c r="I18" s="14">
        <v>3069706</v>
      </c>
      <c r="J18" s="17">
        <v>3.6629497473999999</v>
      </c>
      <c r="K18" s="14">
        <v>65354162.939999998</v>
      </c>
      <c r="L18" s="43" t="str">
        <f>+L19</f>
        <v>Bradesco PN</v>
      </c>
      <c r="M18" s="18" t="s">
        <v>40</v>
      </c>
      <c r="N18" s="18"/>
      <c r="O18" s="25"/>
      <c r="P18" s="44">
        <f t="shared" ref="P18:AR18" si="2">P14+P17</f>
        <v>478452.64360000001</v>
      </c>
      <c r="Q18" s="44">
        <f t="shared" si="2"/>
        <v>588434.81575675483</v>
      </c>
      <c r="R18" s="44">
        <f t="shared" si="2"/>
        <v>887490.83494883752</v>
      </c>
      <c r="S18" s="44">
        <f t="shared" si="2"/>
        <v>604326.35992631083</v>
      </c>
      <c r="T18" s="44">
        <f t="shared" si="2"/>
        <v>1303664.2702498094</v>
      </c>
      <c r="U18" s="44">
        <f t="shared" si="2"/>
        <v>1525427.8691959854</v>
      </c>
      <c r="V18" s="44">
        <f t="shared" si="2"/>
        <v>877940.8594943916</v>
      </c>
      <c r="W18" s="44">
        <f t="shared" si="2"/>
        <v>1126186.0979637201</v>
      </c>
      <c r="X18" s="44">
        <f t="shared" si="2"/>
        <v>1780727.589177252</v>
      </c>
      <c r="Y18" s="44">
        <f t="shared" si="2"/>
        <v>4204512.4451028816</v>
      </c>
      <c r="Z18" s="44">
        <f t="shared" si="2"/>
        <v>3898048.0470434278</v>
      </c>
      <c r="AA18" s="44">
        <f t="shared" si="2"/>
        <v>6346399.8457403444</v>
      </c>
      <c r="AB18" s="44">
        <f t="shared" si="2"/>
        <v>5332723.1287223045</v>
      </c>
      <c r="AC18" s="44">
        <f t="shared" si="2"/>
        <v>5854664.9210339114</v>
      </c>
      <c r="AD18" s="44">
        <f t="shared" si="2"/>
        <v>6920050.0212451741</v>
      </c>
      <c r="AE18" s="44">
        <f t="shared" si="2"/>
        <v>7205003.8888629954</v>
      </c>
      <c r="AF18" s="44">
        <f t="shared" si="2"/>
        <v>7072001.6148531148</v>
      </c>
      <c r="AG18" s="44">
        <f t="shared" si="2"/>
        <v>7154386.1474840762</v>
      </c>
      <c r="AH18" s="44">
        <f t="shared" si="2"/>
        <v>9461978.8516963758</v>
      </c>
      <c r="AI18" s="44">
        <f t="shared" si="2"/>
        <v>6938389.054704126</v>
      </c>
      <c r="AJ18" s="44">
        <f t="shared" si="2"/>
        <v>7644549.5227565225</v>
      </c>
      <c r="AK18" s="44">
        <f t="shared" si="2"/>
        <v>9857370.0473653525</v>
      </c>
      <c r="AL18" s="44">
        <f t="shared" si="2"/>
        <v>13304615.459183697</v>
      </c>
      <c r="AM18" s="44">
        <f t="shared" si="2"/>
        <v>15701875.009297037</v>
      </c>
      <c r="AN18" s="44">
        <f t="shared" si="2"/>
        <v>8118219.9428143781</v>
      </c>
      <c r="AO18" s="44">
        <f t="shared" si="2"/>
        <v>6028125.8143792618</v>
      </c>
      <c r="AP18" s="44">
        <f t="shared" si="2"/>
        <v>11413073.073956426</v>
      </c>
      <c r="AQ18" s="44">
        <f t="shared" si="2"/>
        <v>3216591.6420553271</v>
      </c>
      <c r="AR18" s="44">
        <f t="shared" si="2"/>
        <v>11423103.484796783</v>
      </c>
    </row>
    <row r="19" spans="1:44" ht="15" customHeight="1" x14ac:dyDescent="0.25">
      <c r="A19" s="13" t="s">
        <v>41</v>
      </c>
      <c r="B19" s="14">
        <v>41753751</v>
      </c>
      <c r="C19" s="14">
        <v>8012282</v>
      </c>
      <c r="D19" s="15">
        <v>0</v>
      </c>
      <c r="E19" s="14">
        <v>3417954</v>
      </c>
      <c r="F19" s="15">
        <v>0</v>
      </c>
      <c r="G19" s="14">
        <v>-3052306</v>
      </c>
      <c r="H19" s="20">
        <v>2.4573279632</v>
      </c>
      <c r="I19" s="14">
        <v>3112404.7749999999</v>
      </c>
      <c r="J19" s="17">
        <v>6.0618364833999996</v>
      </c>
      <c r="K19" s="14">
        <v>103287043.88</v>
      </c>
      <c r="L19" s="18" t="str">
        <f>+A1</f>
        <v>Bradesco PN</v>
      </c>
      <c r="M19" s="18" t="s">
        <v>42</v>
      </c>
      <c r="N19" s="18"/>
      <c r="O19" s="31"/>
      <c r="P19" s="45">
        <f t="shared" ref="P19:AR19" si="3">P18/P17</f>
        <v>0.5802992185500665</v>
      </c>
      <c r="Q19" s="45">
        <f t="shared" si="3"/>
        <v>0.7085205460688766</v>
      </c>
      <c r="R19" s="45">
        <f t="shared" si="3"/>
        <v>0.87660342046664186</v>
      </c>
      <c r="S19" s="45">
        <f t="shared" si="3"/>
        <v>0.54699771717958701</v>
      </c>
      <c r="T19" s="45">
        <f t="shared" si="3"/>
        <v>0.74916129806645315</v>
      </c>
      <c r="U19" s="45">
        <f t="shared" si="3"/>
        <v>0.70292004128599916</v>
      </c>
      <c r="V19" s="45">
        <f t="shared" si="3"/>
        <v>0.43406806502085032</v>
      </c>
      <c r="W19" s="45">
        <f t="shared" si="3"/>
        <v>0.4883003313752749</v>
      </c>
      <c r="X19" s="45">
        <f t="shared" si="3"/>
        <v>0.58190840555817414</v>
      </c>
      <c r="Y19" s="45">
        <f t="shared" si="3"/>
        <v>0.76250562562324731</v>
      </c>
      <c r="Z19" s="45">
        <f t="shared" si="3"/>
        <v>0.77127368343808678</v>
      </c>
      <c r="AA19" s="45">
        <f t="shared" si="3"/>
        <v>0.79233689522140138</v>
      </c>
      <c r="AB19" s="45">
        <f t="shared" si="3"/>
        <v>0.69981057399024871</v>
      </c>
      <c r="AC19" s="45">
        <f t="shared" si="3"/>
        <v>0.73071129062031404</v>
      </c>
      <c r="AD19" s="45">
        <f t="shared" si="3"/>
        <v>0.69050846313237058</v>
      </c>
      <c r="AE19" s="45">
        <f t="shared" si="3"/>
        <v>0.65332155470887221</v>
      </c>
      <c r="AF19" s="45">
        <f t="shared" si="3"/>
        <v>0.62137334151285351</v>
      </c>
      <c r="AG19" s="45">
        <f t="shared" si="3"/>
        <v>0.59565144194852238</v>
      </c>
      <c r="AH19" s="45">
        <f t="shared" si="3"/>
        <v>0.62708549150081705</v>
      </c>
      <c r="AI19" s="45">
        <f t="shared" si="3"/>
        <v>0.4036379512830916</v>
      </c>
      <c r="AJ19" s="45">
        <f t="shared" si="3"/>
        <v>0.5068127418280014</v>
      </c>
      <c r="AK19" s="45">
        <f t="shared" si="3"/>
        <v>0.67250203372653949</v>
      </c>
      <c r="AL19" s="45">
        <f t="shared" si="3"/>
        <v>0.69712592214315106</v>
      </c>
      <c r="AM19" s="45">
        <f t="shared" si="3"/>
        <v>0.69530809471343502</v>
      </c>
      <c r="AN19" s="45">
        <f t="shared" si="3"/>
        <v>0.49062836034391755</v>
      </c>
      <c r="AO19" s="45">
        <f t="shared" si="3"/>
        <v>0.27468383831845516</v>
      </c>
      <c r="AP19" s="45">
        <f t="shared" si="3"/>
        <v>0.53776238536901888</v>
      </c>
      <c r="AQ19" s="45">
        <f t="shared" si="3"/>
        <v>0.26241349265836889</v>
      </c>
      <c r="AR19" s="45">
        <f t="shared" si="3"/>
        <v>0.95422162473966787</v>
      </c>
    </row>
    <row r="20" spans="1:44" ht="15" customHeight="1" x14ac:dyDescent="0.25">
      <c r="A20" s="13" t="s">
        <v>43</v>
      </c>
      <c r="B20" s="14">
        <v>48042850</v>
      </c>
      <c r="C20" s="14">
        <v>10021673</v>
      </c>
      <c r="D20" s="15">
        <v>0</v>
      </c>
      <c r="E20" s="14">
        <v>3766131</v>
      </c>
      <c r="F20" s="15">
        <v>0</v>
      </c>
      <c r="G20" s="14">
        <v>-2884013</v>
      </c>
      <c r="H20" s="20">
        <v>2.6698494014</v>
      </c>
      <c r="I20" s="14">
        <v>3762055</v>
      </c>
      <c r="J20" s="17">
        <v>6.7968648004999999</v>
      </c>
      <c r="K20" s="14">
        <v>109759327.25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55581664</v>
      </c>
      <c r="C21" s="14">
        <v>11028266</v>
      </c>
      <c r="D21" s="15">
        <v>0</v>
      </c>
      <c r="E21" s="14">
        <v>4412843</v>
      </c>
      <c r="F21" s="15">
        <v>0</v>
      </c>
      <c r="G21" s="14">
        <v>-3530183</v>
      </c>
      <c r="H21" s="20">
        <v>3.4892955122</v>
      </c>
      <c r="I21" s="14">
        <v>3817841</v>
      </c>
      <c r="J21" s="17">
        <v>6.6285476820999998</v>
      </c>
      <c r="K21" s="14">
        <v>106970502.15000001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70047459</v>
      </c>
      <c r="C22" s="14">
        <v>11381244</v>
      </c>
      <c r="D22" s="15">
        <v>0</v>
      </c>
      <c r="E22" s="14">
        <v>4677858</v>
      </c>
      <c r="F22" s="15">
        <v>0</v>
      </c>
      <c r="G22" s="14">
        <v>-3746393</v>
      </c>
      <c r="H22" s="20">
        <v>2.9493938044000001</v>
      </c>
      <c r="I22" s="14">
        <v>3817372</v>
      </c>
      <c r="J22" s="17">
        <v>7.8181427299999999</v>
      </c>
      <c r="K22" s="14">
        <v>131907965.98</v>
      </c>
      <c r="L22" s="47" t="str">
        <f>+L24</f>
        <v>Bradesco PN</v>
      </c>
      <c r="M22" s="39" t="s">
        <v>46</v>
      </c>
      <c r="N22" s="32"/>
      <c r="O22" s="32"/>
      <c r="P22" s="30">
        <v>5460211</v>
      </c>
      <c r="Q22" s="30">
        <v>5572745</v>
      </c>
      <c r="R22" s="30">
        <v>6320999</v>
      </c>
      <c r="S22" s="30">
        <v>10502002</v>
      </c>
      <c r="T22" s="30">
        <v>10565590</v>
      </c>
      <c r="U22" s="30">
        <v>9767946</v>
      </c>
      <c r="V22" s="30">
        <v>10845729</v>
      </c>
      <c r="W22" s="30">
        <v>13546880</v>
      </c>
      <c r="X22" s="30">
        <v>15214646</v>
      </c>
      <c r="Y22" s="30">
        <v>19409274</v>
      </c>
      <c r="Z22" s="30">
        <v>24636362</v>
      </c>
      <c r="AA22" s="30">
        <v>30357344</v>
      </c>
      <c r="AB22" s="30">
        <v>34256544</v>
      </c>
      <c r="AC22" s="30">
        <v>41753751</v>
      </c>
      <c r="AD22" s="30">
        <v>48042850</v>
      </c>
      <c r="AE22" s="30">
        <v>55581664</v>
      </c>
      <c r="AF22" s="30">
        <v>70047459</v>
      </c>
      <c r="AG22" s="30">
        <v>70939802</v>
      </c>
      <c r="AH22" s="30">
        <v>81508250</v>
      </c>
      <c r="AI22" s="30">
        <v>88906644</v>
      </c>
      <c r="AJ22" s="30">
        <v>100442413</v>
      </c>
      <c r="AK22" s="30">
        <v>110457476</v>
      </c>
      <c r="AL22" s="30">
        <v>121120869</v>
      </c>
      <c r="AM22" s="30">
        <v>133723221</v>
      </c>
      <c r="AN22" s="30">
        <v>143702640</v>
      </c>
      <c r="AO22" s="30">
        <v>147121011</v>
      </c>
      <c r="AP22" s="30">
        <v>154263000</v>
      </c>
      <c r="AQ22" s="30">
        <v>154263000</v>
      </c>
      <c r="AR22" s="30">
        <v>154263000</v>
      </c>
    </row>
    <row r="23" spans="1:44" ht="15" customHeight="1" x14ac:dyDescent="0.25">
      <c r="A23" s="13" t="s">
        <v>47</v>
      </c>
      <c r="B23" s="14">
        <v>70939802</v>
      </c>
      <c r="C23" s="14">
        <v>12011028</v>
      </c>
      <c r="D23" s="15">
        <v>0</v>
      </c>
      <c r="E23" s="14">
        <v>4667245</v>
      </c>
      <c r="F23" s="15">
        <v>0</v>
      </c>
      <c r="G23" s="14">
        <v>-4293372</v>
      </c>
      <c r="H23" s="20">
        <v>2.9946746225999998</v>
      </c>
      <c r="I23" s="14">
        <v>4196509</v>
      </c>
      <c r="J23" s="17">
        <v>7.3253269711</v>
      </c>
      <c r="K23" s="14">
        <v>128084557.48999999</v>
      </c>
      <c r="L23" s="47" t="str">
        <f>+L25</f>
        <v>Bradesco PN</v>
      </c>
      <c r="M23" s="39" t="s">
        <v>48</v>
      </c>
      <c r="N23" s="32"/>
      <c r="O23" s="32"/>
      <c r="P23" s="30">
        <f>P22+P9+P10+P14</f>
        <v>5606620.727</v>
      </c>
      <c r="Q23" s="33">
        <f>Q22+Q9+Q10+Q14+((P9+P10+P14)*(1+Q5))</f>
        <v>5780322.8698555557</v>
      </c>
      <c r="R23" s="33">
        <f>R22+R9+R10+R14+((Q9+Q10+Q14)*(1+R5))+(((P9+P10+P14)*(1+R5)*(1+Q5)))</f>
        <v>6509130.4983269563</v>
      </c>
      <c r="S23" s="33">
        <f>S22+S9+S10+S14+((R9+R10+R14)*(1+S5))+(((Q9+Q10+Q14)*(1+S5)*(1+R5)))+(((P9+P10+P14)*(1+S5)*(1+R5)*(1+Q5)))</f>
        <v>10807433.213547351</v>
      </c>
      <c r="T23" s="33">
        <f>T22+T9+T10+T14+((S9+S10+S14)*(1+T5))+(((R9+R10+R14)*(1+T5)*(1+S5)))+(((Q9+Q10+Q14)*(1+T5)*(1+S5)*(1+R5)))+(((P9+P10+P14)*(1+T5)*(1+S5)*(1+R5)*(1+Q5)))</f>
        <v>10912936.31956525</v>
      </c>
      <c r="U23" s="33">
        <f>U22+U9+U10+U14+((T9+T10+T14)*(1+U5))+((S9+S10+S14)*(1+U5)*(1+T5))+((R9+R10+R14)*(1+U5)*(1+T5)*(1+S5))+((Q9+Q10+Q14)*(1+U5)*(1+T5)*(1+S5)*(1+R5))+((P9+P10+P14)*(1+U5)*(1+T5)*(1+S5)*(1+R5)*(1+Q5))</f>
        <v>10205270.730812788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11530327.191373758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14301051.947124917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15882431.853072027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19814399.530437816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24593455.913445547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29860298.181111839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33301896.835504577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40185665.367453992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45827873.561763577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52614550.657401554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66093484.193271816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65838816.087272853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75039149.644321874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79976777.144914716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88995362.770472199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96704309.113529131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104985470.20965448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114930895.26829274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121213166.41845554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119259549.55208103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122628082.29851457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118399763.36326922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123187175.83875206</v>
      </c>
    </row>
    <row r="24" spans="1:44" ht="15" customHeight="1" x14ac:dyDescent="0.25">
      <c r="A24" s="13" t="s">
        <v>49</v>
      </c>
      <c r="B24" s="14">
        <v>81508250</v>
      </c>
      <c r="C24" s="14">
        <v>15088818</v>
      </c>
      <c r="D24" s="15">
        <v>0</v>
      </c>
      <c r="E24" s="14">
        <v>4887145</v>
      </c>
      <c r="F24" s="15">
        <v>0</v>
      </c>
      <c r="G24" s="14">
        <v>-3921651</v>
      </c>
      <c r="H24" s="20">
        <v>3.7592321107000002</v>
      </c>
      <c r="I24" s="14">
        <v>4195390</v>
      </c>
      <c r="J24" s="17">
        <v>9.1898332088999997</v>
      </c>
      <c r="K24" s="14">
        <v>145535827.28</v>
      </c>
      <c r="L24" s="47" t="str">
        <f>+L25</f>
        <v>Bradesco PN</v>
      </c>
      <c r="M24" s="39" t="s">
        <v>50</v>
      </c>
      <c r="N24" s="32"/>
      <c r="O24" s="32"/>
      <c r="P24" s="30">
        <v>6896759.3513000002</v>
      </c>
      <c r="Q24" s="30">
        <v>10327833.515000001</v>
      </c>
      <c r="R24" s="30">
        <v>6435282.7752999999</v>
      </c>
      <c r="S24" s="30">
        <v>17428087.655999999</v>
      </c>
      <c r="T24" s="30">
        <v>16748049.408</v>
      </c>
      <c r="U24" s="30">
        <v>16545627.073999999</v>
      </c>
      <c r="V24" s="30">
        <v>14538426.843</v>
      </c>
      <c r="W24" s="30">
        <v>22699491.068</v>
      </c>
      <c r="X24" s="30">
        <v>28749553.859999999</v>
      </c>
      <c r="Y24" s="30">
        <v>64733500.799999997</v>
      </c>
      <c r="Z24" s="30">
        <v>84801127.450000003</v>
      </c>
      <c r="AA24" s="30">
        <v>107474447.59999999</v>
      </c>
      <c r="AB24" s="30">
        <v>65354162.939999998</v>
      </c>
      <c r="AC24" s="30">
        <v>103287043.88</v>
      </c>
      <c r="AD24" s="30">
        <v>109759327.25</v>
      </c>
      <c r="AE24" s="30">
        <v>106970502.15000001</v>
      </c>
      <c r="AF24" s="30">
        <v>131907965.98</v>
      </c>
      <c r="AG24" s="30">
        <v>128084557.48999999</v>
      </c>
      <c r="AH24" s="30">
        <v>145535827.28</v>
      </c>
      <c r="AI24" s="30">
        <v>100043545.18000001</v>
      </c>
      <c r="AJ24" s="30">
        <v>160812747.63999999</v>
      </c>
      <c r="AK24" s="30">
        <v>200521275.03999999</v>
      </c>
      <c r="AL24" s="30">
        <v>242605819.25</v>
      </c>
      <c r="AM24" s="30">
        <v>282075111.29000002</v>
      </c>
      <c r="AN24" s="30">
        <v>226778470.78</v>
      </c>
      <c r="AO24" s="30">
        <v>171479631.44</v>
      </c>
      <c r="AP24" s="30">
        <v>152273967.09</v>
      </c>
      <c r="AQ24" s="30">
        <f>+K33</f>
        <v>147969996.99716499</v>
      </c>
      <c r="AR24" s="30">
        <f>+K34</f>
        <v>107472305.22264101</v>
      </c>
    </row>
    <row r="25" spans="1:44" ht="15" customHeight="1" x14ac:dyDescent="0.25">
      <c r="A25" s="13" t="s">
        <v>51</v>
      </c>
      <c r="B25" s="14">
        <v>88906644</v>
      </c>
      <c r="C25" s="14">
        <v>17189635</v>
      </c>
      <c r="D25" s="15">
        <v>0</v>
      </c>
      <c r="E25" s="14">
        <v>5495852</v>
      </c>
      <c r="F25" s="15">
        <v>0</v>
      </c>
      <c r="G25" s="14">
        <v>-4875422</v>
      </c>
      <c r="H25" s="20">
        <v>7.1997756691000001</v>
      </c>
      <c r="I25" s="14">
        <v>5029476</v>
      </c>
      <c r="J25" s="17">
        <v>6.4772768129999996</v>
      </c>
      <c r="K25" s="14">
        <v>100043545.18000001</v>
      </c>
      <c r="L25" s="39" t="str">
        <f>+A1</f>
        <v>Bradesco PN</v>
      </c>
      <c r="M25" s="39" t="s">
        <v>52</v>
      </c>
      <c r="N25" s="18"/>
      <c r="O25" s="18"/>
      <c r="P25" s="31">
        <f t="shared" ref="P25:AR25" si="4">P24/P23</f>
        <v>1.230109844614071</v>
      </c>
      <c r="Q25" s="31">
        <f t="shared" si="4"/>
        <v>1.78672260140688</v>
      </c>
      <c r="R25" s="31">
        <f t="shared" si="4"/>
        <v>0.98865474842670042</v>
      </c>
      <c r="S25" s="31">
        <f t="shared" si="4"/>
        <v>1.6126019297675156</v>
      </c>
      <c r="T25" s="31">
        <f t="shared" si="4"/>
        <v>1.5346968879469471</v>
      </c>
      <c r="U25" s="31">
        <f t="shared" si="4"/>
        <v>1.6212825225737288</v>
      </c>
      <c r="V25" s="31">
        <f t="shared" si="4"/>
        <v>1.260885888292633</v>
      </c>
      <c r="W25" s="31">
        <f t="shared" si="4"/>
        <v>1.5872602345566267</v>
      </c>
      <c r="X25" s="31">
        <f t="shared" si="4"/>
        <v>1.8101481011196139</v>
      </c>
      <c r="Y25" s="31">
        <f t="shared" si="4"/>
        <v>3.2669928099794228</v>
      </c>
      <c r="Z25" s="31">
        <f t="shared" si="4"/>
        <v>3.4481175703182965</v>
      </c>
      <c r="AA25" s="31">
        <f t="shared" si="4"/>
        <v>3.5992422764211733</v>
      </c>
      <c r="AB25" s="31">
        <f t="shared" si="4"/>
        <v>1.9624756890821644</v>
      </c>
      <c r="AC25" s="31">
        <f t="shared" si="4"/>
        <v>2.5702459555055976</v>
      </c>
      <c r="AD25" s="31">
        <f t="shared" si="4"/>
        <v>2.3950342601446284</v>
      </c>
      <c r="AE25" s="31">
        <f t="shared" si="4"/>
        <v>2.0330973240945456</v>
      </c>
      <c r="AF25" s="31">
        <f t="shared" si="4"/>
        <v>1.9957786700164306</v>
      </c>
      <c r="AG25" s="31">
        <f t="shared" si="4"/>
        <v>1.9454261953953895</v>
      </c>
      <c r="AH25" s="31">
        <f t="shared" si="4"/>
        <v>1.9394653053749327</v>
      </c>
      <c r="AI25" s="31">
        <f t="shared" si="4"/>
        <v>1.2509074352761815</v>
      </c>
      <c r="AJ25" s="31">
        <f t="shared" si="4"/>
        <v>1.8069789552378352</v>
      </c>
      <c r="AK25" s="31">
        <f t="shared" si="4"/>
        <v>2.0735505674787627</v>
      </c>
      <c r="AL25" s="31">
        <f t="shared" si="4"/>
        <v>2.3108513851061452</v>
      </c>
      <c r="AM25" s="31">
        <f t="shared" si="4"/>
        <v>2.4543018709767175</v>
      </c>
      <c r="AN25" s="31">
        <f t="shared" si="4"/>
        <v>1.8709062511997163</v>
      </c>
      <c r="AO25" s="31">
        <f t="shared" si="4"/>
        <v>1.4378691860236674</v>
      </c>
      <c r="AP25" s="31">
        <f t="shared" si="4"/>
        <v>1.2417544516379062</v>
      </c>
      <c r="AQ25" s="31">
        <f t="shared" si="4"/>
        <v>1.2497490940346698</v>
      </c>
      <c r="AR25" s="31">
        <f t="shared" si="4"/>
        <v>0.87243095306705221</v>
      </c>
    </row>
    <row r="26" spans="1:44" ht="15" customHeight="1" x14ac:dyDescent="0.25">
      <c r="A26" s="13" t="s">
        <v>53</v>
      </c>
      <c r="B26" s="14">
        <v>100442413</v>
      </c>
      <c r="C26" s="14">
        <v>15083578</v>
      </c>
      <c r="D26" s="15">
        <v>0</v>
      </c>
      <c r="E26" s="14">
        <v>7722638</v>
      </c>
      <c r="F26" s="15">
        <v>0</v>
      </c>
      <c r="G26" s="14">
        <v>-5561036</v>
      </c>
      <c r="H26" s="20">
        <v>4.5558786015999999</v>
      </c>
      <c r="I26" s="14">
        <v>5531884</v>
      </c>
      <c r="J26" s="17">
        <v>11.251087372000001</v>
      </c>
      <c r="K26" s="14">
        <v>160812747.63999999</v>
      </c>
    </row>
    <row r="27" spans="1:44" ht="15" customHeight="1" x14ac:dyDescent="0.25">
      <c r="A27" s="13" t="s">
        <v>54</v>
      </c>
      <c r="B27" s="14">
        <v>110457476</v>
      </c>
      <c r="C27" s="14">
        <v>14657755</v>
      </c>
      <c r="D27" s="15">
        <v>0</v>
      </c>
      <c r="E27" s="14">
        <v>7744649</v>
      </c>
      <c r="F27" s="15">
        <v>0</v>
      </c>
      <c r="G27" s="14">
        <v>-6397874</v>
      </c>
      <c r="H27" s="20">
        <v>3.6645554903000002</v>
      </c>
      <c r="I27" s="14">
        <v>6085075</v>
      </c>
      <c r="J27" s="17">
        <v>15.015400748999999</v>
      </c>
      <c r="K27" s="14">
        <v>200521275.03999999</v>
      </c>
      <c r="S27" s="67"/>
    </row>
    <row r="28" spans="1:44" ht="15" customHeight="1" x14ac:dyDescent="0.25">
      <c r="A28" s="13" t="s">
        <v>55</v>
      </c>
      <c r="B28" s="14">
        <v>121120869</v>
      </c>
      <c r="C28" s="14">
        <v>19084953</v>
      </c>
      <c r="D28" s="15">
        <v>0</v>
      </c>
      <c r="E28" s="14">
        <v>8159840</v>
      </c>
      <c r="F28" s="15">
        <v>0</v>
      </c>
      <c r="G28" s="14">
        <v>-6483196</v>
      </c>
      <c r="H28" s="20">
        <v>2.9558536044000001</v>
      </c>
      <c r="I28" s="14">
        <v>6693581</v>
      </c>
      <c r="J28" s="17">
        <v>19.503029479999999</v>
      </c>
      <c r="K28" s="14">
        <v>242605819.25</v>
      </c>
    </row>
    <row r="29" spans="1:44" ht="15" customHeight="1" x14ac:dyDescent="0.25">
      <c r="A29" s="13" t="s">
        <v>56</v>
      </c>
      <c r="B29" s="14">
        <v>133723221</v>
      </c>
      <c r="C29" s="14">
        <v>22582615</v>
      </c>
      <c r="D29" s="15">
        <v>0</v>
      </c>
      <c r="E29" s="14">
        <v>9731572</v>
      </c>
      <c r="F29" s="15">
        <v>0</v>
      </c>
      <c r="G29" s="14">
        <v>-17751148</v>
      </c>
      <c r="H29" s="20">
        <v>5.5439246018999997</v>
      </c>
      <c r="I29" s="14">
        <v>8032297</v>
      </c>
      <c r="J29" s="17">
        <v>23.183127888000001</v>
      </c>
      <c r="K29" s="14">
        <v>282075111.29000002</v>
      </c>
    </row>
    <row r="30" spans="1:44" ht="15" customHeight="1" x14ac:dyDescent="0.25">
      <c r="A30" s="13" t="s">
        <v>57</v>
      </c>
      <c r="B30" s="14">
        <v>143702640</v>
      </c>
      <c r="C30" s="14">
        <v>16546577</v>
      </c>
      <c r="D30" s="15">
        <v>0</v>
      </c>
      <c r="E30" s="14">
        <v>9490251</v>
      </c>
      <c r="F30" s="15">
        <v>0</v>
      </c>
      <c r="G30" s="14">
        <v>-1432130</v>
      </c>
      <c r="H30" s="20">
        <v>2.5581617066</v>
      </c>
      <c r="I30" s="14">
        <v>8835527</v>
      </c>
      <c r="J30" s="17">
        <v>19.655677477000001</v>
      </c>
      <c r="K30" s="14">
        <v>226778470.78</v>
      </c>
    </row>
    <row r="31" spans="1:44" ht="15" customHeight="1" x14ac:dyDescent="0.25">
      <c r="A31" s="13" t="s">
        <v>58</v>
      </c>
      <c r="B31" s="14">
        <v>147121011</v>
      </c>
      <c r="C31" s="14">
        <v>21945688</v>
      </c>
      <c r="D31" s="15">
        <v>0</v>
      </c>
      <c r="E31" s="14">
        <v>9067693</v>
      </c>
      <c r="F31" s="15">
        <v>0</v>
      </c>
      <c r="G31" s="14">
        <v>-9914297</v>
      </c>
      <c r="H31" s="20">
        <v>5.2968440315</v>
      </c>
      <c r="I31" s="14">
        <v>9689534</v>
      </c>
      <c r="J31" s="17">
        <v>15.988890781</v>
      </c>
      <c r="K31" s="14">
        <v>171479631.44</v>
      </c>
    </row>
    <row r="32" spans="1:44" ht="15" customHeight="1" x14ac:dyDescent="0.25">
      <c r="A32" s="13" t="s">
        <v>59</v>
      </c>
      <c r="B32" s="14">
        <v>159534931</v>
      </c>
      <c r="C32" s="14">
        <v>21223264</v>
      </c>
      <c r="D32" s="15">
        <v>12257722</v>
      </c>
      <c r="E32" s="14">
        <v>11971122</v>
      </c>
      <c r="F32" s="15">
        <v>0</v>
      </c>
      <c r="G32" s="15">
        <v>0</v>
      </c>
      <c r="H32" s="20">
        <v>2.7550702934000002</v>
      </c>
      <c r="I32" s="14">
        <v>10642170.228</v>
      </c>
      <c r="J32" s="17">
        <v>14.183079807</v>
      </c>
      <c r="K32" s="14">
        <v>117704452.00025401</v>
      </c>
    </row>
    <row r="33" spans="1:42" ht="15" customHeight="1" x14ac:dyDescent="0.25">
      <c r="A33" s="13" t="s">
        <v>60</v>
      </c>
      <c r="B33" s="14">
        <v>166330965</v>
      </c>
      <c r="C33" s="14">
        <v>14251329</v>
      </c>
      <c r="D33" s="14">
        <v>15510497</v>
      </c>
      <c r="E33" s="14">
        <v>11118009</v>
      </c>
      <c r="F33" s="14"/>
      <c r="G33" s="14"/>
      <c r="H33" s="14"/>
      <c r="I33" s="14"/>
      <c r="J33" s="14"/>
      <c r="K33" s="14">
        <v>147969996.99716499</v>
      </c>
    </row>
    <row r="34" spans="1:42" ht="15" customHeight="1" x14ac:dyDescent="0.25">
      <c r="A34" s="13" t="s">
        <v>61</v>
      </c>
      <c r="B34" s="14">
        <v>168409653</v>
      </c>
      <c r="C34" s="14">
        <v>17252900</v>
      </c>
      <c r="D34" s="14">
        <v>17018566</v>
      </c>
      <c r="E34" s="14">
        <v>10220444</v>
      </c>
      <c r="F34" s="14"/>
      <c r="G34" s="14"/>
      <c r="H34" s="14"/>
      <c r="I34" s="14"/>
      <c r="J34" s="14"/>
      <c r="K34" s="14">
        <v>107472305.22264101</v>
      </c>
    </row>
    <row r="46" spans="1:42" ht="15" customHeight="1" x14ac:dyDescent="0.25">
      <c r="M46" s="46" t="s">
        <v>62</v>
      </c>
      <c r="N46" s="1"/>
      <c r="O46" s="1"/>
      <c r="P46" s="35">
        <f>-G6/P17</f>
        <v>0.11542972469141642</v>
      </c>
      <c r="Q46" s="35">
        <f>-G7/Q17</f>
        <v>5.6997370296877105E-2</v>
      </c>
      <c r="R46" s="35">
        <f>-G8/R17</f>
        <v>0</v>
      </c>
      <c r="S46" s="35">
        <f>-G9/S17</f>
        <v>0.77476679163581663</v>
      </c>
      <c r="T46" s="35">
        <f>-G10/T17</f>
        <v>0.50167656515330439</v>
      </c>
      <c r="U46" s="35">
        <f>-G11/U17</f>
        <v>0.38569117979107242</v>
      </c>
      <c r="V46" s="35">
        <f>-G12/V17</f>
        <v>0.41926482308804364</v>
      </c>
      <c r="W46" s="35">
        <f>-G13/W17</f>
        <v>0.48561811598381677</v>
      </c>
      <c r="X46" s="35">
        <f>-G14/X17</f>
        <v>0.43297961440464866</v>
      </c>
      <c r="Y46" s="35">
        <f>-G15/Y17</f>
        <v>0.34112708679644127</v>
      </c>
      <c r="Z46" s="35">
        <f>-G16/Z17</f>
        <v>0.42729598499418286</v>
      </c>
      <c r="AA46" s="35">
        <f>-G17/AA17</f>
        <v>0.10049322548442369</v>
      </c>
      <c r="AB46" s="35">
        <f>-G18/AB17</f>
        <v>0.38099636782998114</v>
      </c>
      <c r="AC46" s="35">
        <f>-G19/AC17</f>
        <v>0.38095339130599748</v>
      </c>
      <c r="AD46" s="35">
        <f>-G20/AD17</f>
        <v>0.28777759960836879</v>
      </c>
      <c r="AE46" s="35">
        <f>-G21/AE17</f>
        <v>0.32010317850512493</v>
      </c>
      <c r="AF46" s="35">
        <f>-G22/AF17</f>
        <v>0.32917254036553473</v>
      </c>
      <c r="AG46" s="35">
        <f>-G23/AG17</f>
        <v>0.35745250115144184</v>
      </c>
      <c r="AH46" s="35">
        <f>-G24/AH17</f>
        <v>0.2599044537484646</v>
      </c>
      <c r="AI46" s="35">
        <f>-G25/AI17</f>
        <v>0.28362568489674156</v>
      </c>
      <c r="AJ46" s="35">
        <f>-G26/AJ17</f>
        <v>0.36868148923285976</v>
      </c>
      <c r="AK46" s="35">
        <f>-G27/AK17</f>
        <v>0.43648389538507093</v>
      </c>
      <c r="AL46" s="35">
        <f>-G28/AL17</f>
        <v>0.33970196311198669</v>
      </c>
      <c r="AM46" s="35">
        <f>-G29/AM17</f>
        <v>0.78605369661573732</v>
      </c>
      <c r="AN46" s="35">
        <f>-G30/AN17</f>
        <v>8.655143598582353E-2</v>
      </c>
      <c r="AO46" s="35">
        <f>-G31/AO17</f>
        <v>0.4517651485795296</v>
      </c>
      <c r="AP46" s="35">
        <f>-G32/AP17</f>
        <v>0</v>
      </c>
    </row>
    <row r="47" spans="1:42" ht="15" customHeight="1" x14ac:dyDescent="0.25">
      <c r="M47" s="39" t="s">
        <v>63</v>
      </c>
      <c r="N47" s="32"/>
      <c r="O47" s="32"/>
      <c r="P47" s="36">
        <f>-G6/P18</f>
        <v>0.19891414808351579</v>
      </c>
      <c r="Q47" s="36">
        <f>-G7/Q18</f>
        <v>8.0445613910730948E-2</v>
      </c>
      <c r="R47" s="36">
        <f>-G8/R18</f>
        <v>0</v>
      </c>
      <c r="S47" s="36">
        <f>-G9/S18</f>
        <v>1.4163985832164814</v>
      </c>
      <c r="T47" s="36">
        <f>-G10/T18</f>
        <v>0.66965093691853261</v>
      </c>
      <c r="U47" s="36">
        <f>-G11/U18</f>
        <v>0.54869851069468245</v>
      </c>
      <c r="V47" s="36">
        <f>-G12/V18</f>
        <v>0.96589649613570261</v>
      </c>
      <c r="W47" s="36">
        <f>-G13/W18</f>
        <v>0.99450703753588743</v>
      </c>
      <c r="X47" s="36">
        <f>-G14/X18</f>
        <v>0.74406832805470302</v>
      </c>
      <c r="Y47" s="36">
        <f>-G15/Y18</f>
        <v>0.44737648527853818</v>
      </c>
      <c r="Z47" s="36">
        <f>-G16/Z18</f>
        <v>0.55401343799186387</v>
      </c>
      <c r="AA47" s="36">
        <f>-G17/AA18</f>
        <v>0.12683143507578681</v>
      </c>
      <c r="AB47" s="36">
        <f>-G18/AB18</f>
        <v>0.54442785232234869</v>
      </c>
      <c r="AC47" s="36">
        <f>-G19/AC18</f>
        <v>0.52134597644248692</v>
      </c>
      <c r="AD47" s="36">
        <f>-G20/AD18</f>
        <v>0.41676187182835694</v>
      </c>
      <c r="AE47" s="36">
        <f>-G21/AE18</f>
        <v>0.48996267794618636</v>
      </c>
      <c r="AF47" s="36">
        <f>-G22/AF18</f>
        <v>0.52975002043715069</v>
      </c>
      <c r="AG47" s="36">
        <f>-G23/AG18</f>
        <v>0.60010347659383956</v>
      </c>
      <c r="AH47" s="36">
        <f>-G24/AH18</f>
        <v>0.41446414766578271</v>
      </c>
      <c r="AI47" s="36">
        <f>-G25/AI18</f>
        <v>0.70267348249872719</v>
      </c>
      <c r="AJ47" s="36">
        <f>-G26/AJ18</f>
        <v>0.72745110531964541</v>
      </c>
      <c r="AK47" s="36">
        <f>-G27/AK18</f>
        <v>0.64904472179270611</v>
      </c>
      <c r="AL47" s="36">
        <f>-G28/AL18</f>
        <v>0.48728924333734752</v>
      </c>
      <c r="AM47" s="36">
        <f>-G29/AM18</f>
        <v>1.1305113554584783</v>
      </c>
      <c r="AN47" s="36">
        <f>-G30/AN18</f>
        <v>0.17640936191530646</v>
      </c>
      <c r="AO47" s="36">
        <f>-G31/AO18</f>
        <v>1.6446732044561534</v>
      </c>
      <c r="AP47" s="36">
        <f>-G32/AP18</f>
        <v>0</v>
      </c>
    </row>
    <row r="48" spans="1:42" ht="15" customHeight="1" x14ac:dyDescent="0.25">
      <c r="M48" s="39" t="s">
        <v>64</v>
      </c>
      <c r="N48" s="32"/>
      <c r="O48" s="32"/>
      <c r="P48" s="37">
        <v>2.6241134540000002</v>
      </c>
      <c r="Q48" s="37">
        <v>6.9507366703000004</v>
      </c>
      <c r="R48" s="37">
        <v>10.913170484</v>
      </c>
      <c r="S48" s="37">
        <v>6.1894056428999997</v>
      </c>
      <c r="T48" s="37">
        <v>4.3003582005999998</v>
      </c>
      <c r="U48" s="37">
        <v>4.9435759263000003</v>
      </c>
      <c r="V48" s="37">
        <v>2.1999119380000001</v>
      </c>
      <c r="W48" s="37">
        <v>8.9534164473000004</v>
      </c>
      <c r="X48" s="37">
        <v>4.5559505402999996</v>
      </c>
      <c r="Y48" s="37">
        <v>2.4754678427000001</v>
      </c>
      <c r="Z48" s="37">
        <v>3.0469926103999998</v>
      </c>
      <c r="AA48" s="37">
        <v>0.75793003599999997</v>
      </c>
      <c r="AB48" s="37">
        <v>7.2149799439000004</v>
      </c>
      <c r="AC48" s="37">
        <v>2.4573279632</v>
      </c>
      <c r="AD48" s="37">
        <v>2.6698494014</v>
      </c>
      <c r="AE48" s="37">
        <v>3.4892955122</v>
      </c>
      <c r="AF48" s="37">
        <v>2.9493938044000001</v>
      </c>
      <c r="AG48" s="37">
        <v>2.9946746225999998</v>
      </c>
      <c r="AH48" s="37">
        <v>3.7592321107000002</v>
      </c>
      <c r="AI48" s="37">
        <v>7.1997756691000001</v>
      </c>
      <c r="AJ48" s="37">
        <v>4.5558786015999999</v>
      </c>
      <c r="AK48" s="37">
        <v>3.6645554903000002</v>
      </c>
      <c r="AL48" s="37">
        <v>2.9558536044000001</v>
      </c>
      <c r="AM48" s="37">
        <v>5.5439246018999997</v>
      </c>
      <c r="AN48" s="37">
        <v>2.5581617066</v>
      </c>
      <c r="AO48" s="37">
        <v>5.2968440315</v>
      </c>
      <c r="AP48" s="37">
        <v>2.7550702934000002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49"/>
  <sheetViews>
    <sheetView showGridLines="0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4" customWidth="1"/>
    <col min="17" max="23" width="9.28515625" customWidth="1"/>
    <col min="24" max="25" width="9.5703125" customWidth="1"/>
    <col min="26" max="27" width="11.28515625" customWidth="1"/>
    <col min="28" max="30" width="15.5703125" customWidth="1"/>
    <col min="31" max="31" width="11" customWidth="1"/>
    <col min="32" max="39" width="15.5703125" customWidth="1"/>
    <col min="40" max="40" width="16.5703125" customWidth="1"/>
    <col min="41" max="42" width="15.5703125" customWidth="1"/>
    <col min="43" max="43" width="13.5703125" customWidth="1"/>
    <col min="44" max="44" width="14.7109375" customWidth="1"/>
  </cols>
  <sheetData>
    <row r="1" spans="1:44" ht="15" customHeight="1" x14ac:dyDescent="0.25">
      <c r="A1" s="6" t="s">
        <v>77</v>
      </c>
      <c r="M1" t="s">
        <v>1</v>
      </c>
      <c r="N1" s="7">
        <v>0.1057</v>
      </c>
    </row>
    <row r="2" spans="1:44" ht="15" customHeight="1" x14ac:dyDescent="0.25">
      <c r="A2" s="6"/>
    </row>
    <row r="3" spans="1:44" ht="15" customHeight="1" x14ac:dyDescent="0.25">
      <c r="M3" s="2" t="s">
        <v>78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M7" s="1" t="s">
        <v>20</v>
      </c>
      <c r="N7" s="1"/>
      <c r="O7" s="5"/>
      <c r="P7" s="4">
        <f>((D5+E5)*P5)</f>
        <v>0</v>
      </c>
      <c r="Q7" s="4">
        <f>((D6+E6+P7+P8)*Q5)</f>
        <v>0</v>
      </c>
      <c r="R7" s="4">
        <f>((D7+E7+Q7+P7+P8+Q8)*R5)</f>
        <v>0</v>
      </c>
      <c r="S7" s="4">
        <f>((D8+E8+R7+Q7+P7+SUM($P$8:R8))*S5)</f>
        <v>0</v>
      </c>
      <c r="T7" s="4">
        <f>((D9+E9+S7+R7+Q7+P7+SUM($P$8:S8))*T5)</f>
        <v>0</v>
      </c>
      <c r="U7" s="4">
        <f>((D10+E10+T7+S7+R7+Q7+P7+SUM($P$8:T8))*U5)</f>
        <v>0</v>
      </c>
      <c r="V7" s="4">
        <f>((D11+E11+U7+T7+S7+R7+Q7+P7+SUM($P$8:U8))*V5)</f>
        <v>0</v>
      </c>
      <c r="W7" s="4">
        <f>((D12+E12+V7+U7+T7+S7+R7+Q7+P7+SUM($P$8:V8))*W5)</f>
        <v>0</v>
      </c>
      <c r="X7" s="4">
        <f>((D13+E13+W7+V7+U7+T7+S7+R7+Q7+P7+SUM($P$8:W8))*X5)</f>
        <v>0</v>
      </c>
      <c r="Y7" s="4">
        <f>((D14+E14+X7+W7+V7+U7+T7+S7+R7+Q7+P7+SUM($P$8:X8))*Y5)</f>
        <v>7562.7965855999992</v>
      </c>
      <c r="Z7" s="4">
        <f>((E14+F14+Y7+X7+W7+V7+U7+T7+S7+R7+Q7+P7+SUM($P$8:Y8))*Z5)</f>
        <v>4406.64306251784</v>
      </c>
      <c r="AA7" s="4">
        <f>((D16+E16+Z7+Y7+X7+W7+V7+U7+T7+S7+R7+P7+Q7+SUM($P$8:Z8))*AA5)</f>
        <v>6550.5635321960563</v>
      </c>
      <c r="AB7" s="4">
        <f>((D17+E17+AA7+Z7+Y7+X7+W7+V7+U7+T7+S7+P7+Q7+R7+SUM($P$8:AA8))*AB5)</f>
        <v>1195.7863780885198</v>
      </c>
      <c r="AC7" s="4">
        <f>((D18+E18+AB7+AA7+Z7+Y7+X7+W7+V7+U7+T7+S7+R7+Q7+P7+SUM($P$8:AB8))*AC5)</f>
        <v>11922.534358372142</v>
      </c>
      <c r="AD7" s="4">
        <f>((D19+E19+AC7+AB7+AA7+Z7+Y7+X7+W7+V7+U7+T7+S7+R7+Q7+P7+SUM($P$8:AC8))*AD5)</f>
        <v>18323.717489911378</v>
      </c>
      <c r="AE7" s="4">
        <f>((D20+E20+AD7+AC7+AB7+AA7+Z7+Y7+X7+W7+V7+U7+T7+S7+R7+Q7+P7+SUM($P$8:AD8))*AE5)</f>
        <v>1113098.6486624347</v>
      </c>
      <c r="AF7" s="4">
        <f>((E20+F20+AE7+AD7+AC7+AB7+AA7+Z7+Y7+X7+W7+V7+U7+T7+S7+R7+Q7+P7+SUM($P$8:AE8))*AF5)</f>
        <v>251849.73711059664</v>
      </c>
      <c r="AG7" s="4">
        <f>((D22+E22+AF7+AE7+AD7+AC7+AB7+AA7+Z7+Y7+X7+W7+V7+U7+T7+R7+S7+Q7+P7+SUM($P$8:AF8))*AG5)</f>
        <v>1110402.9706819213</v>
      </c>
      <c r="AH7" s="4">
        <f>((E22+F22+AG7+AF7+AE7+AD7+AC7+AB7+AA7+Z7+Y7+X7+W7+V7+U7+S7+T7+R7+Q7+P7+SUM($P$8:AG8))*AH5)</f>
        <v>405252.13509383611</v>
      </c>
      <c r="AI7" s="4">
        <f>((F22+G22+AH7+AG7+AF7+AE7+AD7+AC7+AB7+AA7+Z7+Y7+X7+W7+V7+T7+U7+S7+R7+Q7+P7+SUM($P$8:AH8))*AI5)</f>
        <v>557119.63913592906</v>
      </c>
      <c r="AJ7" s="4">
        <f>((G22+H22+AI7+AH7+AG7+AF7+AE7+AD7+AC7+AB7+AA7+Z7+Y7+X7+W7+U7+V7+T7+S7+R7+Q7+P7+SUM($P$8:AI8))*AJ5)</f>
        <v>174038.21243185466</v>
      </c>
      <c r="AK7" s="4">
        <f>((H22+I22+AJ7+AI7+AH7+AG7+AF7+AE7+AD7+AC7+AB7+AA7+Z7+Y7+X7+V7+W7+U7+T7+S7+R7+Q7+P7+SUM($P$8:AJ8))*AK5)</f>
        <v>177725.67128748275</v>
      </c>
      <c r="AL7" s="4">
        <f>((D27+E27+AK7+AJ7+AI7+AH7+AG7+AF7+AE7+AD7+AC7++AB7+AA7+Z7+Y7+X7+W7+V7+U7+T7+S7+R7+Q7+P7+SUM($P$8:AK8))*AL5)</f>
        <v>1234626.4027504027</v>
      </c>
      <c r="AM7" s="4">
        <f>((E27+F27+AL7+AK7+AJ7+AI7+AH7+AG7+AF7+AE7+AD7++AC7+AB7+AA7+Z7+Y7+X7+W7+V7+U7+T7+S7+R7+Q7+P7+SUM($P$8:AL8))*AM5)</f>
        <v>271450.50577863032</v>
      </c>
      <c r="AN7" s="4">
        <f>((F27+G27+AM7+AL7+AK7+AJ7+AI7+AH7+AG7+AF7+AE7++AD7+AC7+AB7+AA7+Z7+Y7+X7+W7+V7+U7+T7+S7+R7+Q7+P7+SUM($P$8:AM8))*AN5)</f>
        <v>235229.33897787775</v>
      </c>
      <c r="AO7" s="4">
        <f>((G27+H27+AN7+AM7+AL7+AK7+AJ7+AI7+AH7+AG7+AF7++AE7+AD7+AC7+AB7+AA7+Z7+Y7+X7+W7+V7+U7+T7+S7+R7+Q7+P7+SUM($P$8:AN8))*AO5)</f>
        <v>541126.41097619303</v>
      </c>
      <c r="AP7" s="4">
        <f>((H27+I27+AO7+AN7+AM7+AL7+AK7+AJ7+AI7+AH7+AG7++AF7+AE7+AD7+AC7+AB7+AA7+Z7+Y7+X7+W7+V7+U7+T7+S7+R7+Q7+P7+SUM($P$8:AO8))*AP5)</f>
        <v>508987.06203382381</v>
      </c>
      <c r="AQ7" s="4">
        <f>((I27+J27+AP7+AO7+AN7+AM7+AL7+AK7+AJ7+AI7+AH7++AG7+AF7+AE7+AD7+AC7+AB7+AA7+Z7+Y7+X7+W7+V7+U7+T7+S7+R7+Q7+P7+SUM($P$8:AP8))*AQ5)</f>
        <v>396860.2093708482</v>
      </c>
      <c r="AR7" s="4">
        <f>((J27+K27+AQ7+AP7+AO7+AN7+AM7+AL7+AK7+AJ7+AI7++AH7+AG7+AF7+AE7+AD7+AC7+AB7+AA7+Z7+Y7+X7+W7+V7+U7+T7+S7+R7+Q7+P7+SUM($P$8:AQ8))*AR5)</f>
        <v>2551857.0988788484</v>
      </c>
    </row>
    <row r="8" spans="1:44" ht="15" customHeight="1" x14ac:dyDescent="0.25">
      <c r="A8" s="13" t="s">
        <v>21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M8" s="1" t="s">
        <v>22</v>
      </c>
      <c r="N8" s="1"/>
      <c r="O8" s="4"/>
      <c r="P8" s="4">
        <f>((D6+E6)-(D5+E5))*(P5^1/2)</f>
        <v>0</v>
      </c>
      <c r="Q8" s="4">
        <f>((D7+E7)-(D6+E6))*(Q5^1/2)</f>
        <v>0</v>
      </c>
      <c r="R8" s="4">
        <f>((D8+E8)-(D7+E7))*(R5^1/2)</f>
        <v>0</v>
      </c>
      <c r="S8" s="4">
        <f>((D9+E9)-(D8+E8))*(S5^1/2)</f>
        <v>0</v>
      </c>
      <c r="T8" s="4">
        <f>((D10+E10)-(D9+E9))*(T5^1/2)</f>
        <v>0</v>
      </c>
      <c r="U8" s="4">
        <f>((D11+E11)-(D10+E10))*(U5^1/2)</f>
        <v>0</v>
      </c>
      <c r="V8" s="4">
        <f>((D12+E12)-(D11+E11))*(V5^1/2)</f>
        <v>0</v>
      </c>
      <c r="W8" s="4">
        <f>((D13+E13)-(D12+E12))*(W5^1/2)</f>
        <v>0</v>
      </c>
      <c r="X8" s="4">
        <f>((D14+E14)-(D13+E13))*(X5^1/2)</f>
        <v>4865.8239999999996</v>
      </c>
      <c r="Y8" s="4">
        <f>((D15+E15)-(D14+E14))*(Y5^1/2)</f>
        <v>-137.66954999999999</v>
      </c>
      <c r="Z8" s="4">
        <f>((E15+F15)-(E14+F14))*(Z5^1/2)</f>
        <v>-75.97229999999999</v>
      </c>
      <c r="AA8" s="4">
        <f>((D17+E17)-(D16+E16))*(AA5^1/2)</f>
        <v>-2904.6196</v>
      </c>
      <c r="AB8" s="4">
        <f>((D18+E18)-(D17+E17))*(AB5^1/2)</f>
        <v>7311.5749999999998</v>
      </c>
      <c r="AC8" s="4">
        <f>((D19+E19)-(D18+E18))*(AC5^1/2)</f>
        <v>453.51974999999999</v>
      </c>
      <c r="AD8" s="4">
        <f>((D20+E20)-(D19+E19))*(AD5/2)</f>
        <v>482082.89610000001</v>
      </c>
      <c r="AE8" s="4">
        <f>((D21+E21)-(D20+E20))*(AE5^1/2)</f>
        <v>4168.2550000000001</v>
      </c>
      <c r="AF8" s="4">
        <f>((D22+E22)-(D21+E21))*(AF5^1/2)</f>
        <v>4726.1076000000003</v>
      </c>
      <c r="AG8" s="4">
        <f>((D23+E23)-(D22+E22))*(AG5^1/2)</f>
        <v>6569.88105</v>
      </c>
      <c r="AH8" s="4">
        <f>((D24+E24)-(D23+E23))*(AH5^1/2)</f>
        <v>3170.6103500000004</v>
      </c>
      <c r="AI8" s="4">
        <f>((D25+E25)-(D24+E24))*(AI5^1/2)</f>
        <v>-82764.7359</v>
      </c>
      <c r="AJ8" s="4">
        <f>((D26+E26)-(D25+E25))*(AJ5^1/2)</f>
        <v>3834.10095</v>
      </c>
      <c r="AK8" s="4">
        <f>((D27+E27)-(D26+E26))*(AK5/2)</f>
        <v>187329.91175</v>
      </c>
      <c r="AL8" s="4">
        <f>((D28+E28)-(D27+E27))*(AL5^1/2)</f>
        <v>-13180.55625</v>
      </c>
      <c r="AM8" s="4">
        <f>((D29+E29)-(D28+E28))*(AM5^1/2)</f>
        <v>-12605.17685</v>
      </c>
      <c r="AN8" s="4">
        <f>((D30+E30)-(D29+E29))*(AN5^1/2)</f>
        <v>-15468.0728</v>
      </c>
      <c r="AO8" s="4">
        <f>((D31+E31)-(D30+E30))*(AO5^1/2)</f>
        <v>52376.534899999999</v>
      </c>
      <c r="AP8" s="4">
        <f>((D32+E32)-(D31+E31))*(AP5^1/2)</f>
        <v>-709738.83689999999</v>
      </c>
      <c r="AQ8" s="4">
        <f>((D32+E32)-(D31+E31))*(AQ5^1/2)</f>
        <v>-566320.10820000002</v>
      </c>
      <c r="AR8" s="4">
        <f>((E32+F32)-(E31+F31))*(AR5^1/2)</f>
        <v>488.62695000000002</v>
      </c>
    </row>
    <row r="9" spans="1:44" ht="15" customHeight="1" x14ac:dyDescent="0.25">
      <c r="A9" s="13" t="s">
        <v>23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M9" s="1" t="s">
        <v>24</v>
      </c>
      <c r="N9" s="1"/>
      <c r="O9" s="4"/>
      <c r="P9" s="4">
        <f>+B5*P5</f>
        <v>0</v>
      </c>
      <c r="Q9" s="4">
        <f>+(B6+P9+P10+P14)*Q5</f>
        <v>0</v>
      </c>
      <c r="R9" s="4">
        <f>+(B7+Q9+P9+P10+Q10+P14+Q14)*R5</f>
        <v>0</v>
      </c>
      <c r="S9" s="4">
        <f>+(B8+R9+Q9+P9+P10+Q10+R10+P14+Q14+R14)*S5</f>
        <v>0</v>
      </c>
      <c r="T9" s="4">
        <f>+(B9+S9+R9+Q9+P9+P10+Q10+R10+S10+P14+Q14+R14+S14)*T5</f>
        <v>0</v>
      </c>
      <c r="U9" s="4">
        <f>+(B10+T9+S9+R9+Q9+P9+P10+Q10+R10+S10+T10+P14+Q14+R14+S14+T14)*U5</f>
        <v>0</v>
      </c>
      <c r="V9" s="4">
        <f>+(B11+U9+T9+S9+R9+Q9+P9+P10+Q10+R10+S10+T10+U10+P14+Q14+R14+S14+T14+U14)*V5</f>
        <v>0</v>
      </c>
      <c r="W9" s="4">
        <f>+(B12+V9+U9+T9+S9+R9+Q9+P9+P10+Q10+R10+S10+T10+U10+V10+P14+Q14+R14+S14+T14+U14+V14)*W5</f>
        <v>0</v>
      </c>
      <c r="X9" s="4">
        <f>+(B13+W9+V9+U9+T9+S9+R9+Q9+P9+P10+Q10+R10+S10+T10+U10+V10+W10+P14+Q14+R14+S14+T14+U14+V14+W14)*X5</f>
        <v>0</v>
      </c>
      <c r="Y9" s="4">
        <f>+(B14+X9+W9+V9+U9+T9+S9+R9+Q9+P9+P10+Q10+R10+S10+T10+U10+V10+W10+X10+P14+Q14+R14+S14+T14+U14+V14+W14+X14)*Y5</f>
        <v>46885.248585599998</v>
      </c>
      <c r="Z9" s="4">
        <f>+(B15+Y9+X9+W9+V9+U9+T9+S9+R9+Q9+P9+P10+Q10+R10+S10+T10+U10+V10+W10+X10+Y10+P14+Q14+R14+S14+T14+U14+V14+W14+X14+Y14)*Z5</f>
        <v>27299.234379300819</v>
      </c>
      <c r="AA9" s="4">
        <f>+(B16+Z9+Y9+X9+W9+V9+U9+T9+S9+R9+Q9+P9+P10+Q10+R10+S10+T10+U10+V10+W10+X10+Y10+Z10+P14+Q14+R14+S14+T14+U14+V14+W14+X14+Y14+Z14)*AA5</f>
        <v>48024.69614153351</v>
      </c>
      <c r="AB9" s="4">
        <f>+(B17+AA9+Z9+Y9+X9+W9+V9+U9+T9+S9+R9+Q9+P9+P10+Q10+R10+S10+T10+U10+V10+W10+X10+Y10+Z10+AA10+P14+Q14+R14+S14+T14+U14+V14+W14+X14+Y14+Z14+AA14)*AB5</f>
        <v>80834.333370185443</v>
      </c>
      <c r="AC9" s="4">
        <f>+(B18+AB9+AA9+Z9+Y9+X9+W9+V9+U9+T9+S9+R9+Q9+P9+P10+Q10+R10+S10+T10+U10+V10+W10+X10+Y10+Z10+AA10+AB10+P14+Q14+R14+S14+T14+U14+V14+W14+X14+Y14+Z14+AA14+AB14)*AC5</f>
        <v>832443.98682198313</v>
      </c>
      <c r="AD9" s="4">
        <f>+(B19+AC9+AB9+AA9+Z9+Y9+X9+W9+V9+U9+T9+S9+R9+Q9+P9+P10+Q10+R10+S10+T10+U10+V10+W10+X10+Y10+Z10+AA10+AB10+AC10+P14+Q14+R14+S14+T14+U14+V14+W14+X14+Y14+Z14+AA14+AB14+AC14)*AD5</f>
        <v>1166703.3708869757</v>
      </c>
      <c r="AE9" s="4">
        <f>+(B20+AD9+AC9+AB9+AA9+Z9+Y9+X9+W9+V9+U9+T9+S9+R9+Q9+P9+P10+Q10+R10+S10+T10+U10+V10+W10+X10+Y10+Z10+AA10+AB10+AC10+AD10+P14+Q14+S14++R14+T14+U14+V14+W14+X14+Y14+Z14+AA14+AB14+AC14+AD14)*AE5</f>
        <v>1295419.631558799</v>
      </c>
      <c r="AF9" s="4">
        <f>+(B21+AE9+AD9+AC9+AB9+AA9+Z9+Y9+X9+W9+V9+U9+T9+S9+R9+Q9+P9+P10+Q10+R10+S10+T10+U10+V10+W10+X10+Y10+Z10+AA10+AB10+AC10+AD10+AE10+P14+Q14+R14+S14+T14+U14+V14+W14+X14+Y14+Z14+AA14+AB14+AC14+AD14+AE14)*AF5</f>
        <v>1216081.3583684112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1243847.2325078002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1398628.4907495473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2299651.2478557704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1316586.7520852024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628161.49286877783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986869.38944966905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1191036.9941893932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1240697.8556795628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2608252.9804227208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1357301.5341574051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924254.46948693914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903726.41224175564</v>
      </c>
    </row>
    <row r="10" spans="1:44" ht="15" customHeight="1" x14ac:dyDescent="0.25">
      <c r="A10" s="13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M10" s="22" t="s">
        <v>26</v>
      </c>
      <c r="N10" s="22"/>
      <c r="O10" s="23"/>
      <c r="P10" s="23">
        <f>((B6-B5)*(P5^1/2))</f>
        <v>0</v>
      </c>
      <c r="Q10" s="23">
        <f>((B7-B6)*(Q5^1/2))</f>
        <v>0</v>
      </c>
      <c r="R10" s="23">
        <f>((B8-B7)*(R5/2))</f>
        <v>0</v>
      </c>
      <c r="S10" s="23"/>
      <c r="T10" s="23">
        <f>((B10-B9)*(T5^1/2))</f>
        <v>0</v>
      </c>
      <c r="U10" s="23">
        <f>((B11-B10)*(U5^1/2))</f>
        <v>0</v>
      </c>
      <c r="V10" s="23">
        <f>((B12-B11)*(V5^1/2))</f>
        <v>0</v>
      </c>
      <c r="W10" s="23"/>
      <c r="X10" s="23"/>
      <c r="Y10" s="23">
        <f>((B15-B14)*(Y5/2))</f>
        <v>1096.0931499999999</v>
      </c>
      <c r="Z10" s="23"/>
      <c r="AA10" s="23"/>
      <c r="AB10" s="23">
        <f>((B18-B17)*(AB5^1/2))</f>
        <v>529173.80249999999</v>
      </c>
      <c r="AC10" s="23">
        <f>((B19-B18)*(AC5^1/2))</f>
        <v>9008.4387499999993</v>
      </c>
      <c r="AD10" s="23">
        <f>((B20-B19)*(AD5/2))</f>
        <v>-9071.3772000000008</v>
      </c>
      <c r="AE10" s="23">
        <f>((B21-B20)*(AE5^1/2))</f>
        <v>-5257.3625000000002</v>
      </c>
      <c r="AF10" s="23">
        <f>((B22-B21)*(AF5^1/2))</f>
        <v>4582.0056000000004</v>
      </c>
      <c r="AG10" s="23">
        <f>((B23-B22)*(AG5/2))</f>
        <v>-3359.5099500000001</v>
      </c>
      <c r="AH10" s="23">
        <f>((B24-B23)*(AH5/2))</f>
        <v>-9766.2759999999998</v>
      </c>
      <c r="AI10" s="23">
        <f>((B25-B24)*(AI5^1/2))</f>
        <v>-34005.823499999999</v>
      </c>
      <c r="AJ10" s="23">
        <f>((B26-B25)*(AJ5/2))</f>
        <v>22781.467949999998</v>
      </c>
      <c r="AK10" s="23">
        <f>((B27-B26)*(AK5/2))</f>
        <v>77190.053999999989</v>
      </c>
      <c r="AL10" s="23">
        <f>((B28-B27)*(AL5^1/2))</f>
        <v>13748.90625</v>
      </c>
      <c r="AM10" s="23">
        <f>((B29-B28)*(AM5/2))</f>
        <v>7650.9395999999997</v>
      </c>
      <c r="AN10" s="23">
        <f>((B30-B29)*(AN5/2))</f>
        <v>-19843.93</v>
      </c>
      <c r="AO10" s="23">
        <f>((B31-B30)*(AO5/2))</f>
        <v>-105732.91379999999</v>
      </c>
      <c r="AP10" s="23">
        <f>((B32-B31)*(AP5^1/2))</f>
        <v>-61859.433599999997</v>
      </c>
      <c r="AQ10" s="23">
        <f>((C32-C31)*(AQ5/2))</f>
        <v>-11343.023999999999</v>
      </c>
      <c r="AR10" s="23">
        <f>((D32-D31)*(AR5^1/2))</f>
        <v>-592467.28905000002</v>
      </c>
    </row>
    <row r="11" spans="1:44" ht="15" customHeight="1" x14ac:dyDescent="0.25">
      <c r="A11" s="13" t="s">
        <v>27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M12" s="1" t="s">
        <v>30</v>
      </c>
      <c r="N12" s="1"/>
      <c r="O12" s="1"/>
      <c r="P12" s="4">
        <v>0</v>
      </c>
      <c r="Q12" s="24">
        <f>-($P$7+$P$8)*$N$1</f>
        <v>0</v>
      </c>
      <c r="R12" s="24">
        <f>-((($P$7+$P$8)*(1+Q5))+($Q$7+$Q$8))*N1</f>
        <v>0</v>
      </c>
      <c r="S12" s="24">
        <f>-((($P$7+$P$8)*(1+Q5)*(1+R5))+(($Q$7+$Q$8)*(1+R5))+((R7+R8)))*$N$1</f>
        <v>0</v>
      </c>
      <c r="T12" s="24">
        <f>-((($P$7+$P$8)*(1+R5)*(1+S5)*(1+Q5))+(($Q$7+$Q$8)*(1+S5)*(1+R5))+((R7+R8)*(1+S5))+((S7+S8)))*$N$1</f>
        <v>0</v>
      </c>
      <c r="U12" s="24">
        <f>-((($P$7+$P$8)*(1+T5)*(1+R5)*(1+S5)*(1+Q5))+(($Q$7+$Q$8)*(1+T5)*(1+S5)*(1+R5))+((R7+R8)*(1+S5)*(1+T5))+((S7+S8)*(1+T5))+(T7+T8))*$N$1</f>
        <v>0</v>
      </c>
      <c r="V12" s="24">
        <f>-((($P$7+$P$8)*(1+U5)*(1+S5)*(1+T5)*(1+R5)*(1+Q5))+(($Q$7+$Q$8)*(1+U5)*(1+T5)*(1+S5)*(1+R5))+(($R$7+$R$8)*(1+U5)*(1+T5)*(1+S5))+((S7+S8)*(1+T5)*(1+U5))+((T7+T8)*(1+U5))+(U7+U8))*$N$1</f>
        <v>0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0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0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-514.31759679999993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-1328.41819572084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-1827.8824266646102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-2294.7822565269748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-3329.4025073260232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-4781.0486746467095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-57956.587707771971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-179818.87762589648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-217440.3668651589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-348355.12297495385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-413854.97055106191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-508100.74966813443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-558885.34123506653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-613945.91978517128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-766061.48222887539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-826455.10281125188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-887022.37140056898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-1038983.2193434816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-1077929.0134620394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-1067156.4181741392</v>
      </c>
    </row>
    <row r="13" spans="1:44" ht="15" customHeight="1" x14ac:dyDescent="0.25">
      <c r="A13" s="13" t="s">
        <v>31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M13" t="s">
        <v>32</v>
      </c>
      <c r="P13">
        <v>0</v>
      </c>
      <c r="Q13" s="24">
        <f t="shared" ref="Q13:AR13" si="0">Q12*Q5</f>
        <v>0</v>
      </c>
      <c r="R13" s="24">
        <f t="shared" si="0"/>
        <v>0</v>
      </c>
      <c r="S13" s="24">
        <f t="shared" si="0"/>
        <v>0</v>
      </c>
      <c r="T13" s="24">
        <f t="shared" si="0"/>
        <v>0</v>
      </c>
      <c r="U13" s="24">
        <f t="shared" si="0"/>
        <v>0</v>
      </c>
      <c r="V13" s="24">
        <f t="shared" si="0"/>
        <v>0</v>
      </c>
      <c r="W13" s="24">
        <f t="shared" si="0"/>
        <v>0</v>
      </c>
      <c r="X13" s="24">
        <f t="shared" si="0"/>
        <v>0</v>
      </c>
      <c r="Y13" s="24">
        <f t="shared" si="0"/>
        <v>-29.264671257919996</v>
      </c>
      <c r="Z13" s="24">
        <f t="shared" si="0"/>
        <v>-41.712331345634375</v>
      </c>
      <c r="AA13" s="24">
        <f t="shared" si="0"/>
        <v>-81.52355622924162</v>
      </c>
      <c r="AB13" s="24">
        <f t="shared" si="0"/>
        <v>-135.39215313509152</v>
      </c>
      <c r="AC13" s="24">
        <f t="shared" si="0"/>
        <v>-143.49724806575159</v>
      </c>
      <c r="AD13" s="24">
        <f t="shared" si="0"/>
        <v>-282.55997667162052</v>
      </c>
      <c r="AE13" s="24">
        <f t="shared" si="0"/>
        <v>-3767.1782010051784</v>
      </c>
      <c r="AF13" s="24">
        <f t="shared" si="0"/>
        <v>-10501.422453352354</v>
      </c>
      <c r="AG13" s="24">
        <f t="shared" si="0"/>
        <v>-12850.72568173089</v>
      </c>
      <c r="AH13" s="24">
        <f t="shared" si="0"/>
        <v>-22329.563382694541</v>
      </c>
      <c r="AI13" s="24">
        <f t="shared" si="0"/>
        <v>-44158.325357798305</v>
      </c>
      <c r="AJ13" s="24">
        <f t="shared" si="0"/>
        <v>-31959.537154125654</v>
      </c>
      <c r="AK13" s="24">
        <f t="shared" si="0"/>
        <v>-16487.117566434463</v>
      </c>
      <c r="AL13" s="24">
        <f t="shared" si="0"/>
        <v>-23022.971991943923</v>
      </c>
      <c r="AM13" s="24">
        <f t="shared" si="0"/>
        <v>-33017.249884064528</v>
      </c>
      <c r="AN13" s="24">
        <f t="shared" si="0"/>
        <v>-37355.770647068581</v>
      </c>
      <c r="AO13" s="24">
        <f t="shared" si="0"/>
        <v>-89234.45056289724</v>
      </c>
      <c r="AP13" s="24">
        <f t="shared" si="0"/>
        <v>-60157.128399987581</v>
      </c>
      <c r="AQ13" s="24">
        <f t="shared" si="0"/>
        <v>-49800.32042194622</v>
      </c>
      <c r="AR13" s="24">
        <f t="shared" si="0"/>
        <v>-51543.654997810925</v>
      </c>
    </row>
    <row r="14" spans="1:44" ht="15" customHeight="1" x14ac:dyDescent="0.25">
      <c r="A14" s="13" t="s">
        <v>33</v>
      </c>
      <c r="B14" s="16">
        <v>819128</v>
      </c>
      <c r="C14" s="16">
        <v>80394</v>
      </c>
      <c r="D14" s="15">
        <v>0</v>
      </c>
      <c r="E14" s="16">
        <v>128048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M14" s="39" t="s">
        <v>34</v>
      </c>
      <c r="N14" s="39"/>
      <c r="O14" s="40"/>
      <c r="P14" s="40">
        <f t="shared" ref="P14:AR14" si="1">(P7+P8)-(P9+P10)+P12+P13</f>
        <v>0</v>
      </c>
      <c r="Q14" s="40">
        <f t="shared" si="1"/>
        <v>0</v>
      </c>
      <c r="R14" s="40">
        <f t="shared" si="1"/>
        <v>0</v>
      </c>
      <c r="S14" s="40">
        <f t="shared" si="1"/>
        <v>0</v>
      </c>
      <c r="T14" s="40">
        <f t="shared" si="1"/>
        <v>0</v>
      </c>
      <c r="U14" s="40">
        <f t="shared" si="1"/>
        <v>0</v>
      </c>
      <c r="V14" s="40">
        <f t="shared" si="1"/>
        <v>0</v>
      </c>
      <c r="W14" s="40">
        <f t="shared" si="1"/>
        <v>0</v>
      </c>
      <c r="X14" s="40">
        <f t="shared" si="1"/>
        <v>4865.8239999999996</v>
      </c>
      <c r="Y14" s="40">
        <f t="shared" si="1"/>
        <v>-41099.796968057919</v>
      </c>
      <c r="Z14" s="40">
        <f t="shared" si="1"/>
        <v>-24338.694143849454</v>
      </c>
      <c r="AA14" s="40">
        <f t="shared" si="1"/>
        <v>-46288.158192231313</v>
      </c>
      <c r="AB14" s="40">
        <f t="shared" si="1"/>
        <v>-603930.94890175899</v>
      </c>
      <c r="AC14" s="40">
        <f t="shared" si="1"/>
        <v>-832549.27121900267</v>
      </c>
      <c r="AD14" s="40">
        <f t="shared" si="1"/>
        <v>-662288.98874838266</v>
      </c>
      <c r="AE14" s="40">
        <f t="shared" si="1"/>
        <v>-234619.13130514152</v>
      </c>
      <c r="AF14" s="40">
        <f t="shared" si="1"/>
        <v>-1154407.8193370635</v>
      </c>
      <c r="AG14" s="40">
        <f t="shared" si="1"/>
        <v>-353805.9633727686</v>
      </c>
      <c r="AH14" s="40">
        <f t="shared" si="1"/>
        <v>-1351124.1556633594</v>
      </c>
      <c r="AI14" s="40">
        <f t="shared" si="1"/>
        <v>-2249303.8170287018</v>
      </c>
      <c r="AJ14" s="40">
        <f t="shared" si="1"/>
        <v>-1701556.1934756078</v>
      </c>
      <c r="AK14" s="40">
        <f t="shared" si="1"/>
        <v>-915668.42263279599</v>
      </c>
      <c r="AL14" s="40">
        <f t="shared" si="1"/>
        <v>-416141.34097638144</v>
      </c>
      <c r="AM14" s="40">
        <f t="shared" si="1"/>
        <v>-1738921.3369737028</v>
      </c>
      <c r="AN14" s="40">
        <f t="shared" si="1"/>
        <v>-1864903.5329600056</v>
      </c>
      <c r="AO14" s="40">
        <f t="shared" si="1"/>
        <v>-2885273.9427099936</v>
      </c>
      <c r="AP14" s="40">
        <f t="shared" si="1"/>
        <v>-2595334.2231670506</v>
      </c>
      <c r="AQ14" s="40">
        <f t="shared" si="1"/>
        <v>-2210100.6782000763</v>
      </c>
      <c r="AR14" s="40">
        <f t="shared" si="1"/>
        <v>1122386.5294651424</v>
      </c>
    </row>
    <row r="15" spans="1:44" ht="15" customHeight="1" x14ac:dyDescent="0.25">
      <c r="A15" s="13" t="s">
        <v>35</v>
      </c>
      <c r="B15" s="16">
        <v>857655</v>
      </c>
      <c r="C15" s="16">
        <v>132118</v>
      </c>
      <c r="D15" s="15">
        <v>0</v>
      </c>
      <c r="E15" s="16">
        <v>123209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</row>
    <row r="16" spans="1:44" ht="15" customHeight="1" x14ac:dyDescent="0.25">
      <c r="A16" s="13" t="s">
        <v>36</v>
      </c>
      <c r="B16" s="16">
        <v>1062079</v>
      </c>
      <c r="C16" s="16">
        <v>191000</v>
      </c>
      <c r="D16" s="15">
        <v>0</v>
      </c>
      <c r="E16" s="16">
        <v>130252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6">
        <v>1353629</v>
      </c>
      <c r="C17" s="16">
        <v>118383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41" t="str">
        <f>+L19</f>
        <v>B3 ON</v>
      </c>
      <c r="M17" s="2" t="s">
        <v>38</v>
      </c>
      <c r="N17" s="2"/>
      <c r="O17" s="28"/>
      <c r="P17" s="42">
        <f>+C6</f>
        <v>0</v>
      </c>
      <c r="Q17" s="42">
        <f>C7</f>
        <v>0</v>
      </c>
      <c r="R17" s="42">
        <f>C8</f>
        <v>0</v>
      </c>
      <c r="S17" s="42">
        <f>C9</f>
        <v>0</v>
      </c>
      <c r="T17" s="42">
        <f>C10</f>
        <v>0</v>
      </c>
      <c r="U17" s="42">
        <f>C11</f>
        <v>0</v>
      </c>
      <c r="V17" s="42"/>
      <c r="W17" s="42"/>
      <c r="X17" s="42"/>
      <c r="Y17" s="42"/>
      <c r="Z17" s="42"/>
      <c r="AA17" s="42"/>
      <c r="AB17" s="42">
        <f>C18</f>
        <v>645596</v>
      </c>
      <c r="AC17" s="42">
        <f>C19</f>
        <v>881050</v>
      </c>
      <c r="AD17" s="42">
        <f>C20</f>
        <v>1144561</v>
      </c>
      <c r="AE17" s="42">
        <f>C21</f>
        <v>1047999</v>
      </c>
      <c r="AF17" s="42">
        <f>C22</f>
        <v>1074290</v>
      </c>
      <c r="AG17" s="42">
        <f>C23</f>
        <v>1081516</v>
      </c>
      <c r="AH17" s="42">
        <f>C24</f>
        <v>977053</v>
      </c>
      <c r="AI17" s="42">
        <f>C25</f>
        <v>2202238</v>
      </c>
      <c r="AJ17" s="42">
        <f>C26</f>
        <v>1446263</v>
      </c>
      <c r="AK17" s="42">
        <f>C27</f>
        <v>1296240</v>
      </c>
      <c r="AL17" s="42">
        <f>C28</f>
        <v>2087444</v>
      </c>
      <c r="AM17" s="42">
        <f>C29</f>
        <v>2714166</v>
      </c>
      <c r="AN17" s="42">
        <f>C30</f>
        <v>4152304</v>
      </c>
      <c r="AO17" s="42">
        <f>C31</f>
        <v>4717097</v>
      </c>
      <c r="AP17" s="42">
        <f>C32</f>
        <v>4226057</v>
      </c>
      <c r="AQ17" s="42">
        <f>D32</f>
        <v>2097613</v>
      </c>
      <c r="AR17" s="42">
        <f>E32</f>
        <v>920622</v>
      </c>
    </row>
    <row r="18" spans="1:44" ht="15" customHeight="1" x14ac:dyDescent="0.25">
      <c r="A18" s="13" t="s">
        <v>39</v>
      </c>
      <c r="B18" s="14">
        <v>19291724</v>
      </c>
      <c r="C18" s="14">
        <v>645596</v>
      </c>
      <c r="D18" s="15">
        <v>0</v>
      </c>
      <c r="E18" s="14">
        <v>247850</v>
      </c>
      <c r="F18" s="15">
        <v>0</v>
      </c>
      <c r="G18" s="14">
        <v>-410514</v>
      </c>
      <c r="H18" s="15">
        <v>0</v>
      </c>
      <c r="I18" s="14">
        <v>2010990.091</v>
      </c>
      <c r="J18" s="17">
        <v>1.1005001243999999</v>
      </c>
      <c r="K18" s="14">
        <v>11966905.317</v>
      </c>
      <c r="L18" s="43" t="str">
        <f>+L19</f>
        <v>B3 ON</v>
      </c>
      <c r="M18" s="18" t="s">
        <v>40</v>
      </c>
      <c r="N18" s="18"/>
      <c r="O18" s="25"/>
      <c r="P18" s="44">
        <f t="shared" ref="P18:V18" si="2">P14+P17</f>
        <v>0</v>
      </c>
      <c r="Q18" s="44">
        <f t="shared" si="2"/>
        <v>0</v>
      </c>
      <c r="R18" s="44">
        <f t="shared" si="2"/>
        <v>0</v>
      </c>
      <c r="S18" s="44">
        <f t="shared" si="2"/>
        <v>0</v>
      </c>
      <c r="T18" s="44">
        <f t="shared" si="2"/>
        <v>0</v>
      </c>
      <c r="U18" s="44">
        <f t="shared" si="2"/>
        <v>0</v>
      </c>
      <c r="V18" s="44">
        <f t="shared" si="2"/>
        <v>0</v>
      </c>
      <c r="W18" s="44"/>
      <c r="X18" s="44">
        <f t="shared" ref="X18:AR18" si="3">X14+X17</f>
        <v>4865.8239999999996</v>
      </c>
      <c r="Y18" s="44">
        <f t="shared" si="3"/>
        <v>-41099.796968057919</v>
      </c>
      <c r="Z18" s="44">
        <f t="shared" si="3"/>
        <v>-24338.694143849454</v>
      </c>
      <c r="AA18" s="44">
        <f t="shared" si="3"/>
        <v>-46288.158192231313</v>
      </c>
      <c r="AB18" s="44">
        <f t="shared" si="3"/>
        <v>41665.051098241005</v>
      </c>
      <c r="AC18" s="44">
        <f t="shared" si="3"/>
        <v>48500.728780997335</v>
      </c>
      <c r="AD18" s="44">
        <f t="shared" si="3"/>
        <v>482272.01125161734</v>
      </c>
      <c r="AE18" s="44">
        <f t="shared" si="3"/>
        <v>813379.86869485851</v>
      </c>
      <c r="AF18" s="44">
        <f t="shared" si="3"/>
        <v>-80117.819337063469</v>
      </c>
      <c r="AG18" s="44">
        <f t="shared" si="3"/>
        <v>727710.0366272314</v>
      </c>
      <c r="AH18" s="44">
        <f t="shared" si="3"/>
        <v>-374071.15566335944</v>
      </c>
      <c r="AI18" s="44">
        <f t="shared" si="3"/>
        <v>-47065.817028701771</v>
      </c>
      <c r="AJ18" s="44">
        <f t="shared" si="3"/>
        <v>-255293.19347560778</v>
      </c>
      <c r="AK18" s="44">
        <f t="shared" si="3"/>
        <v>380571.57736720401</v>
      </c>
      <c r="AL18" s="44">
        <f t="shared" si="3"/>
        <v>1671302.6590236186</v>
      </c>
      <c r="AM18" s="44">
        <f t="shared" si="3"/>
        <v>975244.66302629723</v>
      </c>
      <c r="AN18" s="44">
        <f t="shared" si="3"/>
        <v>2287400.4670399944</v>
      </c>
      <c r="AO18" s="44">
        <f t="shared" si="3"/>
        <v>1831823.0572900064</v>
      </c>
      <c r="AP18" s="44">
        <f t="shared" si="3"/>
        <v>1630722.7768329494</v>
      </c>
      <c r="AQ18" s="44">
        <f t="shared" si="3"/>
        <v>-112487.67820007633</v>
      </c>
      <c r="AR18" s="44">
        <f t="shared" si="3"/>
        <v>2043008.5294651424</v>
      </c>
    </row>
    <row r="19" spans="1:44" ht="15" customHeight="1" x14ac:dyDescent="0.25">
      <c r="A19" s="13" t="s">
        <v>41</v>
      </c>
      <c r="B19" s="14">
        <v>19709749</v>
      </c>
      <c r="C19" s="14">
        <v>881050</v>
      </c>
      <c r="D19" s="15">
        <v>0</v>
      </c>
      <c r="E19" s="14">
        <v>268895</v>
      </c>
      <c r="F19" s="15">
        <v>0</v>
      </c>
      <c r="G19" s="14">
        <v>-631145</v>
      </c>
      <c r="H19" s="20">
        <v>2.6751090830000002</v>
      </c>
      <c r="I19" s="14">
        <v>2004766.3119999999</v>
      </c>
      <c r="J19" s="17">
        <v>2.3180067421000001</v>
      </c>
      <c r="K19" s="14">
        <v>24558387.322000001</v>
      </c>
      <c r="L19" s="18" t="str">
        <f>+A1</f>
        <v>B3 ON</v>
      </c>
      <c r="M19" s="18" t="s">
        <v>42</v>
      </c>
      <c r="N19" s="18"/>
      <c r="O19" s="31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>
        <f t="shared" ref="AB19:AR19" si="4">AB18/AB17</f>
        <v>6.4537343939926842E-2</v>
      </c>
      <c r="AC19" s="45">
        <f t="shared" si="4"/>
        <v>5.5048781318877853E-2</v>
      </c>
      <c r="AD19" s="45">
        <f t="shared" si="4"/>
        <v>0.42135981503093095</v>
      </c>
      <c r="AE19" s="45">
        <f t="shared" si="4"/>
        <v>0.77612656948609537</v>
      </c>
      <c r="AF19" s="45">
        <f t="shared" si="4"/>
        <v>-7.4577459845166075E-2</v>
      </c>
      <c r="AG19" s="45">
        <f t="shared" si="4"/>
        <v>0.67286109186293264</v>
      </c>
      <c r="AH19" s="45">
        <f t="shared" si="4"/>
        <v>-0.3828565652665305</v>
      </c>
      <c r="AI19" s="45">
        <f t="shared" si="4"/>
        <v>-2.1371812233147266E-2</v>
      </c>
      <c r="AJ19" s="45">
        <f t="shared" si="4"/>
        <v>-0.17651920395917464</v>
      </c>
      <c r="AK19" s="45">
        <f t="shared" si="4"/>
        <v>0.29359653873295377</v>
      </c>
      <c r="AL19" s="45">
        <f t="shared" si="4"/>
        <v>0.80064550666921774</v>
      </c>
      <c r="AM19" s="45">
        <f t="shared" si="4"/>
        <v>0.35931651307484408</v>
      </c>
      <c r="AN19" s="45">
        <f t="shared" si="4"/>
        <v>0.55087500025046199</v>
      </c>
      <c r="AO19" s="45">
        <f t="shared" si="4"/>
        <v>0.38833694903666521</v>
      </c>
      <c r="AP19" s="45">
        <f t="shared" si="4"/>
        <v>0.38587335117177768</v>
      </c>
      <c r="AQ19" s="45">
        <f t="shared" si="4"/>
        <v>-5.3626516521434762E-2</v>
      </c>
      <c r="AR19" s="45">
        <f t="shared" si="4"/>
        <v>2.2191610991972195</v>
      </c>
    </row>
    <row r="20" spans="1:44" ht="15" customHeight="1" x14ac:dyDescent="0.25">
      <c r="A20" s="13" t="s">
        <v>43</v>
      </c>
      <c r="B20" s="14">
        <v>19402765</v>
      </c>
      <c r="C20" s="14">
        <v>1144561</v>
      </c>
      <c r="D20" s="14">
        <v>16215903</v>
      </c>
      <c r="E20" s="14">
        <v>367134</v>
      </c>
      <c r="F20" s="14">
        <v>2286537</v>
      </c>
      <c r="G20" s="14">
        <v>-972541</v>
      </c>
      <c r="H20" s="20">
        <v>3.7564746915999998</v>
      </c>
      <c r="I20" s="14">
        <v>1979921.193</v>
      </c>
      <c r="J20" s="17">
        <v>2.5869452560999999</v>
      </c>
      <c r="K20" s="14">
        <v>25996365.263999999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19241000</v>
      </c>
      <c r="C21" s="14">
        <v>1047999</v>
      </c>
      <c r="D21" s="14">
        <v>16354127</v>
      </c>
      <c r="E21" s="14">
        <v>357164</v>
      </c>
      <c r="F21" s="14">
        <v>2710086</v>
      </c>
      <c r="G21" s="14">
        <v>-888622</v>
      </c>
      <c r="H21" s="20">
        <v>5.7197745101999997</v>
      </c>
      <c r="I21" s="14">
        <v>1927991.9879999999</v>
      </c>
      <c r="J21" s="17">
        <v>2.0369181768</v>
      </c>
      <c r="K21" s="14">
        <v>18894321.482000001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19397918</v>
      </c>
      <c r="C22" s="14">
        <v>1074290</v>
      </c>
      <c r="D22" s="14">
        <v>16512151</v>
      </c>
      <c r="E22" s="14">
        <v>360993</v>
      </c>
      <c r="F22" s="14">
        <v>2928820</v>
      </c>
      <c r="G22" s="14">
        <v>-1148251</v>
      </c>
      <c r="H22" s="20">
        <v>3.3747210714000002</v>
      </c>
      <c r="I22" s="14">
        <v>1931572.4950000001</v>
      </c>
      <c r="J22" s="17">
        <v>3.0348361531000001</v>
      </c>
      <c r="K22" s="14">
        <v>27042014.93</v>
      </c>
      <c r="L22" s="47" t="str">
        <f>+L24</f>
        <v>B3 ON</v>
      </c>
      <c r="M22" s="39" t="s">
        <v>46</v>
      </c>
      <c r="N22" s="32"/>
      <c r="O22" s="32"/>
      <c r="P22" s="30">
        <v>0</v>
      </c>
      <c r="Q22" s="30">
        <v>0</v>
      </c>
      <c r="R22" s="30">
        <v>0</v>
      </c>
      <c r="S22" s="30">
        <v>10502002</v>
      </c>
      <c r="T22" s="30">
        <v>10565590</v>
      </c>
      <c r="U22" s="30">
        <v>0</v>
      </c>
      <c r="V22" s="30">
        <v>0</v>
      </c>
      <c r="W22" s="30">
        <v>0</v>
      </c>
      <c r="X22" s="30">
        <v>819128</v>
      </c>
      <c r="Y22" s="30">
        <v>857655</v>
      </c>
      <c r="Z22" s="30">
        <v>1062079</v>
      </c>
      <c r="AA22" s="30">
        <v>1353629</v>
      </c>
      <c r="AB22" s="30">
        <v>19291724</v>
      </c>
      <c r="AC22" s="30">
        <v>19709749</v>
      </c>
      <c r="AD22" s="30">
        <v>19402765</v>
      </c>
      <c r="AE22" s="30">
        <v>19241000</v>
      </c>
      <c r="AF22" s="30">
        <v>19397918</v>
      </c>
      <c r="AG22" s="30">
        <v>19284229</v>
      </c>
      <c r="AH22" s="30">
        <v>18979509</v>
      </c>
      <c r="AI22" s="30">
        <v>18342099</v>
      </c>
      <c r="AJ22" s="30">
        <v>19066470</v>
      </c>
      <c r="AK22" s="30">
        <v>24299694</v>
      </c>
      <c r="AL22" s="30">
        <v>25032969</v>
      </c>
      <c r="AM22" s="30">
        <v>25388001</v>
      </c>
      <c r="AN22" s="30">
        <v>24509951</v>
      </c>
      <c r="AO22" s="30">
        <v>22407905</v>
      </c>
      <c r="AP22" s="30">
        <v>20271137</v>
      </c>
      <c r="AQ22" s="30">
        <v>20271137</v>
      </c>
      <c r="AR22" s="30">
        <v>20271137</v>
      </c>
    </row>
    <row r="23" spans="1:44" ht="15" customHeight="1" x14ac:dyDescent="0.25">
      <c r="A23" s="13" t="s">
        <v>47</v>
      </c>
      <c r="B23" s="14">
        <v>19284229</v>
      </c>
      <c r="C23" s="14">
        <v>1081516</v>
      </c>
      <c r="D23" s="14">
        <v>16672325</v>
      </c>
      <c r="E23" s="14">
        <v>423150</v>
      </c>
      <c r="F23" s="14">
        <v>3346277</v>
      </c>
      <c r="G23" s="14">
        <v>-1108630</v>
      </c>
      <c r="H23" s="20">
        <v>5.2172639240000001</v>
      </c>
      <c r="I23" s="14">
        <v>1893582.8559999999</v>
      </c>
      <c r="J23" s="17">
        <v>2.5107131759999999</v>
      </c>
      <c r="K23" s="14">
        <v>20943026.386999998</v>
      </c>
      <c r="L23" s="47" t="str">
        <f>+L25</f>
        <v>B3 ON</v>
      </c>
      <c r="M23" s="39" t="s">
        <v>48</v>
      </c>
      <c r="N23" s="32"/>
      <c r="O23" s="32"/>
      <c r="P23" s="30">
        <f>P22+P9+P10+P14</f>
        <v>0</v>
      </c>
      <c r="Q23" s="33">
        <f>Q22+Q9+Q10+Q14+((P9+P10+P14)*(1+Q5))</f>
        <v>0</v>
      </c>
      <c r="R23" s="33">
        <f>R22+R9+R10+R14+((Q9+Q10+Q14)*(1+R5))+(((P9+P10+P14)*(1+R5)*(1+Q5)))</f>
        <v>0</v>
      </c>
      <c r="S23" s="33">
        <f>S22+S9+S10+S14+((R9+R10+R14)*(1+S5))+(((Q9+Q10+Q14)*(1+S5)*(1+R5)))+(((P9+P10+P14)*(1+S5)*(1+R5)*(1+Q5)))</f>
        <v>10502002</v>
      </c>
      <c r="T23" s="33">
        <f>T22+T9+T10+T14+((S9+S10+S14)*(1+T5))+(((R9+R10+R14)*(1+T5)*(1+S5)))+(((Q9+Q10+Q14)*(1+T5)*(1+S5)*(1+R5)))+(((P9+P10+P14)*(1+T5)*(1+S5)*(1+R5)*(1+Q5)))</f>
        <v>10565590</v>
      </c>
      <c r="U23" s="33">
        <f>U22+U9+U10+U14+((T9+T10+T14)*(1+U5))+((S9+S10+S14)*(1+U5)*(1+T5))+((R9+R10+R14)*(1+U5)*(1+T5)*(1+S5))+((Q9+Q10+Q14)*(1+U5)*(1+T5)*(1+S5)*(1+R5))+((P9+P10+P14)*(1+U5)*(1+T5)*(1+S5)*(1+R5)*(1+Q5))</f>
        <v>0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0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0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823993.82400000002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869679.23415314208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1077441.3353410021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1371413.0334465131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19316634.478388287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19744636.274359796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19935057.117213055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20863434.242585558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21181357.946983907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22059752.007035688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21970681.090872858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21668770.760296065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22240201.440578286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27356733.642311327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28789124.583621297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28765813.486091044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27396391.003181931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25201966.991414748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21927083.058108021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20706398.533279479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22161067.317993775</v>
      </c>
    </row>
    <row r="24" spans="1:44" ht="15" customHeight="1" x14ac:dyDescent="0.25">
      <c r="A24" s="13" t="s">
        <v>49</v>
      </c>
      <c r="B24" s="14">
        <v>18979509</v>
      </c>
      <c r="C24" s="14">
        <v>977053</v>
      </c>
      <c r="D24" s="14">
        <v>16773216</v>
      </c>
      <c r="E24" s="14">
        <v>421186</v>
      </c>
      <c r="F24" s="14">
        <v>3761300</v>
      </c>
      <c r="G24" s="14">
        <v>-741145</v>
      </c>
      <c r="H24" s="20">
        <v>4.1150898477000002</v>
      </c>
      <c r="I24" s="14">
        <v>1808178.5560000001</v>
      </c>
      <c r="J24" s="17">
        <v>2.3176333758999998</v>
      </c>
      <c r="K24" s="14">
        <v>17810558.776999999</v>
      </c>
      <c r="L24" s="47" t="str">
        <f>+L25</f>
        <v>B3 ON</v>
      </c>
      <c r="M24" s="39" t="s">
        <v>50</v>
      </c>
      <c r="N24" s="32"/>
      <c r="O24" s="32"/>
      <c r="P24" s="30">
        <v>0</v>
      </c>
      <c r="Q24" s="30">
        <v>0</v>
      </c>
      <c r="R24" s="30">
        <v>0</v>
      </c>
      <c r="S24" s="30">
        <v>17428087.655999999</v>
      </c>
      <c r="T24" s="30">
        <v>16748049.408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11966905.317</v>
      </c>
      <c r="AC24" s="30">
        <v>24558387.322000001</v>
      </c>
      <c r="AD24" s="30">
        <v>25996365.263999999</v>
      </c>
      <c r="AE24" s="30">
        <v>18894321.482000001</v>
      </c>
      <c r="AF24" s="30">
        <v>27042014.93</v>
      </c>
      <c r="AG24" s="30">
        <v>20943026.386999998</v>
      </c>
      <c r="AH24" s="30">
        <v>17810558.776999999</v>
      </c>
      <c r="AI24" s="30">
        <v>19407013.526000001</v>
      </c>
      <c r="AJ24" s="30">
        <v>29492587.559</v>
      </c>
      <c r="AK24" s="30">
        <v>46452051.814999998</v>
      </c>
      <c r="AL24" s="30">
        <v>54805425.785999998</v>
      </c>
      <c r="AM24" s="30">
        <v>87196861.422999993</v>
      </c>
      <c r="AN24" s="30">
        <v>124944357.93000001</v>
      </c>
      <c r="AO24" s="30">
        <v>67351603.637999997</v>
      </c>
      <c r="AP24" s="30">
        <v>76043469.056999996</v>
      </c>
      <c r="AQ24" s="30">
        <f>+K33</f>
        <v>77216323.907957494</v>
      </c>
      <c r="AR24" s="30">
        <f>+K34</f>
        <v>53464253.593140602</v>
      </c>
    </row>
    <row r="25" spans="1:44" ht="15" customHeight="1" x14ac:dyDescent="0.25">
      <c r="A25" s="13" t="s">
        <v>51</v>
      </c>
      <c r="B25" s="14">
        <v>18342099</v>
      </c>
      <c r="C25" s="14">
        <v>2202238</v>
      </c>
      <c r="D25" s="14">
        <v>15189954</v>
      </c>
      <c r="E25" s="14">
        <v>453094</v>
      </c>
      <c r="F25" s="14">
        <v>30635</v>
      </c>
      <c r="G25" s="14">
        <v>-1427340</v>
      </c>
      <c r="H25" s="20">
        <v>7.3383363635999999</v>
      </c>
      <c r="I25" s="14">
        <v>1782094.906</v>
      </c>
      <c r="J25" s="17">
        <v>2.7416964624000002</v>
      </c>
      <c r="K25" s="14">
        <v>19407013.526000001</v>
      </c>
      <c r="L25" s="39" t="str">
        <f>+A1</f>
        <v>B3 ON</v>
      </c>
      <c r="M25" s="39" t="s">
        <v>52</v>
      </c>
      <c r="N25" s="18"/>
      <c r="O25" s="18"/>
      <c r="P25" s="31"/>
      <c r="Q25" s="31"/>
      <c r="R25" s="31"/>
      <c r="S25" s="31"/>
      <c r="T25" s="31"/>
      <c r="U25" s="31"/>
      <c r="V25" s="31"/>
      <c r="W25" s="31"/>
      <c r="X25" s="31">
        <f t="shared" ref="X25:AR25" si="5">X24/X23</f>
        <v>0</v>
      </c>
      <c r="Y25" s="31">
        <f t="shared" si="5"/>
        <v>0</v>
      </c>
      <c r="Z25" s="31">
        <f t="shared" si="5"/>
        <v>0</v>
      </c>
      <c r="AA25" s="31">
        <f t="shared" si="5"/>
        <v>0</v>
      </c>
      <c r="AB25" s="31">
        <f t="shared" si="5"/>
        <v>0.61951295555075792</v>
      </c>
      <c r="AC25" s="31">
        <f t="shared" si="5"/>
        <v>1.2438004418390476</v>
      </c>
      <c r="AD25" s="31">
        <f t="shared" si="5"/>
        <v>1.3040527103157014</v>
      </c>
      <c r="AE25" s="31">
        <f t="shared" si="5"/>
        <v>0.9056189533472736</v>
      </c>
      <c r="AF25" s="31">
        <f t="shared" si="5"/>
        <v>1.2766893887391491</v>
      </c>
      <c r="AG25" s="31">
        <f t="shared" si="5"/>
        <v>0.94937723598708079</v>
      </c>
      <c r="AH25" s="31">
        <f t="shared" si="5"/>
        <v>0.81065119025367527</v>
      </c>
      <c r="AI25" s="31">
        <f t="shared" si="5"/>
        <v>0.89562134099271062</v>
      </c>
      <c r="AJ25" s="31">
        <f t="shared" si="5"/>
        <v>1.3260935445121194</v>
      </c>
      <c r="AK25" s="31">
        <f t="shared" si="5"/>
        <v>1.6980116274976218</v>
      </c>
      <c r="AL25" s="31">
        <f t="shared" si="5"/>
        <v>1.9036850400508494</v>
      </c>
      <c r="AM25" s="31">
        <f t="shared" si="5"/>
        <v>3.0312670095410912</v>
      </c>
      <c r="AN25" s="31">
        <f t="shared" si="5"/>
        <v>4.5606137653491823</v>
      </c>
      <c r="AO25" s="31">
        <f t="shared" si="5"/>
        <v>2.6724740835087935</v>
      </c>
      <c r="AP25" s="31">
        <f t="shared" si="5"/>
        <v>3.4680157344905598</v>
      </c>
      <c r="AQ25" s="31">
        <f t="shared" si="5"/>
        <v>3.7291044980060071</v>
      </c>
      <c r="AR25" s="31">
        <f t="shared" si="5"/>
        <v>2.4125306252614496</v>
      </c>
    </row>
    <row r="26" spans="1:44" ht="15" customHeight="1" x14ac:dyDescent="0.25">
      <c r="A26" s="13" t="s">
        <v>53</v>
      </c>
      <c r="B26" s="14">
        <v>19066470</v>
      </c>
      <c r="C26" s="14">
        <v>1446263</v>
      </c>
      <c r="D26" s="14">
        <v>15302206</v>
      </c>
      <c r="E26" s="14">
        <v>462753</v>
      </c>
      <c r="F26" s="14">
        <v>29117</v>
      </c>
      <c r="G26" s="14">
        <v>-584075</v>
      </c>
      <c r="H26" s="20">
        <v>3.0519384849</v>
      </c>
      <c r="I26" s="14">
        <v>1787429.5490000001</v>
      </c>
      <c r="J26" s="17">
        <v>4.2844925677000001</v>
      </c>
      <c r="K26" s="14">
        <v>29492587.559</v>
      </c>
    </row>
    <row r="27" spans="1:44" ht="15" customHeight="1" x14ac:dyDescent="0.25">
      <c r="A27" s="13" t="s">
        <v>54</v>
      </c>
      <c r="B27" s="14">
        <v>24299694</v>
      </c>
      <c r="C27" s="14">
        <v>1296240</v>
      </c>
      <c r="D27" s="14">
        <v>27891623</v>
      </c>
      <c r="E27" s="14">
        <v>573669</v>
      </c>
      <c r="F27" s="14">
        <v>44962</v>
      </c>
      <c r="G27" s="14">
        <v>-779143</v>
      </c>
      <c r="H27" s="20">
        <v>1.9871317823000001</v>
      </c>
      <c r="I27" s="14">
        <v>2039159.43</v>
      </c>
      <c r="J27" s="17">
        <v>6.0392521613000003</v>
      </c>
      <c r="K27" s="14">
        <v>46452051.814999998</v>
      </c>
      <c r="S27" s="67"/>
    </row>
    <row r="28" spans="1:44" ht="15" customHeight="1" x14ac:dyDescent="0.25">
      <c r="A28" s="13" t="s">
        <v>55</v>
      </c>
      <c r="B28" s="14">
        <v>25032969</v>
      </c>
      <c r="C28" s="14">
        <v>2087444</v>
      </c>
      <c r="D28" s="14">
        <v>27135004</v>
      </c>
      <c r="E28" s="14">
        <v>627325</v>
      </c>
      <c r="F28" s="14">
        <v>45591</v>
      </c>
      <c r="G28" s="14">
        <v>-1528859</v>
      </c>
      <c r="H28" s="20">
        <v>2.6189132786</v>
      </c>
      <c r="I28" s="14">
        <v>2044215.807</v>
      </c>
      <c r="J28" s="17">
        <v>7.3258896240000002</v>
      </c>
      <c r="K28" s="14">
        <v>54805425.785999998</v>
      </c>
    </row>
    <row r="29" spans="1:44" ht="15" customHeight="1" x14ac:dyDescent="0.25">
      <c r="A29" s="13" t="s">
        <v>56</v>
      </c>
      <c r="B29" s="14">
        <v>25388001</v>
      </c>
      <c r="C29" s="14">
        <v>2714166</v>
      </c>
      <c r="D29" s="14">
        <v>26487549</v>
      </c>
      <c r="E29" s="14">
        <v>689853</v>
      </c>
      <c r="F29" s="14">
        <v>47223</v>
      </c>
      <c r="G29" s="14">
        <v>-2061738</v>
      </c>
      <c r="H29" s="20">
        <v>1.8871537650000001</v>
      </c>
      <c r="I29" s="14">
        <v>2046098.7069999999</v>
      </c>
      <c r="J29" s="17">
        <v>11.986956686999999</v>
      </c>
      <c r="K29" s="14">
        <v>87196861.422999993</v>
      </c>
    </row>
    <row r="30" spans="1:44" ht="15" customHeight="1" x14ac:dyDescent="0.25">
      <c r="A30" s="13" t="s">
        <v>57</v>
      </c>
      <c r="B30" s="14">
        <v>24509951</v>
      </c>
      <c r="C30" s="14">
        <v>4152304</v>
      </c>
      <c r="D30" s="14">
        <v>25684080</v>
      </c>
      <c r="E30" s="14">
        <v>808894</v>
      </c>
      <c r="F30" s="14">
        <v>48070</v>
      </c>
      <c r="G30" s="14">
        <v>-3884422</v>
      </c>
      <c r="H30" s="20">
        <v>3.1375256358999999</v>
      </c>
      <c r="I30" s="14">
        <v>2034175.662</v>
      </c>
      <c r="J30" s="17">
        <v>18.012003942</v>
      </c>
      <c r="K30" s="14">
        <v>124944357.93000001</v>
      </c>
    </row>
    <row r="31" spans="1:44" ht="15" customHeight="1" x14ac:dyDescent="0.25">
      <c r="A31" s="13" t="s">
        <v>58</v>
      </c>
      <c r="B31" s="14">
        <v>22407905</v>
      </c>
      <c r="C31" s="14">
        <v>4717097</v>
      </c>
      <c r="D31" s="14">
        <v>26630420</v>
      </c>
      <c r="E31" s="14">
        <v>903837</v>
      </c>
      <c r="F31" s="14">
        <v>651036</v>
      </c>
      <c r="G31" s="14">
        <v>-6705127</v>
      </c>
      <c r="H31" s="20">
        <v>9.9994391756999992</v>
      </c>
      <c r="I31" s="14">
        <v>6073061.3669999996</v>
      </c>
      <c r="J31" s="17">
        <v>10.416518683</v>
      </c>
      <c r="K31" s="14">
        <v>67351603.637999997</v>
      </c>
    </row>
    <row r="32" spans="1:44" ht="15" customHeight="1" x14ac:dyDescent="0.25">
      <c r="A32" s="13" t="s">
        <v>59</v>
      </c>
      <c r="B32" s="14">
        <v>20271137</v>
      </c>
      <c r="C32" s="14">
        <v>4226057</v>
      </c>
      <c r="D32" s="14">
        <v>2097613</v>
      </c>
      <c r="E32" s="14">
        <v>920622</v>
      </c>
      <c r="F32" s="14">
        <v>654484</v>
      </c>
      <c r="G32" s="14">
        <v>-2610466</v>
      </c>
      <c r="H32" s="20">
        <v>3.5681255454</v>
      </c>
      <c r="I32" s="14">
        <v>5784524.5319999997</v>
      </c>
      <c r="J32" s="17">
        <v>12.812055737</v>
      </c>
      <c r="K32" s="14">
        <v>70253230.074257806</v>
      </c>
    </row>
    <row r="33" spans="1:42" ht="15" customHeight="1" x14ac:dyDescent="0.25">
      <c r="A33" s="13" t="s">
        <v>60</v>
      </c>
      <c r="B33" s="14">
        <v>20273510</v>
      </c>
      <c r="C33" s="14">
        <v>4131929</v>
      </c>
      <c r="D33" s="14">
        <v>1670634</v>
      </c>
      <c r="E33" s="14">
        <v>872816</v>
      </c>
      <c r="F33" s="14"/>
      <c r="G33" s="14"/>
      <c r="H33" s="14"/>
      <c r="I33" s="14"/>
      <c r="J33" s="14"/>
      <c r="K33" s="14">
        <v>77216323.907957494</v>
      </c>
    </row>
    <row r="34" spans="1:42" ht="15" customHeight="1" x14ac:dyDescent="0.25">
      <c r="A34" s="13" t="s">
        <v>61</v>
      </c>
      <c r="B34" s="14">
        <v>18370755</v>
      </c>
      <c r="C34" s="14">
        <v>4576581</v>
      </c>
      <c r="D34" s="14">
        <v>1311998</v>
      </c>
      <c r="E34" s="14">
        <v>856795</v>
      </c>
      <c r="F34" s="14"/>
      <c r="G34" s="14"/>
      <c r="H34" s="14"/>
      <c r="I34" s="14"/>
      <c r="J34" s="14"/>
      <c r="K34" s="14">
        <v>53464253.593140602</v>
      </c>
    </row>
    <row r="46" spans="1:42" ht="15" customHeight="1" x14ac:dyDescent="0.25">
      <c r="M46" s="46" t="s">
        <v>62</v>
      </c>
      <c r="N46" s="1"/>
      <c r="O46" s="1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>
        <f>-G18/AB17</f>
        <v>0.6358682519718214</v>
      </c>
      <c r="AC46" s="35">
        <f>-G19/AC17</f>
        <v>0.7163554849327507</v>
      </c>
      <c r="AD46" s="35">
        <f>-G20/AD17</f>
        <v>0.84970656871936057</v>
      </c>
      <c r="AE46" s="35">
        <f>-G21/AE17</f>
        <v>0.84792256481160766</v>
      </c>
      <c r="AF46" s="35">
        <f>-G22/AF17</f>
        <v>1.06884640087872</v>
      </c>
      <c r="AG46" s="35">
        <f>-G23/AG17</f>
        <v>1.0250703641924854</v>
      </c>
      <c r="AH46" s="35">
        <f>-G24/AH17</f>
        <v>0.75855148083062029</v>
      </c>
      <c r="AI46" s="35">
        <f>-G25/AI17</f>
        <v>0.64813158250833924</v>
      </c>
      <c r="AJ46" s="35">
        <f>-G26/AJ17</f>
        <v>0.40385116676565741</v>
      </c>
      <c r="AK46" s="35">
        <f>-G27/AK17</f>
        <v>0.60107927544281925</v>
      </c>
      <c r="AL46" s="35">
        <f>-G28/AL17</f>
        <v>0.73240719271990051</v>
      </c>
      <c r="AM46" s="35">
        <f>-G29/AM17</f>
        <v>0.75962118750290142</v>
      </c>
      <c r="AN46" s="35">
        <f>-G30/AN17</f>
        <v>0.93548593744581321</v>
      </c>
      <c r="AO46" s="35">
        <f>-G31/AO17</f>
        <v>1.4214520074528889</v>
      </c>
      <c r="AP46" s="35">
        <f>-G32/AP17</f>
        <v>0.6177072386860849</v>
      </c>
    </row>
    <row r="47" spans="1:42" ht="15" customHeight="1" x14ac:dyDescent="0.25">
      <c r="M47" s="39" t="s">
        <v>63</v>
      </c>
      <c r="N47" s="32"/>
      <c r="O47" s="32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>
        <f>-G18/AB18</f>
        <v>9.8527180257635845</v>
      </c>
      <c r="AC47" s="36">
        <f>-G19/AC18</f>
        <v>13.01310342881453</v>
      </c>
      <c r="AD47" s="36">
        <f>-G20/AD18</f>
        <v>2.0165818818222752</v>
      </c>
      <c r="AE47" s="36">
        <f>-G21/AE18</f>
        <v>1.0925055244185897</v>
      </c>
      <c r="AF47" s="36">
        <f>-G22/AF18</f>
        <v>-14.332030121404031</v>
      </c>
      <c r="AG47" s="36">
        <f>-G23/AG18</f>
        <v>1.5234501988432714</v>
      </c>
      <c r="AH47" s="36">
        <f>-G24/AH18</f>
        <v>-1.9812941703181839</v>
      </c>
      <c r="AI47" s="36">
        <f>-G25/AI18</f>
        <v>-30.32646812716704</v>
      </c>
      <c r="AJ47" s="36">
        <f>-G26/AJ18</f>
        <v>-2.2878596646009131</v>
      </c>
      <c r="AK47" s="36">
        <f>-G27/AK18</f>
        <v>2.0472968722207661</v>
      </c>
      <c r="AL47" s="36">
        <f>-G28/AL18</f>
        <v>0.91477087752206732</v>
      </c>
      <c r="AM47" s="36">
        <f>-G29/AM18</f>
        <v>2.1140725790820407</v>
      </c>
      <c r="AN47" s="36">
        <f>-G30/AN18</f>
        <v>1.6981818688822023</v>
      </c>
      <c r="AO47" s="36">
        <f>-G31/AO18</f>
        <v>3.6603573545577839</v>
      </c>
      <c r="AP47" s="36">
        <f>-G32/AP18</f>
        <v>1.6008030531528015</v>
      </c>
    </row>
    <row r="48" spans="1:42" ht="15" customHeight="1" x14ac:dyDescent="0.25">
      <c r="M48" s="39" t="s">
        <v>64</v>
      </c>
      <c r="N48" s="32"/>
      <c r="O48" s="32"/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37">
        <v>2.6751090830000002</v>
      </c>
      <c r="AD48" s="37">
        <v>3.7564746915999998</v>
      </c>
      <c r="AE48" s="37">
        <v>5.7197745101999997</v>
      </c>
      <c r="AF48" s="37">
        <v>3.3747210714000002</v>
      </c>
      <c r="AG48" s="37">
        <v>5.2172639240000001</v>
      </c>
      <c r="AH48" s="37">
        <v>4.1150898477000002</v>
      </c>
      <c r="AI48" s="37">
        <v>7.3383363635999999</v>
      </c>
      <c r="AJ48" s="37">
        <v>3.0519384849</v>
      </c>
      <c r="AK48" s="37">
        <v>1.9871317823000001</v>
      </c>
      <c r="AL48" s="37">
        <v>2.6189132786</v>
      </c>
      <c r="AM48" s="37">
        <v>1.8871537650000001</v>
      </c>
      <c r="AN48" s="37">
        <v>3.1375256358999999</v>
      </c>
      <c r="AO48" s="37">
        <v>9.9994391756999992</v>
      </c>
      <c r="AP48" s="37">
        <v>3.5681255454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49"/>
  <sheetViews>
    <sheetView showGridLines="0" topLeftCell="G1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23" width="16.28515625" customWidth="1"/>
    <col min="24" max="30" width="15.28515625" customWidth="1"/>
    <col min="31" max="31" width="11" customWidth="1"/>
    <col min="32" max="37" width="15.28515625" customWidth="1"/>
    <col min="38" max="42" width="16.28515625" customWidth="1"/>
    <col min="43" max="43" width="14.5703125" customWidth="1"/>
    <col min="44" max="44" width="14.7109375" customWidth="1"/>
  </cols>
  <sheetData>
    <row r="1" spans="1:44" ht="15" customHeight="1" x14ac:dyDescent="0.25">
      <c r="A1" s="6" t="s">
        <v>79</v>
      </c>
      <c r="M1" t="s">
        <v>1</v>
      </c>
      <c r="N1" s="7">
        <v>0.2044</v>
      </c>
    </row>
    <row r="2" spans="1:44" ht="15" customHeight="1" x14ac:dyDescent="0.25">
      <c r="A2" s="6"/>
    </row>
    <row r="3" spans="1:44" ht="15" customHeight="1" x14ac:dyDescent="0.25">
      <c r="M3" s="2" t="s">
        <v>80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4">
        <v>3466471</v>
      </c>
      <c r="C5" s="14">
        <v>-4253334</v>
      </c>
      <c r="D5" s="15">
        <v>0</v>
      </c>
      <c r="E5" s="14">
        <v>2296489</v>
      </c>
      <c r="F5" s="15">
        <v>0</v>
      </c>
      <c r="G5" s="15">
        <v>0</v>
      </c>
      <c r="H5" s="15">
        <v>0</v>
      </c>
      <c r="I5" s="14">
        <v>103334152.84</v>
      </c>
      <c r="J5" s="17">
        <v>0.69971096637999997</v>
      </c>
      <c r="K5" s="14">
        <v>1096119.9269999999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4">
        <v>5592213</v>
      </c>
      <c r="C6" s="14">
        <v>-7525817</v>
      </c>
      <c r="D6" s="15">
        <v>0</v>
      </c>
      <c r="E6" s="14">
        <v>2008351</v>
      </c>
      <c r="F6" s="15">
        <v>0</v>
      </c>
      <c r="G6" s="15">
        <v>0</v>
      </c>
      <c r="H6" s="20">
        <v>0</v>
      </c>
      <c r="I6" s="14">
        <v>711972313.08000004</v>
      </c>
      <c r="J6" s="17">
        <v>0.64536445039000001</v>
      </c>
      <c r="K6" s="14">
        <v>6607342.8657999998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4">
        <v>6003033</v>
      </c>
      <c r="C7" s="14">
        <v>573819</v>
      </c>
      <c r="D7" s="15">
        <v>0</v>
      </c>
      <c r="E7" s="14">
        <v>2135818</v>
      </c>
      <c r="F7" s="15">
        <v>0</v>
      </c>
      <c r="G7" s="15">
        <v>0</v>
      </c>
      <c r="H7" s="20">
        <v>1.5625000268</v>
      </c>
      <c r="I7" s="14">
        <v>711972313</v>
      </c>
      <c r="J7" s="17">
        <v>0.49455163428999999</v>
      </c>
      <c r="K7" s="14">
        <v>5454627.7078</v>
      </c>
      <c r="M7" s="1" t="s">
        <v>20</v>
      </c>
      <c r="N7" s="1"/>
      <c r="O7" s="5"/>
      <c r="P7" s="4">
        <f>((D5+E5)*P5)</f>
        <v>219544.34840000002</v>
      </c>
      <c r="Q7" s="4">
        <f>((D6+E6+P7+P8)*Q5)</f>
        <v>115577.1867744</v>
      </c>
      <c r="R7" s="4">
        <f>((D7+E7+Q7+P7+P8+Q8)*R5)</f>
        <v>40844.190896075044</v>
      </c>
      <c r="S7" s="4">
        <f>((D8+E8+R7+Q7+P7+SUM($P$8:R8))*S5)</f>
        <v>238464.53150400048</v>
      </c>
      <c r="T7" s="4">
        <f>((D9+E9+S7+R7+Q7+P7+SUM($P$8:S8))*T5)</f>
        <v>185944.7863252862</v>
      </c>
      <c r="U7" s="4">
        <f>((D10+E10+T7+S7+R7+Q7+P7+SUM($P$8:T8))*U5)</f>
        <v>275280.33668263175</v>
      </c>
      <c r="V7" s="4">
        <f>((D11+E11+U7+T7+S7+R7+Q7+P7+SUM($P$8:U8))*V5)</f>
        <v>507709.37897809391</v>
      </c>
      <c r="W7" s="4">
        <f>((D12+E12+V7+U7+T7+S7+R7+Q7+P7+SUM($P$8:V8))*W5)</f>
        <v>436437.53513767535</v>
      </c>
      <c r="X7" s="4">
        <f>((D13+E13+W7+V7+U7+T7+S7+R7+Q7+P7+SUM($P$8:W8))*X5)</f>
        <v>405143.42777966027</v>
      </c>
      <c r="Y7" s="4">
        <f>((D14+E14+X7+W7+V7+U7+T7+S7+R7+Q7+P7+SUM($P$8:X8))*Y5)</f>
        <v>345626.70064180315</v>
      </c>
      <c r="Z7" s="4">
        <f>((E14+F14+Y7+X7+W7+V7+U7+T7+S7+R7+Q7+P7+SUM($P$8:Y8))*Z5)</f>
        <v>201876.74726967627</v>
      </c>
      <c r="AA7" s="4">
        <f>((D16+E16+Z7+Y7+X7+W7+V7+U7+T7+S7+R7+P7+Q7+SUM($P$8:Z8))*AA5)</f>
        <v>317623.67290866293</v>
      </c>
      <c r="AB7" s="4">
        <f>((D17+E17+AA7+Z7+Y7+X7+W7+V7+U7+T7+S7+P7+Q7+R7+SUM($P$8:AA8))*AB5)</f>
        <v>454576.66782668</v>
      </c>
      <c r="AC7" s="4">
        <f>((D18+E18+AB7+AA7+Z7+Y7+X7+W7+V7+U7+T7+S7+R7+Q7+P7+SUM($P$8:AB8))*AC5)</f>
        <v>306970.46524821222</v>
      </c>
      <c r="AD7" s="4">
        <f>((D19+E19+AC7+AB7+AA7+Z7+Y7+X7+W7+V7+U7+T7+S7+R7+Q7+P7+SUM($P$8:AC8))*AD5)</f>
        <v>491768.91165246093</v>
      </c>
      <c r="AE7" s="4">
        <f>((D20+E20+AD7+AC7+AB7+AA7+Z7+Y7+X7+W7+V7+U7+T7+S7+R7+Q7+P7+SUM($P$8:AD8))*AE5)</f>
        <v>618883.77101039572</v>
      </c>
      <c r="AF7" s="4">
        <f>((E20+F20+AE7+AD7+AC7+AB7+AA7+Z7+Y7+X7+W7+V7+U7+T7+S7+R7+Q7+P7+SUM($P$8:AE8))*AF5)</f>
        <v>593486.50903988571</v>
      </c>
      <c r="AG7" s="4">
        <f>((D22+E22+AF7+AE7+AD7+AC7+AB7+AA7+Z7+Y7+X7+W7+V7+U7+T7+R7+S7+Q7+P7+SUM($P$8:AF8))*AG5)</f>
        <v>739906.95216268313</v>
      </c>
      <c r="AH7" s="4">
        <f>((E22+F22+AG7+AF7+AE7+AD7+AC7+AB7+AA7+Z7+Y7+X7+W7+V7+U7+S7+T7+R7+Q7+P7+SUM($P$8:AG8))*AH5)</f>
        <v>851110.11064645415</v>
      </c>
      <c r="AI7" s="4">
        <f>((F22+G22+AH7+AG7+AF7+AE7+AD7+AC7+AB7+AA7+Z7+Y7+X7+W7+V7+T7+U7+S7+R7+Q7+P7+SUM($P$8:AH8))*AI5)</f>
        <v>221333.11672287146</v>
      </c>
      <c r="AJ7" s="4">
        <f>((G22+H22+AI7+AH7+AG7+AF7+AE7+AD7+AC7+AB7+AA7+Z7+Y7+X7+W7+U7+V7+T7+S7+R7+Q7+P7+SUM($P$8:AI8))*AJ5)</f>
        <v>143614.60964970043</v>
      </c>
      <c r="AK7" s="4">
        <f>((H22+I22+AJ7+AI7+AH7+AG7+AF7+AE7+AD7+AC7+AB7+AA7+Z7+Y7+X7+V7+W7+U7+T7+S7+R7+Q7+P7+SUM($P$8:AJ8))*AK5)</f>
        <v>315845.17157386179</v>
      </c>
      <c r="AL7" s="4">
        <f>((D27+E27+AK7+AJ7+AI7+AH7+AG7+AF7+AE7+AD7+AC7++AB7+AA7+Z7+Y7+X7+W7+V7+U7+T7+S7+R7+Q7+P7+SUM($P$8:AK8))*AL5)</f>
        <v>584641.60296304396</v>
      </c>
      <c r="AM7" s="4">
        <f>((E27+F27+AL7+AK7+AJ7+AI7+AH7+AG7+AF7+AE7+AD7++AC7+AB7+AA7+Z7+Y7+X7+W7+V7+U7+T7+S7+R7+Q7+P7+SUM($P$8:AL8))*AM5)</f>
        <v>697244.98123594071</v>
      </c>
      <c r="AN7" s="4">
        <f>((F27+G27+AM7+AL7+AK7+AJ7+AI7+AH7+AG7+AF7+AE7++AD7+AC7+AB7+AA7+Z7+Y7+X7+W7+V7+U7+T7+S7+R7+Q7+P7+SUM($P$8:AM8))*AN5)</f>
        <v>309302.432349763</v>
      </c>
      <c r="AO7" s="4">
        <f>((G27+H27+AN7+AM7+AL7+AK7+AJ7+AI7+AH7+AG7+AF7++AE7+AD7+AC7+AB7+AA7+Z7+Y7+X7+W7+V7+U7+T7+S7+R7+Q7+P7+SUM($P$8:AN8))*AO5)</f>
        <v>720310.88513872982</v>
      </c>
      <c r="AP7" s="4">
        <f>((H27+I27+AO7+AN7+AM7+AL7+AK7+AJ7+AI7+AH7+AG7++AF7+AE7+AD7+AC7+AB7+AA7+Z7+Y7+X7+W7+V7+U7+T7+S7+R7+Q7+P7+SUM($P$8:AO8))*AP5)</f>
        <v>770348.36046524055</v>
      </c>
      <c r="AQ7" s="4">
        <f>((I27+J27+AP7+AO7+AN7+AM7+AL7+AK7+AJ7+AI7+AH7++AG7+AF7+AE7+AD7+AC7+AB7+AA7+Z7+Y7+X7+W7+V7+U7+T7+S7+R7+Q7+P7+SUM($P$8:AP8))*AQ5)</f>
        <v>665385.76438690652</v>
      </c>
      <c r="AR7" s="4">
        <f>((J27+K27+AQ7+AP7+AO7+AN7+AM7+AL7+AK7+AJ7+AI7++AH7+AG7+AF7+AE7+AD7+AC7+AB7+AA7+Z7+Y7+X7+W7+V7+U7+T7+S7+R7+Q7+P7+SUM($P$8:AQ8))*AR5)</f>
        <v>4886074.2353938362</v>
      </c>
    </row>
    <row r="8" spans="1:44" ht="15" customHeight="1" x14ac:dyDescent="0.25">
      <c r="A8" s="13" t="s">
        <v>21</v>
      </c>
      <c r="B8" s="14">
        <v>6629873</v>
      </c>
      <c r="C8" s="14">
        <v>869893</v>
      </c>
      <c r="D8" s="15">
        <v>0</v>
      </c>
      <c r="E8" s="14">
        <v>2300502</v>
      </c>
      <c r="F8" s="15">
        <v>0</v>
      </c>
      <c r="G8" s="15">
        <v>0</v>
      </c>
      <c r="H8" s="20">
        <v>3.8669998805999999</v>
      </c>
      <c r="I8" s="14">
        <v>711972313</v>
      </c>
      <c r="J8" s="17">
        <v>0.4940047575</v>
      </c>
      <c r="K8" s="14">
        <v>5327872.8470999999</v>
      </c>
      <c r="M8" s="1" t="s">
        <v>22</v>
      </c>
      <c r="N8" s="1"/>
      <c r="O8" s="4"/>
      <c r="P8" s="4">
        <f>((D6+E6)-(D5+E5))*(P5^1/2)</f>
        <v>-13772.9964</v>
      </c>
      <c r="Q8" s="4">
        <f>((D7+E7)-(D6+E6))*(Q5^1/2)</f>
        <v>3326.8887000000004</v>
      </c>
      <c r="R8" s="4">
        <f>((D8+E8)-(D7+E7))*(R5^1/2)</f>
        <v>1366.8771999999999</v>
      </c>
      <c r="S8" s="4">
        <f>((D9+E9)-(D8+E8))*(S5^1/2)</f>
        <v>8934.0101999999988</v>
      </c>
      <c r="T8" s="4">
        <f>((D10+E10)-(D9+E9))*(T5^1/2)</f>
        <v>8360.8059000000012</v>
      </c>
      <c r="U8" s="4">
        <f>((D11+E11)-(D10+E10))*(U5^1/2)</f>
        <v>6929.3848000000007</v>
      </c>
      <c r="V8" s="4">
        <f>((D12+E12)-(D11+E11))*(V5^1/2)</f>
        <v>7853.9919499999996</v>
      </c>
      <c r="W8" s="4">
        <f>((D13+E13)-(D12+E12))*(W5^1/2)</f>
        <v>8954.3189999999995</v>
      </c>
      <c r="X8" s="4">
        <f>((D14+E14)-(D13+E13))*(X5^1/2)</f>
        <v>12384.96</v>
      </c>
      <c r="Y8" s="4">
        <f>((D15+E15)-(D14+E14))*(Y5^1/2)</f>
        <v>9286.1084499999997</v>
      </c>
      <c r="Z8" s="4">
        <f>((E15+F15)-(E14+F14))*(Z5^1/2)</f>
        <v>5124.4956999999995</v>
      </c>
      <c r="AA8" s="4">
        <f>((D17+E17)-(D16+E16))*(AA5^1/2)</f>
        <v>5790.5964000000004</v>
      </c>
      <c r="AB8" s="4">
        <f>((D18+E18)-(D17+E17))*(AB5^1/2)</f>
        <v>-29714.376499999998</v>
      </c>
      <c r="AC8" s="4">
        <f>((D19+E19)-(D18+E18))*(AC5^1/2)</f>
        <v>18810.930349999999</v>
      </c>
      <c r="AD8" s="4">
        <f>((D20+E20)-(D19+E19))*(AD5/2)</f>
        <v>20336.901000000002</v>
      </c>
      <c r="AE8" s="4">
        <f>((D21+E21)-(D20+E20))*(AE5^1/2)</f>
        <v>22267.6675</v>
      </c>
      <c r="AF8" s="4">
        <f>((D22+E22)-(D21+E21))*(AF5^1/2)</f>
        <v>30598.446400000001</v>
      </c>
      <c r="AG8" s="4">
        <f>((D23+E23)-(D22+E22))*(AG5^1/2)</f>
        <v>18365.709149999999</v>
      </c>
      <c r="AH8" s="4">
        <f>((D24+E24)-(D23+E23))*(AH5^1/2)</f>
        <v>9558.7843000000012</v>
      </c>
      <c r="AI8" s="4">
        <f>((D25+E25)-(D24+E24))*(AI5^1/2)</f>
        <v>-12468.055050000001</v>
      </c>
      <c r="AJ8" s="4">
        <f>((D26+E26)-(D25+E25))*(AJ5^1/2)</f>
        <v>7373.2637999999997</v>
      </c>
      <c r="AK8" s="4">
        <f>((D27+E27)-(D26+E26))*(AK5/2)</f>
        <v>-2097.096</v>
      </c>
      <c r="AL8" s="4">
        <f>((D28+E28)-(D27+E27))*(AL5^1/2)</f>
        <v>2293.40625</v>
      </c>
      <c r="AM8" s="4">
        <f>((D29+E29)-(D28+E28))*(AM5^1/2)</f>
        <v>7436.4309000000003</v>
      </c>
      <c r="AN8" s="4">
        <f>((D30+E30)-(D29+E29))*(AN5^1/2)</f>
        <v>7868.3933999999999</v>
      </c>
      <c r="AO8" s="4">
        <f>((D31+E31)-(D30+E30))*(AO5^1/2)</f>
        <v>15612.214599999999</v>
      </c>
      <c r="AP8" s="4">
        <f>((D32+E32)-(D31+E31))*(AP5^1/2)</f>
        <v>327114.93764999998</v>
      </c>
      <c r="AQ8" s="4">
        <f>((D32+E32)-(D31+E31))*(AQ5^1/2)</f>
        <v>261013.99169999998</v>
      </c>
      <c r="AR8" s="4">
        <f>((E32+F32)-(E31+F31))*(AR5^1/2)</f>
        <v>6875.0703000000003</v>
      </c>
    </row>
    <row r="9" spans="1:44" ht="15" customHeight="1" x14ac:dyDescent="0.25">
      <c r="A9" s="13" t="s">
        <v>23</v>
      </c>
      <c r="B9" s="14">
        <v>7270731</v>
      </c>
      <c r="C9" s="14">
        <v>843050</v>
      </c>
      <c r="D9" s="15">
        <v>0</v>
      </c>
      <c r="E9" s="14">
        <v>2500368</v>
      </c>
      <c r="F9" s="15">
        <v>0</v>
      </c>
      <c r="G9" s="15">
        <v>0</v>
      </c>
      <c r="H9" s="20">
        <v>4.7053537392000004</v>
      </c>
      <c r="I9" s="14">
        <v>711972313</v>
      </c>
      <c r="J9" s="17">
        <v>0.63017588179999995</v>
      </c>
      <c r="K9" s="14">
        <v>6746897.3115999997</v>
      </c>
      <c r="M9" s="1" t="s">
        <v>24</v>
      </c>
      <c r="N9" s="1"/>
      <c r="O9" s="4"/>
      <c r="P9" s="4">
        <f>+B5*P5</f>
        <v>331394.62760000001</v>
      </c>
      <c r="Q9" s="4">
        <f>+(B6+P9+P10+P14)*Q5</f>
        <v>302654.78317440004</v>
      </c>
      <c r="R9" s="4">
        <f>+(B7+Q9+P9+P10+Q10+P14+Q14)*R5</f>
        <v>104305.32392753343</v>
      </c>
      <c r="S9" s="4">
        <f>+(B8+R9+Q9+P9+P10+Q10+R10+P14+Q14+R14)*S5</f>
        <v>615322.95139957825</v>
      </c>
      <c r="T9" s="4">
        <f>+(B9+S9+R9+Q9+P9+P10+Q10+R10+S10+P14+Q14+R14+S14)*T5</f>
        <v>458838.44728052529</v>
      </c>
      <c r="U9" s="4">
        <f>+(B10+T9+S9+R9+Q9+P9+P10+Q10+R10+S10+T10+P14+Q14+R14+S14+T14)*U5</f>
        <v>646604.24175141589</v>
      </c>
      <c r="V9" s="4">
        <f>+(B11+U9+T9+S9+R9+Q9+P9+P10+Q10+R10+S10+T10+U10+P14+Q14+R14+S14+T14+U14)*V5</f>
        <v>1164920.1500010171</v>
      </c>
      <c r="W9" s="4">
        <f>+(B12+V9+U9+T9+S9+R9+Q9+P9+P10+Q10+R10+S10+T10+U10+V10+P14+Q14+R14+S14+T14+U14+V14)*W5</f>
        <v>927657.270788152</v>
      </c>
      <c r="X9" s="4">
        <f>+(B13+W9+V9+U9+T9+S9+R9+Q9+P9+P10+Q10+R10+S10+T10+U10+V10+W10+P14+Q14+R14+S14+T14+U14+V14+W14)*X5</f>
        <v>985377.9617210814</v>
      </c>
      <c r="Y9" s="4">
        <f>+(B14+X9+W9+V9+U9+T9+S9+R9+Q9+P9+P10+Q10+R10+S10+T10+U10+V10+W10+X10+P14+Q14+R14+S14+T14+U14+V14+W14+X14)*Y5</f>
        <v>839667.44692338794</v>
      </c>
      <c r="Z9" s="4">
        <f>+(B15+Y9+X9+W9+V9+U9+T9+S9+R9+Q9+P9+P10+Q10+R10+S10+T10+U10+V10+W10+X10+Y10+P14+Q14+R14+S14+T14+U14+V14+W14+X14+Y14)*Z5</f>
        <v>539256.84112283296</v>
      </c>
      <c r="AA9" s="4">
        <f>+(B16+Z9+Y9+X9+W9+V9+U9+T9+S9+R9+Q9+P9+P10+Q10+R10+S10+T10+U10+V10+W10+X10+Y10+Z10+P14+Q14+R14+S14+T14+U14+V14+W14+X14+Y14+Z14)*AA5</f>
        <v>914783.77649016958</v>
      </c>
      <c r="AB9" s="4">
        <f>+(B17+AA9+Z9+Y9+X9+W9+V9+U9+T9+S9+R9+Q9+P9+P10+Q10+R10+S10+T10+U10+V10+W10+X10+Y10+Z10+AA10+P14+Q14+R14+S14+T14+U14+V14+W14+X14+Y14+Z14+AA14)*AB5</f>
        <v>1385376.3162070778</v>
      </c>
      <c r="AC9" s="4">
        <f>+(B18+AB9+AA9+Z9+Y9+X9+W9+V9+U9+T9+S9+R9+Q9+P9+P10+Q10+R10+S10+T10+U10+V10+W10+X10+Y10+Z10+AA10+AB10+P14+Q14+R14+S14+T14+U14+V14+W14+X14+Y14+Z14+AA14+AB14)*AC5</f>
        <v>1232795.440674478</v>
      </c>
      <c r="AD9" s="4">
        <f>+(B19+AC9+AB9+AA9+Z9+Y9+X9+W9+V9+U9+T9+S9+R9+Q9+P9+P10+Q10+R10+S10+T10+U10+V10+W10+X10+Y10+Z10+AA10+AB10+AC10+P14+Q14+R14+S14+T14+U14+V14+W14+X14+Y14+Z14+AA14+AB14+AC14)*AD5</f>
        <v>2009422.5410501193</v>
      </c>
      <c r="AE9" s="4">
        <f>+(B20+AD9+AC9+AB9+AA9+Z9+Y9+X9+W9+V9+U9+T9+S9+R9+Q9+P9+P10+Q10+R10+S10+T10+U10+V10+W10+X10+Y10+Z10+AA10+AB10+AC10+AD10+P14+Q14+S14++R14+T14+U14+V14+W14+X14+Y14+Z14+AA14+AB14+AC14+AD14)*AE5</f>
        <v>3093164.2063886062</v>
      </c>
      <c r="AF9" s="4">
        <f>+(B21+AE9+AD9+AC9+AB9+AA9+Z9+Y9+X9+W9+V9+U9+T9+S9+R9+Q9+P9+P10+Q10+R10+S10+T10+U10+V10+W10+X10+Y10+Z10+AA10+AB10+AC10+AD10+AE10+P14+Q14+R14+S14+T14+U14+V14+W14+X14+Y14+Z14+AA14+AB14+AC14+AD14+AE14)*AF5</f>
        <v>3172338.6707832511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3593653.5895781615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4083155.9169511185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7508710.1248845858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4331304.9609797159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2212124.1432435801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3146141.848529323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3659817.3567393986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3917516.7917041611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10184000.098801631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6675785.7358187679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6027894.7326180227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6527299.5784953311</v>
      </c>
    </row>
    <row r="10" spans="1:44" ht="15" customHeight="1" x14ac:dyDescent="0.25">
      <c r="A10" s="13" t="s">
        <v>25</v>
      </c>
      <c r="B10" s="14">
        <v>7965001</v>
      </c>
      <c r="C10" s="14">
        <v>974211</v>
      </c>
      <c r="D10" s="15">
        <v>0</v>
      </c>
      <c r="E10" s="14">
        <v>2780462</v>
      </c>
      <c r="F10" s="15">
        <v>0</v>
      </c>
      <c r="G10" s="15">
        <v>0</v>
      </c>
      <c r="H10" s="20">
        <v>4.2731994562000004</v>
      </c>
      <c r="I10" s="14">
        <v>711972313</v>
      </c>
      <c r="J10" s="17">
        <v>0.46580842760000002</v>
      </c>
      <c r="K10" s="14">
        <v>4641459.3108999999</v>
      </c>
      <c r="M10" s="22" t="s">
        <v>26</v>
      </c>
      <c r="N10" s="22"/>
      <c r="O10" s="23"/>
      <c r="P10" s="23">
        <f>((B6-B5)*(P5^1/2))</f>
        <v>101610.4676</v>
      </c>
      <c r="Q10" s="23">
        <f>((B7-B6)*(Q5^1/2))</f>
        <v>10722.402</v>
      </c>
      <c r="R10" s="23">
        <f>((B8-B7)*(R5/2))</f>
        <v>5202.7719999999999</v>
      </c>
      <c r="S10" s="23">
        <f>((B9-B8)*(S5/2))</f>
        <v>28646.352599999998</v>
      </c>
      <c r="T10" s="23">
        <f>((B10-B9)*(T5^1/2))</f>
        <v>20723.959500000001</v>
      </c>
      <c r="U10" s="23">
        <f>((B11-B10)*(U5^1/2))</f>
        <v>30003.199200000003</v>
      </c>
      <c r="V10" s="23">
        <f>((B12-B11)*(V5^1/2))</f>
        <v>28174.4568</v>
      </c>
      <c r="W10" s="23">
        <f>((B13-B12)*(W5/2))</f>
        <v>138325.0845</v>
      </c>
      <c r="X10" s="23">
        <f>((B14-B13)*(X5/2))</f>
        <v>73488.123999999996</v>
      </c>
      <c r="Y10" s="23">
        <f>((B15-B14)*(Y5/2))</f>
        <v>78068.734599999996</v>
      </c>
      <c r="Z10" s="23">
        <f>((B16-B15)*(Z5/2))</f>
        <v>61361.785799999998</v>
      </c>
      <c r="AA10" s="23">
        <f>((B17-B16)*(AA5/2))</f>
        <v>78137.8174</v>
      </c>
      <c r="AB10" s="23">
        <f>((B18-B17)*(AB5^1/2))</f>
        <v>167417.04300000001</v>
      </c>
      <c r="AC10" s="23">
        <f>((B19-B18)*(AC5^1/2))</f>
        <v>133222.42324999999</v>
      </c>
      <c r="AD10" s="23">
        <f>((B20-B19)*(AD5/2))</f>
        <v>423196.51305000001</v>
      </c>
      <c r="AE10" s="23">
        <f>((B21-B20)*(AE5^1/2))</f>
        <v>244783.69500000001</v>
      </c>
      <c r="AF10" s="23">
        <f>((B22-B21)*(AF5^1/2))</f>
        <v>219681.9952</v>
      </c>
      <c r="AG10" s="23">
        <f>((B23-B22)*(AG5/2))</f>
        <v>119101.24545</v>
      </c>
      <c r="AH10" s="23">
        <f>((B24-B23)*(AH5/2))</f>
        <v>256189.91225000002</v>
      </c>
      <c r="AI10" s="23">
        <f>((B25-B24)*(AI5^1/2))</f>
        <v>47393.632550000002</v>
      </c>
      <c r="AJ10" s="23">
        <f>((B26-B25)*(AJ5/2))</f>
        <v>276308.91265000001</v>
      </c>
      <c r="AK10" s="23">
        <f>((B27-B26)*(AK5/2))</f>
        <v>170062.33749999999</v>
      </c>
      <c r="AL10" s="23">
        <f>((B28-B27)*(AL5^1/2))</f>
        <v>66177.75</v>
      </c>
      <c r="AM10" s="23">
        <f>((B29-B28)*(AM5/2))</f>
        <v>95000.071800000005</v>
      </c>
      <c r="AN10" s="23">
        <f>((B30-B29)*(AN5/2))</f>
        <v>404684.95639999997</v>
      </c>
      <c r="AO10" s="23">
        <f>((B31-B30)*(AO5/2))</f>
        <v>876596.5098</v>
      </c>
      <c r="AP10" s="23">
        <f>((B32-B31)*(AP5^1/2))</f>
        <v>537776.87910000002</v>
      </c>
      <c r="AQ10" s="23">
        <f>((C32-C31)*(AQ5/2))</f>
        <v>263382.50400000002</v>
      </c>
      <c r="AR10" s="23">
        <f>((D32-D31)*(AR5^1/2))</f>
        <v>266003.19375000003</v>
      </c>
    </row>
    <row r="11" spans="1:44" ht="15" customHeight="1" x14ac:dyDescent="0.25">
      <c r="A11" s="13" t="s">
        <v>27</v>
      </c>
      <c r="B11" s="14">
        <v>8747353</v>
      </c>
      <c r="C11" s="14">
        <v>1081952</v>
      </c>
      <c r="D11" s="15">
        <v>0</v>
      </c>
      <c r="E11" s="14">
        <v>2961150</v>
      </c>
      <c r="F11" s="15">
        <v>0</v>
      </c>
      <c r="G11" s="16">
        <v>-265385</v>
      </c>
      <c r="H11" s="20">
        <v>2.8593654179999999</v>
      </c>
      <c r="I11" s="14">
        <v>711995706</v>
      </c>
      <c r="J11" s="17">
        <v>0.85749213006000002</v>
      </c>
      <c r="K11" s="14">
        <v>8103070.9139999999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4">
        <v>9197065</v>
      </c>
      <c r="C12" s="14">
        <v>2027676</v>
      </c>
      <c r="D12" s="15">
        <v>0</v>
      </c>
      <c r="E12" s="14">
        <v>3086513</v>
      </c>
      <c r="F12" s="15">
        <v>0</v>
      </c>
      <c r="G12" s="16">
        <v>-579505</v>
      </c>
      <c r="H12" s="20">
        <v>7.0036969271</v>
      </c>
      <c r="I12" s="14">
        <v>732017828</v>
      </c>
      <c r="J12" s="17">
        <v>0.84547276650000003</v>
      </c>
      <c r="K12" s="14">
        <v>7173774.7994999997</v>
      </c>
      <c r="M12" s="1" t="s">
        <v>30</v>
      </c>
      <c r="N12" s="1"/>
      <c r="O12" s="1"/>
      <c r="P12" s="4">
        <v>0</v>
      </c>
      <c r="Q12" s="24">
        <f>-($P$7+$P$8)*$N$1</f>
        <v>-42059.664348800005</v>
      </c>
      <c r="R12" s="24">
        <f>-((($P$7+$P$8)*(1+Q5))+($Q$7+$Q$8))*N1</f>
        <v>-68559.171854774715</v>
      </c>
      <c r="S12" s="24">
        <f>-((($P$7+$P$8)*(1+Q5)*(1+R5))+(($Q$7+$Q$8)*(1+R5))+((R7+R8)))*$N$1</f>
        <v>-78325.196426401715</v>
      </c>
      <c r="T12" s="24">
        <f>-((($P$7+$P$8)*(1+R5)*(1+S5)*(1+Q5))+(($Q$7+$Q$8)*(1+S5)*(1+R5))+((R7+R8)*(1+S5))+((S7+S8)))*$N$1</f>
        <v>-135895.7309112197</v>
      </c>
      <c r="U12" s="24">
        <f>-((($P$7+$P$8)*(1+T5)*(1+R5)*(1+S5)*(1+Q5))+(($Q$7+$Q$8)*(1+T5)*(1+S5)*(1+R5))+((R7+R8)*(1+S5)*(1+T5))+((S7+S8)*(1+T5))+(T7+T8))*$N$1</f>
        <v>-183724.76909746806</v>
      </c>
      <c r="V12" s="24">
        <f>-((($P$7+$P$8)*(1+U5)*(1+S5)*(1+T5)*(1+R5)*(1+Q5))+(($Q$7+$Q$8)*(1+U5)*(1+T5)*(1+S5)*(1+R5))+(($R$7+$R$8)*(1+U5)*(1+T5)*(1+S5))+((S7+S8)*(1+T5)*(1+U5))+((T7+T8)*(1+U5))+(U7+U8))*$N$1</f>
        <v>-255500.12595829382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-392895.4447585704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-520472.81610685826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-645371.55259314214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-754637.37211405626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-820644.03966143972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-923350.64047703065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-1064670.180612349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-1177147.1826570153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-1351391.0092582081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-1570282.7788915162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-1789550.2580706938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-2050303.6102949835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-2357648.7938419473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-2643296.6797025311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-2849481.5034431624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-2986963.9799264488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-3218164.8670085911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-3503353.3773911945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-3722832.8144079447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-4251965.2110487763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-4706305.386004921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-4592502.7693282105</v>
      </c>
    </row>
    <row r="13" spans="1:44" ht="15" customHeight="1" x14ac:dyDescent="0.25">
      <c r="A13" s="13" t="s">
        <v>31</v>
      </c>
      <c r="B13" s="14">
        <v>12171798</v>
      </c>
      <c r="C13" s="14">
        <v>2380982</v>
      </c>
      <c r="D13" s="15">
        <v>0</v>
      </c>
      <c r="E13" s="14">
        <v>3279079</v>
      </c>
      <c r="F13" s="15">
        <v>0</v>
      </c>
      <c r="G13" s="16">
        <v>-745710</v>
      </c>
      <c r="H13" s="20">
        <v>3.4214583332999999</v>
      </c>
      <c r="I13" s="14">
        <v>732017828</v>
      </c>
      <c r="J13" s="17">
        <v>2.2164519089999999</v>
      </c>
      <c r="K13" s="14">
        <v>17568427.872000001</v>
      </c>
      <c r="M13" t="s">
        <v>32</v>
      </c>
      <c r="P13">
        <v>0</v>
      </c>
      <c r="Q13" s="24">
        <f t="shared" ref="Q13:AR13" si="0">Q12*Q5</f>
        <v>-2195.5144790073605</v>
      </c>
      <c r="R13" s="24">
        <f t="shared" si="0"/>
        <v>-1138.0822527892603</v>
      </c>
      <c r="S13" s="24">
        <f t="shared" si="0"/>
        <v>-7002.2725605203132</v>
      </c>
      <c r="T13" s="24">
        <f t="shared" si="0"/>
        <v>-8112.9751353998163</v>
      </c>
      <c r="U13" s="24">
        <f t="shared" si="0"/>
        <v>-14091.689789775801</v>
      </c>
      <c r="V13" s="24">
        <f t="shared" si="0"/>
        <v>-32014.165782574215</v>
      </c>
      <c r="W13" s="24">
        <f t="shared" si="0"/>
        <v>-36539.276362547047</v>
      </c>
      <c r="X13" s="24">
        <f t="shared" si="0"/>
        <v>-39555.934024121227</v>
      </c>
      <c r="Y13" s="24">
        <f t="shared" si="0"/>
        <v>-36721.641342549789</v>
      </c>
      <c r="Z13" s="24">
        <f t="shared" si="0"/>
        <v>-23695.613484381363</v>
      </c>
      <c r="AA13" s="24">
        <f t="shared" si="0"/>
        <v>-36600.724168900211</v>
      </c>
      <c r="AB13" s="24">
        <f t="shared" si="0"/>
        <v>-54477.687788144809</v>
      </c>
      <c r="AC13" s="24">
        <f t="shared" si="0"/>
        <v>-45887.284784392243</v>
      </c>
      <c r="AD13" s="24">
        <f t="shared" si="0"/>
        <v>-69569.3984950296</v>
      </c>
      <c r="AE13" s="24">
        <f t="shared" si="0"/>
        <v>-87840.415601783534</v>
      </c>
      <c r="AF13" s="24">
        <f t="shared" si="0"/>
        <v>-91704.514287264537</v>
      </c>
      <c r="AG13" s="24">
        <f t="shared" si="0"/>
        <v>-105762.42025197801</v>
      </c>
      <c r="AH13" s="24">
        <f t="shared" si="0"/>
        <v>-131424.46141990845</v>
      </c>
      <c r="AI13" s="24">
        <f t="shared" si="0"/>
        <v>-251561.12630293579</v>
      </c>
      <c r="AJ13" s="24">
        <f t="shared" si="0"/>
        <v>-166263.36115328921</v>
      </c>
      <c r="AK13" s="24">
        <f t="shared" si="0"/>
        <v>-84059.70435157328</v>
      </c>
      <c r="AL13" s="24">
        <f t="shared" si="0"/>
        <v>-112011.14924724183</v>
      </c>
      <c r="AM13" s="24">
        <f t="shared" si="0"/>
        <v>-138702.90576807028</v>
      </c>
      <c r="AN13" s="24">
        <f t="shared" si="0"/>
        <v>-158351.57265808198</v>
      </c>
      <c r="AO13" s="24">
        <f t="shared" si="0"/>
        <v>-374516.9811294392</v>
      </c>
      <c r="AP13" s="24">
        <f t="shared" si="0"/>
        <v>-246188.78571972414</v>
      </c>
      <c r="AQ13" s="24">
        <f t="shared" si="0"/>
        <v>-217431.30883342735</v>
      </c>
      <c r="AR13" s="24">
        <f t="shared" si="0"/>
        <v>-221817.88375855258</v>
      </c>
    </row>
    <row r="14" spans="1:44" ht="15" customHeight="1" x14ac:dyDescent="0.25">
      <c r="A14" s="13" t="s">
        <v>33</v>
      </c>
      <c r="B14" s="14">
        <v>14105696</v>
      </c>
      <c r="C14" s="14">
        <v>3024006</v>
      </c>
      <c r="D14" s="15">
        <v>0</v>
      </c>
      <c r="E14" s="14">
        <v>3604999</v>
      </c>
      <c r="F14" s="15">
        <v>0</v>
      </c>
      <c r="G14" s="16">
        <v>-954268</v>
      </c>
      <c r="H14" s="20">
        <v>4.8197907691999999</v>
      </c>
      <c r="I14" s="14">
        <v>799359.73800000001</v>
      </c>
      <c r="J14" s="17">
        <v>3.2000737036000002</v>
      </c>
      <c r="K14" s="14">
        <v>25979191.484999999</v>
      </c>
      <c r="M14" s="39" t="s">
        <v>34</v>
      </c>
      <c r="N14" s="39"/>
      <c r="O14" s="40"/>
      <c r="P14" s="40">
        <f t="shared" ref="P14:AR14" si="1">(P7+P8)-(P9+P10)+P12+P13</f>
        <v>-227233.74319999997</v>
      </c>
      <c r="Q14" s="40">
        <f t="shared" si="1"/>
        <v>-238728.2885278074</v>
      </c>
      <c r="R14" s="40">
        <f t="shared" si="1"/>
        <v>-136994.28193902236</v>
      </c>
      <c r="S14" s="40">
        <f t="shared" si="1"/>
        <v>-481898.23128249985</v>
      </c>
      <c r="T14" s="40">
        <f t="shared" si="1"/>
        <v>-429265.52060185862</v>
      </c>
      <c r="U14" s="40">
        <f t="shared" si="1"/>
        <v>-592214.17835602793</v>
      </c>
      <c r="V14" s="40">
        <f t="shared" si="1"/>
        <v>-965045.52761379129</v>
      </c>
      <c r="W14" s="40">
        <f t="shared" si="1"/>
        <v>-1050025.2222715942</v>
      </c>
      <c r="X14" s="40">
        <f t="shared" si="1"/>
        <v>-1201366.4480724004</v>
      </c>
      <c r="Y14" s="40">
        <f t="shared" si="1"/>
        <v>-1244916.5663672767</v>
      </c>
      <c r="Z14" s="40">
        <f t="shared" si="1"/>
        <v>-1171950.3695515944</v>
      </c>
      <c r="AA14" s="40">
        <f t="shared" si="1"/>
        <v>-1526752.0884118464</v>
      </c>
      <c r="AB14" s="40">
        <f t="shared" si="1"/>
        <v>-2105759.3961455734</v>
      </c>
      <c r="AC14" s="40">
        <f t="shared" si="1"/>
        <v>-2150793.9337230073</v>
      </c>
      <c r="AD14" s="40">
        <f t="shared" si="1"/>
        <v>-3167229.8225997034</v>
      </c>
      <c r="AE14" s="40">
        <f t="shared" si="1"/>
        <v>-4136027.8877382018</v>
      </c>
      <c r="AF14" s="40">
        <f t="shared" si="1"/>
        <v>-4429923.0037221462</v>
      </c>
      <c r="AG14" s="40">
        <f t="shared" si="1"/>
        <v>-4849794.8520381497</v>
      </c>
      <c r="AH14" s="40">
        <f t="shared" si="1"/>
        <v>-5660405.005969556</v>
      </c>
      <c r="AI14" s="40">
        <f t="shared" si="1"/>
        <v>-9956448.6159065962</v>
      </c>
      <c r="AJ14" s="40">
        <f t="shared" si="1"/>
        <v>-7266186.0410358366</v>
      </c>
      <c r="AK14" s="40">
        <f t="shared" si="1"/>
        <v>-5001979.6129644541</v>
      </c>
      <c r="AL14" s="40">
        <f t="shared" si="1"/>
        <v>-5724359.7184899701</v>
      </c>
      <c r="AM14" s="40">
        <f t="shared" si="1"/>
        <v>-6407003.7891801195</v>
      </c>
      <c r="AN14" s="40">
        <f t="shared" si="1"/>
        <v>-7666735.8724036738</v>
      </c>
      <c r="AO14" s="40">
        <f t="shared" si="1"/>
        <v>-14422023.304400286</v>
      </c>
      <c r="AP14" s="40">
        <f t="shared" si="1"/>
        <v>-10614253.313572029</v>
      </c>
      <c r="AQ14" s="40">
        <f t="shared" si="1"/>
        <v>-10288614.175369464</v>
      </c>
      <c r="AR14" s="40">
        <f t="shared" si="1"/>
        <v>-6714674.1196382577</v>
      </c>
    </row>
    <row r="15" spans="1:44" ht="15" customHeight="1" x14ac:dyDescent="0.25">
      <c r="A15" s="13" t="s">
        <v>35</v>
      </c>
      <c r="B15" s="14">
        <v>16849764</v>
      </c>
      <c r="C15" s="14">
        <v>4153602</v>
      </c>
      <c r="D15" s="15">
        <v>0</v>
      </c>
      <c r="E15" s="14">
        <v>3931400</v>
      </c>
      <c r="F15" s="15">
        <v>0</v>
      </c>
      <c r="G15" s="16">
        <v>-130085</v>
      </c>
      <c r="H15" s="20">
        <v>2.5879146919</v>
      </c>
      <c r="I15" s="14">
        <v>799359.73800000001</v>
      </c>
      <c r="J15" s="17">
        <v>4.2847840313000001</v>
      </c>
      <c r="K15" s="14">
        <v>33732980.943999998</v>
      </c>
    </row>
    <row r="16" spans="1:44" ht="15" customHeight="1" x14ac:dyDescent="0.25">
      <c r="A16" s="13" t="s">
        <v>36</v>
      </c>
      <c r="B16" s="14">
        <v>20758158</v>
      </c>
      <c r="C16" s="14">
        <v>6043777</v>
      </c>
      <c r="D16" s="15">
        <v>0</v>
      </c>
      <c r="E16" s="14">
        <v>4090409</v>
      </c>
      <c r="F16" s="15">
        <v>0</v>
      </c>
      <c r="G16" s="16">
        <v>-1043096</v>
      </c>
      <c r="H16" s="20">
        <v>7.529859375</v>
      </c>
      <c r="I16" s="14">
        <v>825316.42299999995</v>
      </c>
      <c r="J16" s="17">
        <v>7.1037270355000004</v>
      </c>
      <c r="K16" s="14">
        <v>52820251.071999997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24262096</v>
      </c>
      <c r="C17" s="14">
        <v>5058119</v>
      </c>
      <c r="D17" s="15">
        <v>0</v>
      </c>
      <c r="E17" s="14">
        <v>4350077</v>
      </c>
      <c r="F17" s="15">
        <v>0</v>
      </c>
      <c r="G17" s="16">
        <v>-685196</v>
      </c>
      <c r="H17" s="20">
        <v>2.7485017548999999</v>
      </c>
      <c r="I17" s="14">
        <v>2475949.2689999999</v>
      </c>
      <c r="J17" s="17">
        <v>10.442511417</v>
      </c>
      <c r="K17" s="14">
        <v>75268857.777999997</v>
      </c>
      <c r="L17" s="41" t="str">
        <f>+L19</f>
        <v>Brasil ON</v>
      </c>
      <c r="M17" s="2" t="s">
        <v>38</v>
      </c>
      <c r="N17" s="2"/>
      <c r="O17" s="28"/>
      <c r="P17" s="42">
        <f>+C6</f>
        <v>-7525817</v>
      </c>
      <c r="Q17" s="42">
        <f>C7</f>
        <v>573819</v>
      </c>
      <c r="R17" s="42">
        <f>C8</f>
        <v>869893</v>
      </c>
      <c r="S17" s="42">
        <f>C9</f>
        <v>843050</v>
      </c>
      <c r="T17" s="42">
        <f>C10</f>
        <v>974211</v>
      </c>
      <c r="U17" s="42">
        <f>C11</f>
        <v>1081952</v>
      </c>
      <c r="V17" s="42">
        <f>C12</f>
        <v>2027676</v>
      </c>
      <c r="W17" s="42">
        <f>C13</f>
        <v>2380982</v>
      </c>
      <c r="X17" s="42">
        <f>C14</f>
        <v>3024006</v>
      </c>
      <c r="Y17" s="42">
        <f>C15</f>
        <v>4153602</v>
      </c>
      <c r="Z17" s="42">
        <f>C16</f>
        <v>6043777</v>
      </c>
      <c r="AA17" s="42">
        <f>C17</f>
        <v>5058119</v>
      </c>
      <c r="AB17" s="42">
        <f>C18</f>
        <v>8802869</v>
      </c>
      <c r="AC17" s="42">
        <f>C19</f>
        <v>10147522</v>
      </c>
      <c r="AD17" s="42">
        <f>C20</f>
        <v>11703165</v>
      </c>
      <c r="AE17" s="42">
        <f>C21</f>
        <v>12125990</v>
      </c>
      <c r="AF17" s="42">
        <f>C22</f>
        <v>12205120</v>
      </c>
      <c r="AG17" s="42">
        <f>C23</f>
        <v>15757937</v>
      </c>
      <c r="AH17" s="42">
        <f>C24</f>
        <v>11245814</v>
      </c>
      <c r="AI17" s="42">
        <f>C25</f>
        <v>14399559</v>
      </c>
      <c r="AJ17" s="42">
        <f>C26</f>
        <v>8033556</v>
      </c>
      <c r="AK17" s="42">
        <f>C27</f>
        <v>11010776</v>
      </c>
      <c r="AL17" s="42">
        <f>C28</f>
        <v>12862026</v>
      </c>
      <c r="AM17" s="42">
        <f>C29</f>
        <v>18162067</v>
      </c>
      <c r="AN17" s="42">
        <f>C30</f>
        <v>12697385</v>
      </c>
      <c r="AO17" s="42">
        <f>C31</f>
        <v>19710402</v>
      </c>
      <c r="AP17" s="42">
        <f>C32</f>
        <v>31112242</v>
      </c>
      <c r="AQ17" s="42">
        <f>D32</f>
        <v>11014625</v>
      </c>
      <c r="AR17" s="42">
        <f>E32</f>
        <v>8825918</v>
      </c>
    </row>
    <row r="18" spans="1:44" ht="15" customHeight="1" x14ac:dyDescent="0.25">
      <c r="A18" s="13" t="s">
        <v>39</v>
      </c>
      <c r="B18" s="14">
        <v>29937250</v>
      </c>
      <c r="C18" s="14">
        <v>8802869</v>
      </c>
      <c r="D18" s="15">
        <v>0</v>
      </c>
      <c r="E18" s="14">
        <v>3342810</v>
      </c>
      <c r="F18" s="15">
        <v>0</v>
      </c>
      <c r="G18" s="14">
        <v>-3521148</v>
      </c>
      <c r="H18" s="20">
        <v>7.7500052624000002</v>
      </c>
      <c r="I18" s="14">
        <v>2567036.12</v>
      </c>
      <c r="J18" s="17">
        <v>5.3200105513000002</v>
      </c>
      <c r="K18" s="14">
        <v>37684090.241999999</v>
      </c>
      <c r="L18" s="43" t="str">
        <f>+L19</f>
        <v>Brasil ON</v>
      </c>
      <c r="M18" s="18" t="s">
        <v>40</v>
      </c>
      <c r="N18" s="18"/>
      <c r="O18" s="25"/>
      <c r="P18" s="44">
        <f t="shared" ref="P18:AR18" si="2">P14+P17</f>
        <v>-7753050.7432000004</v>
      </c>
      <c r="Q18" s="44">
        <f t="shared" si="2"/>
        <v>335090.7114721926</v>
      </c>
      <c r="R18" s="44">
        <f t="shared" si="2"/>
        <v>732898.71806097764</v>
      </c>
      <c r="S18" s="44">
        <f t="shared" si="2"/>
        <v>361151.76871750015</v>
      </c>
      <c r="T18" s="44">
        <f t="shared" si="2"/>
        <v>544945.47939814138</v>
      </c>
      <c r="U18" s="44">
        <f t="shared" si="2"/>
        <v>489737.82164397207</v>
      </c>
      <c r="V18" s="44">
        <f t="shared" si="2"/>
        <v>1062630.4723862088</v>
      </c>
      <c r="W18" s="44">
        <f t="shared" si="2"/>
        <v>1330956.7777284058</v>
      </c>
      <c r="X18" s="44">
        <f t="shared" si="2"/>
        <v>1822639.5519275996</v>
      </c>
      <c r="Y18" s="44">
        <f t="shared" si="2"/>
        <v>2908685.4336327231</v>
      </c>
      <c r="Z18" s="44">
        <f t="shared" si="2"/>
        <v>4871826.6304484056</v>
      </c>
      <c r="AA18" s="44">
        <f t="shared" si="2"/>
        <v>3531366.9115881538</v>
      </c>
      <c r="AB18" s="44">
        <f t="shared" si="2"/>
        <v>6697109.6038544271</v>
      </c>
      <c r="AC18" s="44">
        <f t="shared" si="2"/>
        <v>7996728.0662769927</v>
      </c>
      <c r="AD18" s="44">
        <f t="shared" si="2"/>
        <v>8535935.1774002966</v>
      </c>
      <c r="AE18" s="44">
        <f t="shared" si="2"/>
        <v>7989962.1122617982</v>
      </c>
      <c r="AF18" s="44">
        <f t="shared" si="2"/>
        <v>7775196.9962778538</v>
      </c>
      <c r="AG18" s="44">
        <f t="shared" si="2"/>
        <v>10908142.147961851</v>
      </c>
      <c r="AH18" s="44">
        <f t="shared" si="2"/>
        <v>5585408.994030444</v>
      </c>
      <c r="AI18" s="44">
        <f t="shared" si="2"/>
        <v>4443110.3840934038</v>
      </c>
      <c r="AJ18" s="44">
        <f t="shared" si="2"/>
        <v>767369.95896416344</v>
      </c>
      <c r="AK18" s="44">
        <f t="shared" si="2"/>
        <v>6008796.3870355459</v>
      </c>
      <c r="AL18" s="44">
        <f t="shared" si="2"/>
        <v>7137666.2815100299</v>
      </c>
      <c r="AM18" s="44">
        <f t="shared" si="2"/>
        <v>11755063.210819881</v>
      </c>
      <c r="AN18" s="44">
        <f t="shared" si="2"/>
        <v>5030649.1275963262</v>
      </c>
      <c r="AO18" s="44">
        <f t="shared" si="2"/>
        <v>5288378.6955997143</v>
      </c>
      <c r="AP18" s="44">
        <f t="shared" si="2"/>
        <v>20497988.686427973</v>
      </c>
      <c r="AQ18" s="44">
        <f t="shared" si="2"/>
        <v>726010.82463053614</v>
      </c>
      <c r="AR18" s="44">
        <f t="shared" si="2"/>
        <v>2111243.8803617423</v>
      </c>
    </row>
    <row r="19" spans="1:44" ht="15" customHeight="1" x14ac:dyDescent="0.25">
      <c r="A19" s="13" t="s">
        <v>41</v>
      </c>
      <c r="B19" s="14">
        <v>36119265</v>
      </c>
      <c r="C19" s="14">
        <v>10147522</v>
      </c>
      <c r="D19" s="15">
        <v>0</v>
      </c>
      <c r="E19" s="14">
        <v>4215707</v>
      </c>
      <c r="F19" s="15">
        <v>0</v>
      </c>
      <c r="G19" s="14">
        <v>-3718268</v>
      </c>
      <c r="H19" s="20">
        <v>4.8026335008999999</v>
      </c>
      <c r="I19" s="14">
        <v>2568710.1430000002</v>
      </c>
      <c r="J19" s="17">
        <v>11.543725835</v>
      </c>
      <c r="K19" s="14">
        <v>76290691.246999994</v>
      </c>
      <c r="L19" s="18" t="str">
        <f>+A1</f>
        <v>Brasil ON</v>
      </c>
      <c r="M19" s="18" t="s">
        <v>42</v>
      </c>
      <c r="N19" s="18"/>
      <c r="O19" s="31"/>
      <c r="P19" s="45">
        <f t="shared" ref="P19:AR19" si="3">P18/P17</f>
        <v>1.0301938969815503</v>
      </c>
      <c r="Q19" s="45">
        <f t="shared" si="3"/>
        <v>0.58396586985128174</v>
      </c>
      <c r="R19" s="45">
        <f t="shared" si="3"/>
        <v>0.84251593938677249</v>
      </c>
      <c r="S19" s="45">
        <f t="shared" si="3"/>
        <v>0.42838712854219813</v>
      </c>
      <c r="T19" s="45">
        <f t="shared" si="3"/>
        <v>0.55937110071446672</v>
      </c>
      <c r="U19" s="45">
        <f t="shared" si="3"/>
        <v>0.4526428359520312</v>
      </c>
      <c r="V19" s="45">
        <f t="shared" si="3"/>
        <v>0.52406324895407785</v>
      </c>
      <c r="W19" s="45">
        <f t="shared" si="3"/>
        <v>0.55899489274946468</v>
      </c>
      <c r="X19" s="45">
        <f t="shared" si="3"/>
        <v>0.60272352367277038</v>
      </c>
      <c r="Y19" s="45">
        <f t="shared" si="3"/>
        <v>0.70028024679127254</v>
      </c>
      <c r="Z19" s="45">
        <f t="shared" si="3"/>
        <v>0.80608973998352451</v>
      </c>
      <c r="AA19" s="45">
        <f t="shared" si="3"/>
        <v>0.69815813182492426</v>
      </c>
      <c r="AB19" s="45">
        <f t="shared" si="3"/>
        <v>0.76078714835520411</v>
      </c>
      <c r="AC19" s="45">
        <f t="shared" si="3"/>
        <v>0.78804737415469439</v>
      </c>
      <c r="AD19" s="45">
        <f t="shared" si="3"/>
        <v>0.72936980529628492</v>
      </c>
      <c r="AE19" s="45">
        <f t="shared" si="3"/>
        <v>0.65891214756583161</v>
      </c>
      <c r="AF19" s="45">
        <f t="shared" si="3"/>
        <v>0.63704387964049958</v>
      </c>
      <c r="AG19" s="45">
        <f t="shared" si="3"/>
        <v>0.69223161305708047</v>
      </c>
      <c r="AH19" s="45">
        <f t="shared" si="3"/>
        <v>0.49666560322182496</v>
      </c>
      <c r="AI19" s="45">
        <f t="shared" si="3"/>
        <v>0.30855878184140251</v>
      </c>
      <c r="AJ19" s="45">
        <f t="shared" si="3"/>
        <v>9.5520583781847468E-2</v>
      </c>
      <c r="AK19" s="45">
        <f t="shared" si="3"/>
        <v>0.54571961022870197</v>
      </c>
      <c r="AL19" s="45">
        <f t="shared" si="3"/>
        <v>0.55494105528242832</v>
      </c>
      <c r="AM19" s="45">
        <f t="shared" si="3"/>
        <v>0.64723157396236242</v>
      </c>
      <c r="AN19" s="45">
        <f t="shared" si="3"/>
        <v>0.39619568341011369</v>
      </c>
      <c r="AO19" s="45">
        <f t="shared" si="3"/>
        <v>0.26830394913303718</v>
      </c>
      <c r="AP19" s="45">
        <f t="shared" si="3"/>
        <v>0.65883997323072929</v>
      </c>
      <c r="AQ19" s="45">
        <f t="shared" si="3"/>
        <v>6.5913349263414425E-2</v>
      </c>
      <c r="AR19" s="45">
        <f t="shared" si="3"/>
        <v>0.23920955082085993</v>
      </c>
    </row>
    <row r="20" spans="1:44" ht="15" customHeight="1" x14ac:dyDescent="0.25">
      <c r="A20" s="13" t="s">
        <v>43</v>
      </c>
      <c r="B20" s="14">
        <v>50440636</v>
      </c>
      <c r="C20" s="14">
        <v>11703165</v>
      </c>
      <c r="D20" s="15">
        <v>0</v>
      </c>
      <c r="E20" s="14">
        <v>4903927</v>
      </c>
      <c r="F20" s="15">
        <v>0</v>
      </c>
      <c r="G20" s="14">
        <v>-5306642</v>
      </c>
      <c r="H20" s="20">
        <v>5.8970946989000002</v>
      </c>
      <c r="I20" s="14">
        <v>2860719.4939999999</v>
      </c>
      <c r="J20" s="17">
        <v>13.010438068999999</v>
      </c>
      <c r="K20" s="14">
        <v>89883806.502000004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57972442</v>
      </c>
      <c r="C21" s="14">
        <v>12125990</v>
      </c>
      <c r="D21" s="15">
        <v>0</v>
      </c>
      <c r="E21" s="14">
        <v>5589086</v>
      </c>
      <c r="F21" s="15">
        <v>0</v>
      </c>
      <c r="G21" s="14">
        <v>-4578871</v>
      </c>
      <c r="H21" s="20">
        <v>7.9577696849999997</v>
      </c>
      <c r="I21" s="14">
        <v>2865416.9559999998</v>
      </c>
      <c r="J21" s="17">
        <v>10.539618492000001</v>
      </c>
      <c r="K21" s="14">
        <v>67910381.856999993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65495798</v>
      </c>
      <c r="C22" s="14">
        <v>12205120</v>
      </c>
      <c r="D22" s="15">
        <v>0</v>
      </c>
      <c r="E22" s="14">
        <v>6636978</v>
      </c>
      <c r="F22" s="15">
        <v>0</v>
      </c>
      <c r="G22" s="14">
        <v>-5427190</v>
      </c>
      <c r="H22" s="20">
        <v>6.3424473266000003</v>
      </c>
      <c r="I22" s="14">
        <v>2845216.9730000002</v>
      </c>
      <c r="J22" s="17">
        <v>12.192530489999999</v>
      </c>
      <c r="K22" s="14">
        <v>72837554.509000003</v>
      </c>
      <c r="L22" s="47" t="str">
        <f>+L24</f>
        <v>Brasil ON</v>
      </c>
      <c r="M22" s="39" t="s">
        <v>46</v>
      </c>
      <c r="N22" s="32"/>
      <c r="O22" s="32"/>
      <c r="P22" s="30">
        <v>5592213</v>
      </c>
      <c r="Q22" s="30">
        <v>6003033</v>
      </c>
      <c r="R22" s="30">
        <v>6629873</v>
      </c>
      <c r="S22" s="30">
        <v>10502002</v>
      </c>
      <c r="T22" s="30">
        <v>10565590</v>
      </c>
      <c r="U22" s="30">
        <v>8747353</v>
      </c>
      <c r="V22" s="30">
        <v>9197065</v>
      </c>
      <c r="W22" s="30">
        <v>12171798</v>
      </c>
      <c r="X22" s="30">
        <v>14105696</v>
      </c>
      <c r="Y22" s="30">
        <v>16849764</v>
      </c>
      <c r="Z22" s="30">
        <v>20758158</v>
      </c>
      <c r="AA22" s="30">
        <v>24262096</v>
      </c>
      <c r="AB22" s="30">
        <v>29937250</v>
      </c>
      <c r="AC22" s="30">
        <v>36119265</v>
      </c>
      <c r="AD22" s="30">
        <v>50440636</v>
      </c>
      <c r="AE22" s="30">
        <v>57972442</v>
      </c>
      <c r="AF22" s="30">
        <v>65495798</v>
      </c>
      <c r="AG22" s="30">
        <v>69526297</v>
      </c>
      <c r="AH22" s="30">
        <v>77519742</v>
      </c>
      <c r="AI22" s="30">
        <v>78408095</v>
      </c>
      <c r="AJ22" s="30">
        <v>87193752</v>
      </c>
      <c r="AK22" s="30">
        <v>98723402</v>
      </c>
      <c r="AL22" s="30">
        <v>102252882</v>
      </c>
      <c r="AM22" s="30">
        <v>106661238</v>
      </c>
      <c r="AN22" s="30">
        <v>124567652</v>
      </c>
      <c r="AO22" s="30">
        <v>141995018</v>
      </c>
      <c r="AP22" s="30">
        <v>160278681</v>
      </c>
      <c r="AQ22" s="30">
        <v>160278681</v>
      </c>
      <c r="AR22" s="30">
        <v>160278681</v>
      </c>
    </row>
    <row r="23" spans="1:44" ht="15" customHeight="1" x14ac:dyDescent="0.25">
      <c r="A23" s="13" t="s">
        <v>47</v>
      </c>
      <c r="B23" s="14">
        <v>69526297</v>
      </c>
      <c r="C23" s="14">
        <v>15757937</v>
      </c>
      <c r="D23" s="15">
        <v>0</v>
      </c>
      <c r="E23" s="14">
        <v>7258491</v>
      </c>
      <c r="F23" s="15">
        <v>0</v>
      </c>
      <c r="G23" s="14">
        <v>-6693196</v>
      </c>
      <c r="H23" s="20">
        <v>9.7291411265000001</v>
      </c>
      <c r="I23" s="14">
        <v>2808714.6919999998</v>
      </c>
      <c r="J23" s="17">
        <v>12.827779269000001</v>
      </c>
      <c r="K23" s="14">
        <v>68532638.484999999</v>
      </c>
      <c r="L23" s="47" t="str">
        <f>+L25</f>
        <v>Brasil ON</v>
      </c>
      <c r="M23" s="39" t="s">
        <v>48</v>
      </c>
      <c r="N23" s="32"/>
      <c r="O23" s="32"/>
      <c r="P23" s="30">
        <f>P22+P9+P10+P14</f>
        <v>5797984.352</v>
      </c>
      <c r="Q23" s="33">
        <f>Q22+Q9+Q10+Q14+((P9+P10+P14)*(1+Q5))</f>
        <v>6294194.5132209929</v>
      </c>
      <c r="R23" s="33">
        <f>R22+R9+R10+R14+((Q9+Q10+Q14)*(1+R5))+(((P9+P10+P14)*(1+R5)*(1+Q5)))</f>
        <v>6898381.608328972</v>
      </c>
      <c r="S23" s="33">
        <f>S22+S9+S10+S14+((R9+R10+R14)*(1+S5))+(((Q9+Q10+Q14)*(1+S5)*(1+R5)))+(((P9+P10+P14)*(1+S5)*(1+R5)*(1+Q5)))</f>
        <v>10956586.350630661</v>
      </c>
      <c r="T23" s="33">
        <f>T22+T9+T10+T14+((S9+S10+S14)*(1+T5))+(((R9+R10+R14)*(1+T5)*(1+S5)))+(((Q9+Q10+Q14)*(1+T5)*(1+S5)*(1+R5)))+(((P9+P10+P14)*(1+T5)*(1+S5)*(1+R5)*(1+Q5)))</f>
        <v>11097609.922541978</v>
      </c>
      <c r="U23" s="33">
        <f>U22+U9+U10+U14+((T9+T10+T14)*(1+U5))+((S9+S10+S14)*(1+U5)*(1+T5))+((R9+R10+R14)*(1+U5)*(1+T5)*(1+S5))+((Q9+Q10+Q14)*(1+U5)*(1+T5)*(1+S5)*(1+R5))+((P9+P10+P14)*(1+U5)*(1+T5)*(1+S5)*(1+R5)*(1+Q5))</f>
        <v>9404572.1131963339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10164682.747267064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13245361.330779456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15118349.781567378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17592857.396894667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20953252.7869284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23932061.519903734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29034777.448639557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34393119.811877385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47877864.862759784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54445010.752489559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60724462.429896034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63335935.480692931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69611519.130536854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67255719.891893193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72681320.330187142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81163060.463706776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81521987.536135092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82384655.624101833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95849233.97641176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107026100.42744005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119884372.40133564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114020818.40532592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111865192.29461019</v>
      </c>
    </row>
    <row r="24" spans="1:44" ht="15" customHeight="1" x14ac:dyDescent="0.25">
      <c r="A24" s="13" t="s">
        <v>49</v>
      </c>
      <c r="B24" s="14">
        <v>77519742</v>
      </c>
      <c r="C24" s="14">
        <v>11245814</v>
      </c>
      <c r="D24" s="15">
        <v>0</v>
      </c>
      <c r="E24" s="14">
        <v>7556737</v>
      </c>
      <c r="F24" s="15">
        <v>0</v>
      </c>
      <c r="G24" s="14">
        <v>-4639062</v>
      </c>
      <c r="H24" s="20">
        <v>6.9810601798</v>
      </c>
      <c r="I24" s="14">
        <v>2796535.4440000001</v>
      </c>
      <c r="J24" s="17">
        <v>13.367909709999999</v>
      </c>
      <c r="K24" s="14">
        <v>66473647.504000001</v>
      </c>
      <c r="L24" s="47" t="str">
        <f>+L25</f>
        <v>Brasil ON</v>
      </c>
      <c r="M24" s="39" t="s">
        <v>50</v>
      </c>
      <c r="N24" s="32"/>
      <c r="O24" s="32"/>
      <c r="P24" s="30">
        <v>6607342.8657999998</v>
      </c>
      <c r="Q24" s="30">
        <v>5454627.7078</v>
      </c>
      <c r="R24" s="30">
        <v>5327872.8470999999</v>
      </c>
      <c r="S24" s="30">
        <v>17428087.655999999</v>
      </c>
      <c r="T24" s="30">
        <v>16748049.408</v>
      </c>
      <c r="U24" s="30">
        <v>8103070.9139999999</v>
      </c>
      <c r="V24" s="30">
        <v>7173774.7994999997</v>
      </c>
      <c r="W24" s="30">
        <v>17568427.872000001</v>
      </c>
      <c r="X24" s="30">
        <v>25979191.484999999</v>
      </c>
      <c r="Y24" s="30">
        <v>33732980.943999998</v>
      </c>
      <c r="Z24" s="30">
        <v>52820251.071999997</v>
      </c>
      <c r="AA24" s="30">
        <v>75268857.777999997</v>
      </c>
      <c r="AB24" s="30">
        <v>37684090.241999999</v>
      </c>
      <c r="AC24" s="30">
        <v>76290691.246999994</v>
      </c>
      <c r="AD24" s="30">
        <v>89883806.502000004</v>
      </c>
      <c r="AE24" s="30">
        <v>67910381.856999993</v>
      </c>
      <c r="AF24" s="30">
        <v>72837554.509000003</v>
      </c>
      <c r="AG24" s="30">
        <v>68532638.484999999</v>
      </c>
      <c r="AH24" s="30">
        <v>66473647.504000001</v>
      </c>
      <c r="AI24" s="30">
        <v>41162228.626000002</v>
      </c>
      <c r="AJ24" s="30">
        <v>78223642.191</v>
      </c>
      <c r="AK24" s="30">
        <v>88617221.769999996</v>
      </c>
      <c r="AL24" s="30">
        <v>129499323.34999999</v>
      </c>
      <c r="AM24" s="30">
        <v>150587593.69</v>
      </c>
      <c r="AN24" s="30">
        <v>110705777.37</v>
      </c>
      <c r="AO24" s="30">
        <v>82321812.777999997</v>
      </c>
      <c r="AP24" s="30">
        <v>99106787.275000006</v>
      </c>
      <c r="AQ24" s="30">
        <f>+K33</f>
        <v>69935925.426922902</v>
      </c>
      <c r="AR24" s="30">
        <f>+K34</f>
        <v>132315311.288948</v>
      </c>
    </row>
    <row r="25" spans="1:44" ht="15" customHeight="1" x14ac:dyDescent="0.25">
      <c r="A25" s="13" t="s">
        <v>51</v>
      </c>
      <c r="B25" s="14">
        <v>78408095</v>
      </c>
      <c r="C25" s="14">
        <v>14399559</v>
      </c>
      <c r="D25" s="15">
        <v>0</v>
      </c>
      <c r="E25" s="14">
        <v>7323034</v>
      </c>
      <c r="F25" s="15">
        <v>0</v>
      </c>
      <c r="G25" s="14">
        <v>-5750385</v>
      </c>
      <c r="H25" s="20">
        <v>13.986676435</v>
      </c>
      <c r="I25" s="14">
        <v>2792552.824</v>
      </c>
      <c r="J25" s="17">
        <v>9.1581226483999991</v>
      </c>
      <c r="K25" s="14">
        <v>41162228.626000002</v>
      </c>
      <c r="L25" s="39" t="str">
        <f>+A1</f>
        <v>Brasil ON</v>
      </c>
      <c r="M25" s="39" t="s">
        <v>52</v>
      </c>
      <c r="N25" s="18"/>
      <c r="O25" s="18"/>
      <c r="P25" s="31">
        <f t="shared" ref="P25:AR25" si="4">P24/P23</f>
        <v>1.1395930835033754</v>
      </c>
      <c r="Q25" s="31">
        <f t="shared" si="4"/>
        <v>0.86661251036054288</v>
      </c>
      <c r="R25" s="31">
        <f t="shared" si="4"/>
        <v>0.77233663627237292</v>
      </c>
      <c r="S25" s="31">
        <f t="shared" si="4"/>
        <v>1.5906494138109757</v>
      </c>
      <c r="T25" s="31">
        <f t="shared" si="4"/>
        <v>1.5091582354125268</v>
      </c>
      <c r="U25" s="31">
        <f t="shared" si="4"/>
        <v>0.86160973795181073</v>
      </c>
      <c r="V25" s="31">
        <f t="shared" si="4"/>
        <v>0.70575491413431302</v>
      </c>
      <c r="W25" s="31">
        <f t="shared" si="4"/>
        <v>1.3263834359259525</v>
      </c>
      <c r="X25" s="31">
        <f t="shared" si="4"/>
        <v>1.7183880423691742</v>
      </c>
      <c r="Y25" s="31">
        <f t="shared" si="4"/>
        <v>1.9174247925157535</v>
      </c>
      <c r="Z25" s="31">
        <f t="shared" si="4"/>
        <v>2.520861634664747</v>
      </c>
      <c r="AA25" s="31">
        <f t="shared" si="4"/>
        <v>3.145105477662284</v>
      </c>
      <c r="AB25" s="31">
        <f t="shared" si="4"/>
        <v>1.2978949230336088</v>
      </c>
      <c r="AC25" s="31">
        <f t="shared" si="4"/>
        <v>2.2181963039204611</v>
      </c>
      <c r="AD25" s="31">
        <f t="shared" si="4"/>
        <v>1.8773562012351381</v>
      </c>
      <c r="AE25" s="31">
        <f t="shared" si="4"/>
        <v>1.2473205702121146</v>
      </c>
      <c r="AF25" s="31">
        <f t="shared" si="4"/>
        <v>1.1994763163706563</v>
      </c>
      <c r="AG25" s="31">
        <f t="shared" si="4"/>
        <v>1.082049834187595</v>
      </c>
      <c r="AH25" s="31">
        <f t="shared" si="4"/>
        <v>0.95492309799111474</v>
      </c>
      <c r="AI25" s="31">
        <f t="shared" si="4"/>
        <v>0.61202569375755911</v>
      </c>
      <c r="AJ25" s="31">
        <f t="shared" si="4"/>
        <v>1.0762551070293496</v>
      </c>
      <c r="AK25" s="31">
        <f t="shared" si="4"/>
        <v>1.0918417967940779</v>
      </c>
      <c r="AL25" s="31">
        <f t="shared" si="4"/>
        <v>1.58852019269769</v>
      </c>
      <c r="AM25" s="31">
        <f t="shared" si="4"/>
        <v>1.8278597215613683</v>
      </c>
      <c r="AN25" s="31">
        <f t="shared" si="4"/>
        <v>1.1549990832190105</v>
      </c>
      <c r="AO25" s="31">
        <f t="shared" si="4"/>
        <v>0.76917511195141886</v>
      </c>
      <c r="AP25" s="31">
        <f t="shared" si="4"/>
        <v>0.82668645870890711</v>
      </c>
      <c r="AQ25" s="31">
        <f t="shared" si="4"/>
        <v>0.61336101954918254</v>
      </c>
      <c r="AR25" s="31">
        <f t="shared" si="4"/>
        <v>1.1828103860982959</v>
      </c>
    </row>
    <row r="26" spans="1:44" ht="15" customHeight="1" x14ac:dyDescent="0.25">
      <c r="A26" s="13" t="s">
        <v>53</v>
      </c>
      <c r="B26" s="14">
        <v>87193752</v>
      </c>
      <c r="C26" s="14">
        <v>8033556</v>
      </c>
      <c r="D26" s="15">
        <v>0</v>
      </c>
      <c r="E26" s="14">
        <v>7557478</v>
      </c>
      <c r="F26" s="15">
        <v>0</v>
      </c>
      <c r="G26" s="14">
        <v>-2530730</v>
      </c>
      <c r="H26" s="20">
        <v>3.2497850968000002</v>
      </c>
      <c r="I26" s="14">
        <v>2784750.523</v>
      </c>
      <c r="J26" s="17">
        <v>18.261472137999998</v>
      </c>
      <c r="K26" s="14">
        <v>78223642.191</v>
      </c>
    </row>
    <row r="27" spans="1:44" ht="15" customHeight="1" x14ac:dyDescent="0.25">
      <c r="A27" s="13" t="s">
        <v>54</v>
      </c>
      <c r="B27" s="14">
        <v>98723402</v>
      </c>
      <c r="C27" s="14">
        <v>11010776</v>
      </c>
      <c r="D27" s="15">
        <v>0</v>
      </c>
      <c r="E27" s="14">
        <v>7415302</v>
      </c>
      <c r="F27" s="15">
        <v>0</v>
      </c>
      <c r="G27" s="14">
        <v>-2623783</v>
      </c>
      <c r="H27" s="20">
        <v>2.9708257438999999</v>
      </c>
      <c r="I27" s="14">
        <v>2784953.5440000002</v>
      </c>
      <c r="J27" s="17">
        <v>21.337809972999999</v>
      </c>
      <c r="K27" s="14">
        <v>88617221.769999996</v>
      </c>
      <c r="S27" s="67"/>
    </row>
    <row r="28" spans="1:44" ht="15" customHeight="1" x14ac:dyDescent="0.25">
      <c r="A28" s="13" t="s">
        <v>55</v>
      </c>
      <c r="B28" s="14">
        <v>102252882</v>
      </c>
      <c r="C28" s="14">
        <v>12862026</v>
      </c>
      <c r="D28" s="15">
        <v>0</v>
      </c>
      <c r="E28" s="14">
        <v>7537617</v>
      </c>
      <c r="F28" s="15">
        <v>0</v>
      </c>
      <c r="G28" s="14">
        <v>-4206516</v>
      </c>
      <c r="H28" s="20">
        <v>3.2593844481000001</v>
      </c>
      <c r="I28" s="14">
        <v>2785530.7239999999</v>
      </c>
      <c r="J28" s="17">
        <v>32.519540904000003</v>
      </c>
      <c r="K28" s="14">
        <v>129499323.34999999</v>
      </c>
    </row>
    <row r="29" spans="1:44" ht="15" customHeight="1" x14ac:dyDescent="0.25">
      <c r="A29" s="13" t="s">
        <v>56</v>
      </c>
      <c r="B29" s="14">
        <v>106661238</v>
      </c>
      <c r="C29" s="14">
        <v>18162067</v>
      </c>
      <c r="D29" s="15">
        <v>0</v>
      </c>
      <c r="E29" s="14">
        <v>7882695</v>
      </c>
      <c r="F29" s="15">
        <v>0</v>
      </c>
      <c r="G29" s="14">
        <v>-7121003</v>
      </c>
      <c r="H29" s="20">
        <v>4.8321829575999997</v>
      </c>
      <c r="I29" s="14">
        <v>2850957.8509999998</v>
      </c>
      <c r="J29" s="17">
        <v>38.907050982000001</v>
      </c>
      <c r="K29" s="14">
        <v>150587593.69</v>
      </c>
    </row>
    <row r="30" spans="1:44" ht="15" customHeight="1" x14ac:dyDescent="0.25">
      <c r="A30" s="13" t="s">
        <v>57</v>
      </c>
      <c r="B30" s="14">
        <v>124567652</v>
      </c>
      <c r="C30" s="14">
        <v>12697385</v>
      </c>
      <c r="D30" s="15">
        <v>0</v>
      </c>
      <c r="E30" s="14">
        <v>8230854</v>
      </c>
      <c r="F30" s="15">
        <v>0</v>
      </c>
      <c r="G30" s="14">
        <v>-6070657</v>
      </c>
      <c r="H30" s="20">
        <v>3.8051984309</v>
      </c>
      <c r="I30" s="14">
        <v>2853241.6850000001</v>
      </c>
      <c r="J30" s="17">
        <v>29.731540207999998</v>
      </c>
      <c r="K30" s="14">
        <v>110705777.37</v>
      </c>
    </row>
    <row r="31" spans="1:44" ht="15" customHeight="1" x14ac:dyDescent="0.25">
      <c r="A31" s="13" t="s">
        <v>58</v>
      </c>
      <c r="B31" s="14">
        <v>141995018</v>
      </c>
      <c r="C31" s="14">
        <v>19710402</v>
      </c>
      <c r="D31" s="15">
        <v>0</v>
      </c>
      <c r="E31" s="14">
        <v>8541236</v>
      </c>
      <c r="F31" s="15">
        <v>0</v>
      </c>
      <c r="G31" s="14">
        <v>-7124620</v>
      </c>
      <c r="H31" s="20">
        <v>7.8531088543000003</v>
      </c>
      <c r="I31" s="14">
        <v>2853442.3840000001</v>
      </c>
      <c r="J31" s="17">
        <v>23.818337482</v>
      </c>
      <c r="K31" s="14">
        <v>82321812.777999997</v>
      </c>
    </row>
    <row r="32" spans="1:44" ht="15" customHeight="1" x14ac:dyDescent="0.25">
      <c r="A32" s="13" t="s">
        <v>59</v>
      </c>
      <c r="B32" s="14">
        <v>160571076</v>
      </c>
      <c r="C32" s="14">
        <v>31112242</v>
      </c>
      <c r="D32" s="15">
        <v>11014625</v>
      </c>
      <c r="E32" s="14">
        <v>8825918</v>
      </c>
      <c r="F32" s="15">
        <v>0</v>
      </c>
      <c r="G32" s="14">
        <v>-13175440</v>
      </c>
      <c r="H32" s="20">
        <v>11.99389148</v>
      </c>
      <c r="I32" s="14">
        <v>2853636.2590000001</v>
      </c>
      <c r="J32" s="17">
        <v>32.132330082000003</v>
      </c>
      <c r="K32" s="14">
        <v>40308632.929748997</v>
      </c>
    </row>
    <row r="33" spans="1:42" ht="15" customHeight="1" x14ac:dyDescent="0.25">
      <c r="A33" s="13" t="s">
        <v>60</v>
      </c>
      <c r="B33" s="14">
        <v>169235279</v>
      </c>
      <c r="C33" s="14">
        <v>29860965</v>
      </c>
      <c r="D33" s="14">
        <v>10787522</v>
      </c>
      <c r="E33" s="14">
        <v>14118006</v>
      </c>
      <c r="F33" s="14"/>
      <c r="G33" s="14"/>
      <c r="H33" s="14"/>
      <c r="I33" s="14"/>
      <c r="J33" s="14"/>
      <c r="K33" s="14">
        <v>69935925.426922902</v>
      </c>
    </row>
    <row r="34" spans="1:42" ht="15" customHeight="1" x14ac:dyDescent="0.25">
      <c r="A34" s="13" t="s">
        <v>61</v>
      </c>
      <c r="B34" s="14">
        <v>179623018</v>
      </c>
      <c r="C34" s="14">
        <v>26358860</v>
      </c>
      <c r="D34" s="14">
        <v>11350419</v>
      </c>
      <c r="E34" s="14">
        <v>16396970</v>
      </c>
      <c r="F34" s="14"/>
      <c r="G34" s="14"/>
      <c r="H34" s="14"/>
      <c r="I34" s="14"/>
      <c r="J34" s="14"/>
      <c r="K34" s="14">
        <v>132315311.288948</v>
      </c>
    </row>
    <row r="46" spans="1:42" ht="15" customHeight="1" x14ac:dyDescent="0.25">
      <c r="M46" s="46" t="s">
        <v>62</v>
      </c>
      <c r="N46" s="1"/>
      <c r="O46" s="1"/>
      <c r="P46" s="35">
        <f>-G6/P17</f>
        <v>0</v>
      </c>
      <c r="Q46" s="35">
        <f>-G7/Q17</f>
        <v>0</v>
      </c>
      <c r="R46" s="35">
        <f>-G8/R17</f>
        <v>0</v>
      </c>
      <c r="S46" s="35">
        <f>-G9/S17</f>
        <v>0</v>
      </c>
      <c r="T46" s="35">
        <f>-G10/T17</f>
        <v>0</v>
      </c>
      <c r="U46" s="35">
        <f>-G11/U17</f>
        <v>0.2452835245925882</v>
      </c>
      <c r="V46" s="35">
        <f>-G12/V17</f>
        <v>0.28579763236335587</v>
      </c>
      <c r="W46" s="35">
        <f>-G13/W17</f>
        <v>0.31319430386285996</v>
      </c>
      <c r="X46" s="35">
        <f>-G14/X17</f>
        <v>0.31556418869539282</v>
      </c>
      <c r="Y46" s="35">
        <f>-G15/Y17</f>
        <v>3.1318600096976068E-2</v>
      </c>
      <c r="Z46" s="35">
        <f>-G16/Z17</f>
        <v>0.17259008729144043</v>
      </c>
      <c r="AA46" s="35">
        <f>-G17/AA17</f>
        <v>0.13546458673669007</v>
      </c>
      <c r="AB46" s="35">
        <f>-G18/AB17</f>
        <v>0.40000004543973106</v>
      </c>
      <c r="AC46" s="35">
        <f>-G19/AC17</f>
        <v>0.36642127999328311</v>
      </c>
      <c r="AD46" s="35">
        <f>-G20/AD17</f>
        <v>0.45343648491668709</v>
      </c>
      <c r="AE46" s="35">
        <f>-G21/AE17</f>
        <v>0.37760801386113629</v>
      </c>
      <c r="AF46" s="35">
        <f>-G22/AF17</f>
        <v>0.44466502582522743</v>
      </c>
      <c r="AG46" s="35">
        <f>-G23/AG17</f>
        <v>0.42475077797303035</v>
      </c>
      <c r="AH46" s="35">
        <f>-G24/AH17</f>
        <v>0.41251455875048265</v>
      </c>
      <c r="AI46" s="35">
        <f>-G25/AI17</f>
        <v>0.39934452159264044</v>
      </c>
      <c r="AJ46" s="35">
        <f>-G26/AJ17</f>
        <v>0.31501989903350397</v>
      </c>
      <c r="AK46" s="35">
        <f>-G27/AK17</f>
        <v>0.23829228748273509</v>
      </c>
      <c r="AL46" s="35">
        <f>-G28/AL17</f>
        <v>0.32704925336024043</v>
      </c>
      <c r="AM46" s="35">
        <f>-G29/AM17</f>
        <v>0.39208108856772744</v>
      </c>
      <c r="AN46" s="35">
        <f>-G30/AN17</f>
        <v>0.47810293221793304</v>
      </c>
      <c r="AO46" s="35">
        <f>-G31/AO17</f>
        <v>0.36146497671635514</v>
      </c>
      <c r="AP46" s="35">
        <f>-G32/AP17</f>
        <v>0.42348089218385482</v>
      </c>
    </row>
    <row r="47" spans="1:42" ht="15" customHeight="1" x14ac:dyDescent="0.25">
      <c r="M47" s="39" t="s">
        <v>63</v>
      </c>
      <c r="N47" s="32"/>
      <c r="O47" s="32"/>
      <c r="P47" s="36">
        <f>-G6/P18</f>
        <v>0</v>
      </c>
      <c r="Q47" s="36">
        <f>-G7/Q18</f>
        <v>0</v>
      </c>
      <c r="R47" s="36">
        <f>-G8/R18</f>
        <v>0</v>
      </c>
      <c r="S47" s="36">
        <f>-G9/S18</f>
        <v>0</v>
      </c>
      <c r="T47" s="36">
        <f>-G10/T18</f>
        <v>0</v>
      </c>
      <c r="U47" s="36">
        <f>-G11/U18</f>
        <v>0.54189198438696184</v>
      </c>
      <c r="V47" s="36">
        <f>-G12/V18</f>
        <v>0.5453495030108465</v>
      </c>
      <c r="W47" s="36">
        <f>-G13/W18</f>
        <v>0.56028115448852622</v>
      </c>
      <c r="X47" s="36">
        <f>-G14/X18</f>
        <v>0.5235637507102151</v>
      </c>
      <c r="Y47" s="36">
        <f>-G15/Y18</f>
        <v>4.4722952332983595E-2</v>
      </c>
      <c r="Z47" s="36">
        <f>-G16/Z18</f>
        <v>0.21410778320409832</v>
      </c>
      <c r="AA47" s="36">
        <f>-G17/AA18</f>
        <v>0.19403138137573145</v>
      </c>
      <c r="AB47" s="36">
        <f>-G18/AB18</f>
        <v>0.5257712966162974</v>
      </c>
      <c r="AC47" s="36">
        <f>-G19/AC18</f>
        <v>0.46497367037905296</v>
      </c>
      <c r="AD47" s="36">
        <f>-G20/AD18</f>
        <v>0.62168255612458745</v>
      </c>
      <c r="AE47" s="36">
        <f>-G21/AE18</f>
        <v>0.57307793649897709</v>
      </c>
      <c r="AF47" s="36">
        <f>-G22/AF18</f>
        <v>0.69801318250818689</v>
      </c>
      <c r="AG47" s="36">
        <f>-G23/AG18</f>
        <v>0.61359633099854682</v>
      </c>
      <c r="AH47" s="36">
        <f>-G24/AH18</f>
        <v>0.83056800405451459</v>
      </c>
      <c r="AI47" s="36">
        <f>-G25/AI18</f>
        <v>1.2942251042392996</v>
      </c>
      <c r="AJ47" s="36">
        <f>-G26/AJ18</f>
        <v>3.2979268610099268</v>
      </c>
      <c r="AK47" s="36">
        <f>-G27/AK18</f>
        <v>0.4366569993386728</v>
      </c>
      <c r="AL47" s="36">
        <f>-G28/AL18</f>
        <v>0.58934052589386099</v>
      </c>
      <c r="AM47" s="36">
        <f>-G29/AM18</f>
        <v>0.60578177014356782</v>
      </c>
      <c r="AN47" s="36">
        <f>-G30/AN18</f>
        <v>1.206734329114421</v>
      </c>
      <c r="AO47" s="36">
        <f>-G31/AO18</f>
        <v>1.3472219767332778</v>
      </c>
      <c r="AP47" s="36">
        <f>-G32/AP18</f>
        <v>0.6427674539953111</v>
      </c>
    </row>
    <row r="48" spans="1:42" ht="15" customHeight="1" x14ac:dyDescent="0.25">
      <c r="M48" s="39" t="s">
        <v>64</v>
      </c>
      <c r="N48" s="32"/>
      <c r="O48" s="32"/>
      <c r="P48" s="37">
        <v>0</v>
      </c>
      <c r="Q48" s="37">
        <v>1.5625000268</v>
      </c>
      <c r="R48" s="37">
        <v>3.8669998805999999</v>
      </c>
      <c r="S48" s="37">
        <v>4.7053537392000004</v>
      </c>
      <c r="T48" s="37">
        <v>4.2731994562000004</v>
      </c>
      <c r="U48" s="37">
        <v>2.8593654179999999</v>
      </c>
      <c r="V48" s="37">
        <v>7.0036969271</v>
      </c>
      <c r="W48" s="37">
        <v>3.4214583332999999</v>
      </c>
      <c r="X48" s="37">
        <v>4.8197907691999999</v>
      </c>
      <c r="Y48" s="37">
        <v>2.5879146919</v>
      </c>
      <c r="Z48" s="37">
        <v>7.529859375</v>
      </c>
      <c r="AA48" s="37">
        <v>2.7485017548999999</v>
      </c>
      <c r="AB48" s="37">
        <v>7.7500052624000002</v>
      </c>
      <c r="AC48" s="37">
        <v>4.8026335008999999</v>
      </c>
      <c r="AD48" s="37">
        <v>5.8970946989000002</v>
      </c>
      <c r="AE48" s="37">
        <v>7.9577696849999997</v>
      </c>
      <c r="AF48" s="37">
        <v>6.3424473266000003</v>
      </c>
      <c r="AG48" s="37">
        <v>9.7291411265000001</v>
      </c>
      <c r="AH48" s="37">
        <v>6.9810601798</v>
      </c>
      <c r="AI48" s="37">
        <v>13.986676435</v>
      </c>
      <c r="AJ48" s="37">
        <v>3.2497850968000002</v>
      </c>
      <c r="AK48" s="37">
        <v>2.9708257438999999</v>
      </c>
      <c r="AL48" s="37">
        <v>3.2593844481000001</v>
      </c>
      <c r="AM48" s="37">
        <v>4.8321829575999997</v>
      </c>
      <c r="AN48" s="37">
        <v>3.8051984309</v>
      </c>
      <c r="AO48" s="37">
        <v>7.8531088543000003</v>
      </c>
      <c r="AP48" s="37">
        <v>11.99389148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49"/>
  <sheetViews>
    <sheetView showGridLines="0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9" width="14.28515625" customWidth="1"/>
    <col min="20" max="29" width="15.28515625" customWidth="1"/>
    <col min="30" max="30" width="16.28515625" customWidth="1"/>
    <col min="31" max="31" width="11.85546875" customWidth="1"/>
    <col min="32" max="42" width="16.28515625" customWidth="1"/>
    <col min="43" max="43" width="14.5703125" customWidth="1"/>
    <col min="44" max="44" width="14.7109375" customWidth="1"/>
  </cols>
  <sheetData>
    <row r="1" spans="1:44" ht="15" customHeight="1" x14ac:dyDescent="0.25">
      <c r="A1" s="6" t="s">
        <v>0</v>
      </c>
      <c r="M1" t="s">
        <v>1</v>
      </c>
      <c r="N1" s="7">
        <v>0.1714</v>
      </c>
    </row>
    <row r="2" spans="1:44" ht="15" customHeight="1" x14ac:dyDescent="0.25">
      <c r="A2" s="6"/>
    </row>
    <row r="3" spans="1:44" ht="15" customHeight="1" x14ac:dyDescent="0.25">
      <c r="M3" s="2" t="s">
        <v>2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4">
        <v>994191</v>
      </c>
      <c r="C5" s="14">
        <v>250299</v>
      </c>
      <c r="D5" s="15">
        <v>0</v>
      </c>
      <c r="E5" s="14">
        <v>1524704</v>
      </c>
      <c r="F5" s="15">
        <v>0</v>
      </c>
      <c r="G5" s="15">
        <v>0</v>
      </c>
      <c r="H5" s="15">
        <v>0</v>
      </c>
      <c r="I5" s="14">
        <v>6840157</v>
      </c>
      <c r="J5" s="17">
        <v>9.9970386994999993E-2</v>
      </c>
      <c r="K5" s="14">
        <v>2760132.7610999998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4">
        <v>1263852</v>
      </c>
      <c r="C6" s="14">
        <v>324894</v>
      </c>
      <c r="D6" s="15">
        <v>0</v>
      </c>
      <c r="E6" s="14">
        <v>1737525</v>
      </c>
      <c r="F6" s="15">
        <v>0</v>
      </c>
      <c r="G6" s="15">
        <v>0</v>
      </c>
      <c r="H6" s="20">
        <v>11.124999557000001</v>
      </c>
      <c r="I6" s="14">
        <v>7229720</v>
      </c>
      <c r="J6" s="17">
        <v>0.16739063001999999</v>
      </c>
      <c r="K6" s="14">
        <v>4191067.5043000001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4">
        <v>1350303</v>
      </c>
      <c r="C7" s="14">
        <v>456323</v>
      </c>
      <c r="D7" s="15">
        <v>0</v>
      </c>
      <c r="E7" s="14">
        <v>2154619</v>
      </c>
      <c r="F7" s="15">
        <v>0</v>
      </c>
      <c r="G7" s="15">
        <v>0</v>
      </c>
      <c r="H7" s="20">
        <v>2.1535395904999999</v>
      </c>
      <c r="I7" s="14">
        <v>7023486</v>
      </c>
      <c r="J7" s="17">
        <v>0.19774312396999999</v>
      </c>
      <c r="K7" s="14">
        <v>5119656.2489999998</v>
      </c>
      <c r="M7" s="1" t="s">
        <v>20</v>
      </c>
      <c r="N7" s="1"/>
      <c r="O7" s="5"/>
      <c r="P7" s="4">
        <f>((D5+E5)*P5)</f>
        <v>145761.70240000001</v>
      </c>
      <c r="Q7" s="4">
        <f>((D6+E6+P7+P8)*Q5)</f>
        <v>98838.588311640007</v>
      </c>
      <c r="R7" s="4">
        <f>((D7+E7+Q7+P7+P8+Q8)*R5)</f>
        <v>40176.619579333223</v>
      </c>
      <c r="S7" s="4">
        <f>((D8+E8+R7+Q7+P7+SUM($P$8:R8))*S5)</f>
        <v>216480.04866255302</v>
      </c>
      <c r="T7" s="4">
        <f>((D9+E9+S7+R7+Q7+P7+SUM($P$8:S8))*T5)</f>
        <v>251535.87697741555</v>
      </c>
      <c r="U7" s="4">
        <f>((D10+E10+T7+S7+R7+Q7+P7+SUM($P$8:T8))*U5)</f>
        <v>309305.71002054826</v>
      </c>
      <c r="V7" s="4">
        <f>((D11+E11+U7+T7+S7+R7+Q7+P7+SUM($P$8:U8))*V5)</f>
        <v>553583.02010715671</v>
      </c>
      <c r="W7" s="4">
        <f>((D12+E12+V7+U7+T7+S7+R7+Q7+P7+SUM($P$8:V8))*W5)</f>
        <v>463506.19985585398</v>
      </c>
      <c r="X7" s="4">
        <f>((D13+E13+W7+V7+U7+T7+S7+R7+Q7+P7+SUM($P$8:W8))*X5)</f>
        <v>483773.03562030196</v>
      </c>
      <c r="Y7" s="4">
        <f>((D14+E14+X7+W7+V7+U7+T7+S7+R7+Q7+P7+SUM($P$8:X8))*Y5)</f>
        <v>470361.0843661002</v>
      </c>
      <c r="Z7" s="4">
        <f>((E14+F14+Y7+X7+W7+V7+U7+T7+S7+R7+Q7+P7+SUM($P$8:Y8))*Z5)</f>
        <v>274222.38389718835</v>
      </c>
      <c r="AA7" s="4">
        <f>((D16+E16+Z7+Y7+X7+W7+V7+U7+T7+S7+R7+P7+Q7+SUM($P$8:Z8))*AA5)</f>
        <v>410213.99046061491</v>
      </c>
      <c r="AB7" s="4">
        <f>((D17+E17+AA7+Z7+Y7+X7+W7+V7+U7+T7+S7+P7+Q7+R7+SUM($P$8:AA8))*AB5)</f>
        <v>558989.92312286363</v>
      </c>
      <c r="AC7" s="4">
        <f>((D18+E18+AB7+AA7+Z7+Y7+X7+W7+V7+U7+T7+S7+R7+Q7+P7+SUM($P$8:AB8))*AC5)</f>
        <v>489652.77678958577</v>
      </c>
      <c r="AD7" s="4">
        <f>((D19+E19+AC7+AB7+AA7+Z7+Y7+X7+W7+V7+U7+T7+S7+R7+Q7+P7+SUM($P$8:AC8))*AD5)</f>
        <v>682995.96573830047</v>
      </c>
      <c r="AE7" s="4">
        <f>((D20+E20+AD7+AC7+AB7+AA7+Z7+Y7+X7+W7+V7+U7+T7+S7+R7+Q7+P7+SUM($P$8:AD8))*AE5)</f>
        <v>2114062.072996865</v>
      </c>
      <c r="AF7" s="4">
        <f>((E20+F20+AE7+AD7+AC7+AB7+AA7+Z7+Y7+X7+W7+V7+U7+T7+S7+R7+Q7+P7+SUM($P$8:AE8))*AF5)</f>
        <v>903016.62972896942</v>
      </c>
      <c r="AG7" s="4">
        <f>((D22+E22+AF7+AE7+AD7+AC7+AB7+AA7+Z7+Y7+X7+W7+V7+U7+T7+R7+S7+Q7+P7+SUM($P$8:AF8))*AG5)</f>
        <v>2588839.9647825602</v>
      </c>
      <c r="AH7" s="4">
        <f>((E22+F22+AG7+AF7+AE7+AD7+AC7+AB7+AA7+Z7+Y7+X7+W7+V7+U7+S7+T7+R7+Q7+P7+SUM($P$8:AG8))*AH5)</f>
        <v>1525680.2506704445</v>
      </c>
      <c r="AI7" s="4">
        <f>((F22+G22+AH7+AG7+AF7+AE7+AD7+AC7+AB7+AA7+Z7+Y7+X7+W7+V7+T7+U7+S7+R7+Q7+P7+SUM($P$8:AH8))*AI5)</f>
        <v>912862.03005097585</v>
      </c>
      <c r="AJ7" s="4">
        <f>((G22+H22+AI7+AH7+AG7+AF7+AE7+AD7+AC7+AB7+AA7+Z7+Y7+X7+W7+U7+V7+T7+S7+R7+Q7+P7+SUM($P$8:AI8))*AJ5)</f>
        <v>621518.90408806235</v>
      </c>
      <c r="AK7" s="4">
        <f>((H22+I22+AJ7+AI7+AH7+AG7+AF7+AE7+AD7+AC7+AB7+AA7+Z7+Y7+X7+V7+W7+U7+T7+S7+R7+Q7+P7+SUM($P$8:AJ8))*AK5)</f>
        <v>562593.66257718334</v>
      </c>
      <c r="AL7" s="4">
        <f>((D27+E27+AK7+AJ7+AI7+AH7+AG7+AF7+AE7+AD7+AC7++AB7+AA7+Z7+Y7+X7+W7+V7+U7+T7+S7+R7+Q7+P7+SUM($P$8:AK8))*AL5)</f>
        <v>2677701.7865739185</v>
      </c>
      <c r="AM7" s="4">
        <f>((E27+F27+AL7+AK7+AJ7+AI7+AH7+AG7+AF7+AE7+AD7++AC7+AB7+AA7+Z7+Y7+X7+W7+V7+U7+T7+S7+R7+Q7+P7+SUM($P$8:AL8))*AM5)</f>
        <v>1652631.5496150856</v>
      </c>
      <c r="AN7" s="4">
        <f>((F27+G27+AM7+AL7+AK7+AJ7+AI7+AH7+AG7+AF7+AE7++AD7+AC7+AB7+AA7+Z7+Y7+X7+W7+V7+U7+T7+S7+R7+Q7+P7+SUM($P$8:AM8))*AN5)</f>
        <v>562014.45924312726</v>
      </c>
      <c r="AO7" s="4">
        <f>((G27+H27+AN7+AM7+AL7+AK7+AJ7+AI7+AH7+AG7+AF7++AE7+AD7+AC7+AB7+AA7+Z7+Y7+X7+W7+V7+U7+T7+S7+R7+Q7+P7+SUM($P$8:AN8))*AO5)</f>
        <v>1302734.5485379316</v>
      </c>
      <c r="AP7" s="4">
        <f>((H27+I27+AO7+AN7+AM7+AL7+AK7+AJ7+AI7+AH7+AG7++AF7+AE7+AD7+AC7+AB7+AA7+Z7+Y7+X7+W7+V7+U7+T7+S7+R7+Q7+P7+SUM($P$8:AO8))*AP5)</f>
        <v>2268658.1344058048</v>
      </c>
      <c r="AQ7" s="4">
        <f>((I27+J27+AP7+AO7+AN7+AM7+AL7+AK7+AJ7+AI7+AH7++AG7+AF7+AE7+AD7+AC7+AB7+AA7+Z7+Y7+X7+W7+V7+U7+T7+S7+R7+Q7+P7+SUM($P$8:AP8))*AQ5)</f>
        <v>1860137.8711499304</v>
      </c>
      <c r="AR7" s="4">
        <f>((J27+K27+AQ7+AP7+AO7+AN7+AM7+AL7+AK7+AJ7+AI7++AH7+AG7+AF7+AE7+AD7+AC7+AB7+AA7+Z7+Y7+X7+W7+V7+U7+T7+S7+R7+Q7+P7+SUM($P$8:AQ8))*AR5)</f>
        <v>17377275.803362101</v>
      </c>
    </row>
    <row r="8" spans="1:44" ht="15" customHeight="1" x14ac:dyDescent="0.25">
      <c r="A8" s="13" t="s">
        <v>21</v>
      </c>
      <c r="B8" s="14">
        <v>1428416</v>
      </c>
      <c r="C8" s="14">
        <v>329098</v>
      </c>
      <c r="D8" s="15">
        <v>0</v>
      </c>
      <c r="E8" s="14">
        <v>2115962</v>
      </c>
      <c r="F8" s="15">
        <v>0</v>
      </c>
      <c r="G8" s="15">
        <v>0</v>
      </c>
      <c r="H8" s="20">
        <v>3.0130756342999998</v>
      </c>
      <c r="I8" s="14">
        <v>6877754</v>
      </c>
      <c r="J8" s="17">
        <v>0.15501532478999999</v>
      </c>
      <c r="K8" s="14">
        <v>3636725.3818999999</v>
      </c>
      <c r="M8" s="1" t="s">
        <v>22</v>
      </c>
      <c r="N8" s="1"/>
      <c r="O8" s="4"/>
      <c r="P8" s="4">
        <f>((D6+E6)-(D5+E5))*(P5^1/2)</f>
        <v>10172.843800000001</v>
      </c>
      <c r="Q8" s="4">
        <f>((D7+E7)-(D6+E6))*(Q5^1/2)</f>
        <v>10886.153400000001</v>
      </c>
      <c r="R8" s="4">
        <f>((D8+E8)-(D7+E7))*(R5^1/2)</f>
        <v>-320.85309999999998</v>
      </c>
      <c r="S8" s="4">
        <f>((D9+E9)-(D8+E8))*(S5^1/2)</f>
        <v>67406.169599999994</v>
      </c>
      <c r="T8" s="4">
        <f>((D10+E10)-(D9+E9))*(T5^1/2)</f>
        <v>-12527.17935</v>
      </c>
      <c r="U8" s="4">
        <f>((D11+E11)-(D10+E10))*(U5^1/2)</f>
        <v>2810.1346000000003</v>
      </c>
      <c r="V8" s="4">
        <f>((D12+E12)-(D11+E11))*(V5^1/2)</f>
        <v>724.79784999999993</v>
      </c>
      <c r="W8" s="4">
        <f>((D13+E13)-(D12+E12))*(W5^1/2)</f>
        <v>40789.8465</v>
      </c>
      <c r="X8" s="4">
        <f>((D14+E14)-(D13+E13))*(X5^1/2)</f>
        <v>51883.68</v>
      </c>
      <c r="Y8" s="4">
        <f>((D15+E15)-(D14+E14))*(Y5^1/2)</f>
        <v>-3615.5398</v>
      </c>
      <c r="Z8" s="4">
        <f>((E15+F15)-(E14+F14))*(Z5^1/2)</f>
        <v>-1995.2187999999999</v>
      </c>
      <c r="AA8" s="4">
        <f>((D17+E17)-(D16+E16))*(AA5^1/2)</f>
        <v>-2910.6183000000001</v>
      </c>
      <c r="AB8" s="4">
        <f>((D18+E18)-(D17+E17))*(AB5^1/2)</f>
        <v>38037.89</v>
      </c>
      <c r="AC8" s="4">
        <f>((D19+E19)-(D18+E18))*(AC5^1/2)</f>
        <v>-6199.7410499999996</v>
      </c>
      <c r="AD8" s="4">
        <f>((D20+E20)-(D19+E19))*(AD5/2)</f>
        <v>582200.60100000002</v>
      </c>
      <c r="AE8" s="4">
        <f>((D21+E21)-(D20+E20))*(AE5^1/2)</f>
        <v>71011.557499999995</v>
      </c>
      <c r="AF8" s="4">
        <f>((D22+E22)-(D21+E21))*(AF5^1/2)</f>
        <v>170436.5748</v>
      </c>
      <c r="AG8" s="4">
        <f>((D23+E23)-(D22+E22))*(AG5^1/2)</f>
        <v>291165.28094999999</v>
      </c>
      <c r="AH8" s="4">
        <f>((D24+E24)-(D23+E23))*(AH5^1/2)</f>
        <v>90554.743050000005</v>
      </c>
      <c r="AI8" s="4">
        <f>((D25+E25)-(D24+E24))*(AI5^1/2)</f>
        <v>436802.53815000004</v>
      </c>
      <c r="AJ8" s="4">
        <f>((D26+E26)-(D25+E25))*(AJ5^1/2)</f>
        <v>-8630.9493000000002</v>
      </c>
      <c r="AK8" s="4">
        <f>((D27+E27)-(D26+E26))*(AK5/2)</f>
        <v>-177.17699999999999</v>
      </c>
      <c r="AL8" s="4">
        <f>((D28+E28)-(D27+E27))*(AL5^1/2)</f>
        <v>99653.71875</v>
      </c>
      <c r="AM8" s="4">
        <f>((D29+E29)-(D28+E28))*(AM5^1/2)</f>
        <v>79278.183099999995</v>
      </c>
      <c r="AN8" s="4">
        <f>((D30+E30)-(D29+E29))*(AN5^1/2)</f>
        <v>191643.38959999999</v>
      </c>
      <c r="AO8" s="4">
        <f>((D31+E31)-(D30+E30))*(AO5^1/2)</f>
        <v>399994.05040000001</v>
      </c>
      <c r="AP8" s="4">
        <f>((D32+E32)-(D31+E31))*(AP5^1/2)</f>
        <v>-1188300.1122000001</v>
      </c>
      <c r="AQ8" s="4">
        <f>((D32+E32)-(D31+E31))*(AQ5^1/2)</f>
        <v>-948177.2916</v>
      </c>
      <c r="AR8" s="4">
        <f>((E32+F32)-(E31+F31))*(AR5^1/2)</f>
        <v>20725.4817</v>
      </c>
    </row>
    <row r="9" spans="1:44" ht="15" customHeight="1" x14ac:dyDescent="0.25">
      <c r="A9" s="13" t="s">
        <v>23</v>
      </c>
      <c r="B9" s="14">
        <v>1406790</v>
      </c>
      <c r="C9" s="14">
        <v>-310682</v>
      </c>
      <c r="D9" s="15">
        <v>0</v>
      </c>
      <c r="E9" s="14">
        <v>3623930</v>
      </c>
      <c r="F9" s="15">
        <v>0</v>
      </c>
      <c r="G9" s="15">
        <v>0</v>
      </c>
      <c r="H9" s="20">
        <v>2.5507234310000002</v>
      </c>
      <c r="I9" s="14">
        <v>6909571</v>
      </c>
      <c r="J9" s="17">
        <v>0.25680860637000003</v>
      </c>
      <c r="K9" s="14">
        <v>7755083.4296000004</v>
      </c>
      <c r="M9" s="1" t="s">
        <v>24</v>
      </c>
      <c r="N9" s="1"/>
      <c r="O9" s="4"/>
      <c r="P9" s="4">
        <f>+B5*P5</f>
        <v>95044.659599999999</v>
      </c>
      <c r="Q9" s="4">
        <f>+(B6+P9+P10+P14)*Q5</f>
        <v>74112.857711639997</v>
      </c>
      <c r="R9" s="4">
        <f>+(B7+Q9+P9+P10+Q10+P14+Q14)*R5</f>
        <v>26358.143134033529</v>
      </c>
      <c r="S9" s="4">
        <f>+(B8+R9+Q9+P9+P10+Q10+R10+P14+Q14+R14)*S5</f>
        <v>148234.18733154269</v>
      </c>
      <c r="T9" s="4">
        <f>+(B9+S9+R9+Q9+P9+P10+Q10+R10+S10+P14+Q14+R14+S14)*T5</f>
        <v>111098.44374897979</v>
      </c>
      <c r="U9" s="4">
        <f>+(B10+T9+S9+R9+Q9+P9+P10+Q10+R10+S10+T10+P14+Q14+R14+S14+T14)*U5</f>
        <v>280383.27620632591</v>
      </c>
      <c r="V9" s="4">
        <f>+(B11+U9+T9+S9+R9+Q9+P9+P10+Q10+R10+S10+T10+U10+P14+Q14+R14+S14+T14+U14)*V5</f>
        <v>512072.77869477135</v>
      </c>
      <c r="W9" s="4">
        <f>+(B12+V9+U9+T9+S9+R9+Q9+P9+P10+Q10+R10+S10+T10+U10+V10+P14+Q14+R14+S14+T14+U14+V14)*W5</f>
        <v>479758.81306417711</v>
      </c>
      <c r="X9" s="4">
        <f>+(B13+W9+V9+U9+T9+S9+R9+Q9+P9+P10+Q10+R10+S10+T10+U10+V10+W10+P14+Q14+R14+S14+T14+U14+V14+W14)*X5</f>
        <v>415416.35148697969</v>
      </c>
      <c r="Y9" s="4">
        <f>+(B14+X9+W9+V9+U9+T9+S9+R9+Q9+P9+P10+Q10+R10+S10+T10+U10+V10+W10+X10+P14+Q14+R14+S14+T14+U14+V14+W14+X14)*Y5</f>
        <v>1035142.8410746729</v>
      </c>
      <c r="Z9" s="4">
        <f>+(B15+Y9+X9+W9+V9+U9+T9+S9+R9+Q9+P9+P10+Q10+R10+S10+T10+U10+V10+W10+X10+Y10+P14+Q14+R14+S14+T14+U14+V14+W14+X14+Y14)*Z5</f>
        <v>656511.05401876848</v>
      </c>
      <c r="AA9" s="4">
        <f>+(B16+Z9+Y9+X9+W9+V9+U9+T9+S9+R9+Q9+P9+P10+Q10+R10+S10+T10+U10+V10+W10+X10+Y10+Z10+P14+Q14+R14+S14+T14+U14+V14+W14+X14+Y14+Z14)*AA5</f>
        <v>885598.24301506719</v>
      </c>
      <c r="AB9" s="4">
        <f>+(B17+AA9+Z9+Y9+X9+W9+V9+U9+T9+S9+R9+Q9+P9+P10+Q10+R10+S10+T10+U10+V10+W10+X10+Y10+Z10+AA10+P14+Q14+R14+S14+T14+U14+V14+W14+X14+Y14+Z14+AA14)*AB5</f>
        <v>1038996.8923778407</v>
      </c>
      <c r="AC9" s="4">
        <f>+(B18+AB9+AA9+Z9+Y9+X9+W9+V9+U9+T9+S9+R9+Q9+P9+P10+Q10+R10+S10+T10+U10+V10+W10+X10+Y10+Z10+AA10+AB10+P14+Q14+R14+S14+T14+U14+V14+W14+X14+Y14+Z14+AA14+AB14)*AC5</f>
        <v>738662.40621692233</v>
      </c>
      <c r="AD9" s="4">
        <f>+(B19+AC9+AB9+AA9+Z9+Y9+X9+W9+V9+U9+T9+S9+R9+Q9+P9+P10+Q10+R10+S10+T10+U10+V10+W10+X10+Y10+Z10+AA10+AB10+AC10+P14+Q14+R14+S14+T14+U14+V14+W14+X14+Y14+Z14+AA14+AB14+AC14)*AD5</f>
        <v>1258086.2702610549</v>
      </c>
      <c r="AE9" s="4">
        <f>+(B20+AD9+AC9+AB9+AA9+Z9+Y9+X9+W9+V9+U9+T9+S9+R9+Q9+P9+P10+Q10+R10+S10+T10+U10+V10+W10+X10+Y10+Z10+AA10+AB10+AC10+AD10+P14+Q14+S14++R14+T14+U14+V14+W14+X14+Y14+Z14+AA14+AB14+AC14+AD14)*AE5</f>
        <v>1538687.8679159505</v>
      </c>
      <c r="AF9" s="4">
        <f>+(B21+AE9+AD9+AC9+AB9+AA9+Z9+Y9+X9+W9+V9+U9+T9+S9+R9+Q9+P9+P10+Q10+R10+S10+T10+U10+V10+W10+X10+Y10+Z10+AA10+AB10+AC10+AD10+AE10+P14+Q14+R14+S14+T14+U14+V14+W14+X14+Y14+Z14+AA14+AB14+AC14+AD14+AE14)*AF5</f>
        <v>1493356.8179457244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1647443.0538340982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2717499.0527106705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4308850.3523645997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2780436.9175026189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1097591.6604615969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1297876.1957120474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1858697.9934654604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2011716.1785915729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5227041.702706527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3237994.5620519561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2266506.49984281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1893978.0471277032</v>
      </c>
    </row>
    <row r="10" spans="1:44" ht="15" customHeight="1" x14ac:dyDescent="0.25">
      <c r="A10" s="13" t="s">
        <v>25</v>
      </c>
      <c r="B10" s="14">
        <v>3076945</v>
      </c>
      <c r="C10" s="14">
        <v>470182</v>
      </c>
      <c r="D10" s="15">
        <v>0</v>
      </c>
      <c r="E10" s="14">
        <v>3204259</v>
      </c>
      <c r="F10" s="15">
        <v>0</v>
      </c>
      <c r="G10" s="15">
        <v>0</v>
      </c>
      <c r="H10" s="20">
        <v>2.1166170266000002</v>
      </c>
      <c r="I10" s="14">
        <v>38646080</v>
      </c>
      <c r="J10" s="17">
        <v>0.74135030024000004</v>
      </c>
      <c r="K10" s="14">
        <v>18163657.557999998</v>
      </c>
      <c r="M10" s="22" t="s">
        <v>26</v>
      </c>
      <c r="N10" s="22"/>
      <c r="O10" s="23"/>
      <c r="P10" s="23">
        <f>((B6-B5)*(P5^1/2))</f>
        <v>12889.7958</v>
      </c>
      <c r="Q10" s="23">
        <f>((B7-B6)*(Q5^1/2))</f>
        <v>2256.3711000000003</v>
      </c>
      <c r="R10" s="23">
        <f>((B8-B7)*(R5/2))</f>
        <v>648.33789999999999</v>
      </c>
      <c r="S10" s="23">
        <f>((B9-B8)*(S5/2))</f>
        <v>-966.68219999999997</v>
      </c>
      <c r="T10" s="23">
        <f>((B10-B9)*(T5^1/2))</f>
        <v>49854.126750000003</v>
      </c>
      <c r="U10" s="23">
        <f>((B11-B10)*(U5^1/2))</f>
        <v>10986.968200000001</v>
      </c>
      <c r="V10" s="23">
        <f>((B12-B11)*(V5^1/2))</f>
        <v>48003.056499999999</v>
      </c>
      <c r="W10" s="23">
        <f>((B13-B12)*(W5/2))</f>
        <v>8303.5049999999992</v>
      </c>
      <c r="X10" s="23">
        <f>((B14-B13)*(X5/2))</f>
        <v>482134.95600000001</v>
      </c>
      <c r="Y10" s="23">
        <f>((B15-B14)*(Y5/2))</f>
        <v>81690.191999999995</v>
      </c>
      <c r="Z10" s="23">
        <f>((B16-B15)*(Z5/2))</f>
        <v>-9408.6331999999984</v>
      </c>
      <c r="AA10" s="23">
        <f>((B17-B16)*(AA5/2))</f>
        <v>-41212.919900000001</v>
      </c>
      <c r="AB10" s="23">
        <f>((B18-B17)*(AB5^1/2))</f>
        <v>-4183.4539999999997</v>
      </c>
      <c r="AC10" s="23">
        <f>((B19-B18)*(AC5^1/2))</f>
        <v>102132.17359999999</v>
      </c>
      <c r="AD10" s="23">
        <f>((B20-B19)*(AD5/2))</f>
        <v>69277.404150000002</v>
      </c>
      <c r="AE10" s="23">
        <f>((B21-B20)*(AE5^1/2))</f>
        <v>40607.352500000001</v>
      </c>
      <c r="AF10" s="23">
        <f>((B22-B21)*(AF5^1/2))</f>
        <v>94970.780800000008</v>
      </c>
      <c r="AG10" s="23">
        <f>((B23-B22)*(AG5/2))</f>
        <v>412962.25469999999</v>
      </c>
      <c r="AH10" s="23">
        <f>((B24-B23)*(AH5/2))</f>
        <v>-19780.747200000002</v>
      </c>
      <c r="AI10" s="23">
        <f>((B25-B24)*(AI5^1/2))</f>
        <v>325983.91814999998</v>
      </c>
      <c r="AJ10" s="23">
        <f>((B26-B25)*(AJ5/2))</f>
        <v>-110289.96075</v>
      </c>
      <c r="AK10" s="23">
        <f>((B27-B26)*(AK5/2))</f>
        <v>17460.548500000001</v>
      </c>
      <c r="AL10" s="23">
        <f>((B28-B27)*(AL5^1/2))</f>
        <v>193721.41874999998</v>
      </c>
      <c r="AM10" s="23">
        <f>((B29-B28)*(AM5/2))</f>
        <v>106401.0131</v>
      </c>
      <c r="AN10" s="23">
        <f>((B30-B29)*(AN5/2))</f>
        <v>283349.82779999997</v>
      </c>
      <c r="AO10" s="23">
        <f>((B31-B30)*(AO5/2))</f>
        <v>444018.37089999998</v>
      </c>
      <c r="AP10" s="23">
        <f>((B32-B31)*(AP5^1/2))</f>
        <v>-19901.12745</v>
      </c>
      <c r="AQ10" s="23">
        <f>((C32-C31)*(AQ5/2))</f>
        <v>41278.129199999996</v>
      </c>
      <c r="AR10" s="23">
        <f>((D32-D31)*(AR5^1/2))</f>
        <v>-1011355.5112500001</v>
      </c>
    </row>
    <row r="11" spans="1:44" ht="15" customHeight="1" x14ac:dyDescent="0.25">
      <c r="A11" s="13" t="s">
        <v>27</v>
      </c>
      <c r="B11" s="14">
        <v>3363437</v>
      </c>
      <c r="C11" s="14">
        <v>784568</v>
      </c>
      <c r="D11" s="15">
        <v>0</v>
      </c>
      <c r="E11" s="14">
        <v>3277535</v>
      </c>
      <c r="F11" s="15">
        <v>0</v>
      </c>
      <c r="G11" s="15">
        <v>0</v>
      </c>
      <c r="H11" s="20">
        <v>0.78703402222999996</v>
      </c>
      <c r="I11" s="14">
        <v>38620925</v>
      </c>
      <c r="J11" s="17">
        <v>0.67967433671999999</v>
      </c>
      <c r="K11" s="14">
        <v>17424971.035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4">
        <v>4129647</v>
      </c>
      <c r="C12" s="14">
        <v>1510313</v>
      </c>
      <c r="D12" s="15">
        <v>0</v>
      </c>
      <c r="E12" s="14">
        <v>3289104</v>
      </c>
      <c r="F12" s="15">
        <v>0</v>
      </c>
      <c r="G12" s="15">
        <v>0</v>
      </c>
      <c r="H12" s="20">
        <v>1.8540795552</v>
      </c>
      <c r="I12" s="14">
        <v>38258067</v>
      </c>
      <c r="J12" s="17">
        <v>0.77487632161999997</v>
      </c>
      <c r="K12" s="14">
        <v>19685615.545000002</v>
      </c>
      <c r="M12" s="1" t="s">
        <v>30</v>
      </c>
      <c r="N12" s="1"/>
      <c r="O12" s="1"/>
      <c r="P12" s="4">
        <v>0</v>
      </c>
      <c r="Q12" s="24">
        <f>-($P$7+$P$8)*$N$1</f>
        <v>-26727.181218680002</v>
      </c>
      <c r="R12" s="24">
        <f>-((($P$7+$P$8)*(1+Q5))+($Q$7+$Q$8))*N1</f>
        <v>-46929.160807670196</v>
      </c>
      <c r="S12" s="24">
        <f>-((($P$7+$P$8)*(1+Q5)*(1+R5))+(($Q$7+$Q$8)*(1+R5))+((R7+R8)))*$N$1</f>
        <v>-54539.463251635236</v>
      </c>
      <c r="T12" s="24">
        <f>-((($P$7+$P$8)*(1+R5)*(1+S5)*(1+Q5))+(($Q$7+$Q$8)*(1+S5)*(1+R5))+((R7+R8)*(1+S5))+((S7+S8)))*$N$1</f>
        <v>-108073.389076533</v>
      </c>
      <c r="U12" s="24">
        <f>-((($P$7+$P$8)*(1+T5)*(1+R5)*(1+S5)*(1+Q5))+(($Q$7+$Q$8)*(1+T5)*(1+S5)*(1+R5))+((R7+R8)*(1+S5)*(1+T5))+((S7+S8)*(1+T5))+(T7+T8))*$N$1</f>
        <v>-155491.46117774106</v>
      </c>
      <c r="V12" s="24">
        <f>-((($P$7+$P$8)*(1+U5)*(1+S5)*(1+T5)*(1+R5)*(1+Q5))+(($Q$7+$Q$8)*(1+U5)*(1+T5)*(1+S5)*(1+R5))+(($R$7+$R$8)*(1+U5)*(1+T5)*(1+S5))+((S7+S8)*(1+T5)*(1+U5))+((T7+T8)*(1+U5))+(U7+U8))*$N$1</f>
        <v>-220914.31201803574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-343603.2353117523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-461994.67854113854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-588917.83516758494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-702427.44632724999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-771143.40423958388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-875348.19805699878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-1029324.3089116204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-1156552.036951476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-1441758.9538742532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-1909994.9061432423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-2205528.4879182726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-2829508.1206728038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-3287902.2691316148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-3860796.4333244264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-4218210.3591282098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-4427906.4319059327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-5069082.6373384483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-5587055.9831442358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-5964822.503157041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-6861005.5424269261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-7428261.1550803343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-7287506.8536095554</v>
      </c>
    </row>
    <row r="13" spans="1:44" ht="15" customHeight="1" x14ac:dyDescent="0.25">
      <c r="A13" s="13" t="s">
        <v>31</v>
      </c>
      <c r="B13" s="14">
        <v>4308217</v>
      </c>
      <c r="C13" s="14">
        <v>1411570</v>
      </c>
      <c r="D13" s="15">
        <v>0</v>
      </c>
      <c r="E13" s="14">
        <v>4166305</v>
      </c>
      <c r="F13" s="15">
        <v>0</v>
      </c>
      <c r="G13" s="15">
        <v>0</v>
      </c>
      <c r="H13" s="20">
        <v>4.1353385827000002</v>
      </c>
      <c r="I13" s="14">
        <v>37912634</v>
      </c>
      <c r="J13" s="17">
        <v>1.0808547806</v>
      </c>
      <c r="K13" s="14">
        <v>26391777.998</v>
      </c>
      <c r="M13" t="s">
        <v>32</v>
      </c>
      <c r="P13">
        <v>0</v>
      </c>
      <c r="Q13" s="24">
        <f t="shared" ref="Q13:AR13" si="0">Q12*Q5</f>
        <v>-1395.1588596150962</v>
      </c>
      <c r="R13" s="24">
        <f t="shared" si="0"/>
        <v>-779.02406940732521</v>
      </c>
      <c r="S13" s="24">
        <f t="shared" si="0"/>
        <v>-4875.8280146961897</v>
      </c>
      <c r="T13" s="24">
        <f t="shared" si="0"/>
        <v>-6451.9813278690208</v>
      </c>
      <c r="U13" s="24">
        <f t="shared" si="0"/>
        <v>-11926.195072332741</v>
      </c>
      <c r="V13" s="24">
        <f t="shared" si="0"/>
        <v>-27680.563295859876</v>
      </c>
      <c r="W13" s="24">
        <f t="shared" si="0"/>
        <v>-31955.100883992964</v>
      </c>
      <c r="X13" s="24">
        <f t="shared" si="0"/>
        <v>-35111.595569126526</v>
      </c>
      <c r="Y13" s="24">
        <f t="shared" si="0"/>
        <v>-33509.42482103558</v>
      </c>
      <c r="Z13" s="24">
        <f t="shared" si="0"/>
        <v>-22056.221814675646</v>
      </c>
      <c r="AA13" s="24">
        <f t="shared" si="0"/>
        <v>-34392.995829085441</v>
      </c>
      <c r="AB13" s="24">
        <f t="shared" si="0"/>
        <v>-51645.543685362922</v>
      </c>
      <c r="AC13" s="24">
        <f t="shared" si="0"/>
        <v>-44363.877714090842</v>
      </c>
      <c r="AD13" s="24">
        <f t="shared" si="0"/>
        <v>-68352.225383832236</v>
      </c>
      <c r="AE13" s="24">
        <f t="shared" si="0"/>
        <v>-93714.332001826464</v>
      </c>
      <c r="AF13" s="24">
        <f t="shared" si="0"/>
        <v>-111543.70251876535</v>
      </c>
      <c r="AG13" s="24">
        <f t="shared" si="0"/>
        <v>-130346.73363596991</v>
      </c>
      <c r="AH13" s="24">
        <f t="shared" si="0"/>
        <v>-181371.47053512675</v>
      </c>
      <c r="AI13" s="24">
        <f t="shared" si="0"/>
        <v>-350819.17211634334</v>
      </c>
      <c r="AJ13" s="24">
        <f t="shared" si="0"/>
        <v>-242844.09565610642</v>
      </c>
      <c r="AK13" s="24">
        <f t="shared" si="0"/>
        <v>-124437.20559428218</v>
      </c>
      <c r="AL13" s="24">
        <f t="shared" si="0"/>
        <v>-166046.49119647246</v>
      </c>
      <c r="AM13" s="24">
        <f t="shared" si="0"/>
        <v>-218477.46166928712</v>
      </c>
      <c r="AN13" s="24">
        <f t="shared" si="0"/>
        <v>-252534.93043811945</v>
      </c>
      <c r="AO13" s="24">
        <f t="shared" si="0"/>
        <v>-600061.14381759835</v>
      </c>
      <c r="AP13" s="24">
        <f t="shared" si="0"/>
        <v>-397252.22090651904</v>
      </c>
      <c r="AQ13" s="24">
        <f t="shared" si="0"/>
        <v>-343185.66536471143</v>
      </c>
      <c r="AR13" s="24">
        <f t="shared" si="0"/>
        <v>-351986.58102934156</v>
      </c>
    </row>
    <row r="14" spans="1:44" ht="15" customHeight="1" x14ac:dyDescent="0.25">
      <c r="A14" s="13" t="s">
        <v>33</v>
      </c>
      <c r="B14" s="14">
        <v>16995979</v>
      </c>
      <c r="C14" s="14">
        <v>1161533</v>
      </c>
      <c r="D14" s="15">
        <v>0</v>
      </c>
      <c r="E14" s="14">
        <v>5531665</v>
      </c>
      <c r="F14" s="15">
        <v>0</v>
      </c>
      <c r="G14" s="15">
        <v>0</v>
      </c>
      <c r="H14" s="20">
        <v>0.94031432747999999</v>
      </c>
      <c r="I14" s="14">
        <v>54627407</v>
      </c>
      <c r="J14" s="17">
        <v>2.3576031918</v>
      </c>
      <c r="K14" s="14">
        <v>55180719.972000003</v>
      </c>
      <c r="M14" s="39" t="s">
        <v>34</v>
      </c>
      <c r="N14" s="39"/>
      <c r="O14" s="40"/>
      <c r="P14" s="40">
        <f t="shared" ref="P14:AR14" si="1">(P7+P8)-(P9+P10)+P12+P13</f>
        <v>48000.090800000005</v>
      </c>
      <c r="Q14" s="40">
        <f t="shared" si="1"/>
        <v>5233.172821704904</v>
      </c>
      <c r="R14" s="40">
        <f t="shared" si="1"/>
        <v>-34858.89943177782</v>
      </c>
      <c r="S14" s="40">
        <f t="shared" si="1"/>
        <v>77203.42186467888</v>
      </c>
      <c r="T14" s="40">
        <f t="shared" si="1"/>
        <v>-36469.243275966255</v>
      </c>
      <c r="U14" s="40">
        <f t="shared" si="1"/>
        <v>-146672.05603585148</v>
      </c>
      <c r="V14" s="40">
        <f t="shared" si="1"/>
        <v>-254362.89255151022</v>
      </c>
      <c r="W14" s="40">
        <f t="shared" si="1"/>
        <v>-359324.60790406843</v>
      </c>
      <c r="X14" s="40">
        <f t="shared" si="1"/>
        <v>-859000.86597694282</v>
      </c>
      <c r="Y14" s="40">
        <f t="shared" si="1"/>
        <v>-1272514.748497193</v>
      </c>
      <c r="Z14" s="40">
        <f t="shared" si="1"/>
        <v>-1099358.9238635057</v>
      </c>
      <c r="AA14" s="40">
        <f t="shared" si="1"/>
        <v>-1242618.3510231215</v>
      </c>
      <c r="AB14" s="40">
        <f t="shared" si="1"/>
        <v>-1364779.3669973386</v>
      </c>
      <c r="AC14" s="40">
        <f t="shared" si="1"/>
        <v>-1431029.7307030477</v>
      </c>
      <c r="AD14" s="40">
        <f t="shared" si="1"/>
        <v>-1287071.3700080626</v>
      </c>
      <c r="AE14" s="40">
        <f t="shared" si="1"/>
        <v>-929694.87579516508</v>
      </c>
      <c r="AF14" s="40">
        <f t="shared" si="1"/>
        <v>-2536413.0028787623</v>
      </c>
      <c r="AG14" s="40">
        <f t="shared" si="1"/>
        <v>-1516275.2843557803</v>
      </c>
      <c r="AH14" s="40">
        <f t="shared" si="1"/>
        <v>-4092362.9029981568</v>
      </c>
      <c r="AI14" s="40">
        <f t="shared" si="1"/>
        <v>-6923891.1435615821</v>
      </c>
      <c r="AJ14" s="40">
        <f t="shared" si="1"/>
        <v>-6160899.5309450887</v>
      </c>
      <c r="AK14" s="40">
        <f t="shared" si="1"/>
        <v>-4895283.2881069062</v>
      </c>
      <c r="AL14" s="40">
        <f t="shared" si="1"/>
        <v>-3308195.0322405342</v>
      </c>
      <c r="AM14" s="40">
        <f t="shared" si="1"/>
        <v>-5520749.3728581099</v>
      </c>
      <c r="AN14" s="40">
        <f t="shared" si="1"/>
        <v>-7380999.071130801</v>
      </c>
      <c r="AO14" s="40">
        <f t="shared" si="1"/>
        <v>-10533215.121643234</v>
      </c>
      <c r="AP14" s="40">
        <f t="shared" si="1"/>
        <v>-9395993.1757295951</v>
      </c>
      <c r="AQ14" s="40">
        <f t="shared" si="1"/>
        <v>-9167270.8699379247</v>
      </c>
      <c r="AR14" s="40">
        <f t="shared" si="1"/>
        <v>8875885.314545501</v>
      </c>
    </row>
    <row r="15" spans="1:44" ht="15" customHeight="1" x14ac:dyDescent="0.25">
      <c r="A15" s="13" t="s">
        <v>35</v>
      </c>
      <c r="B15" s="14">
        <v>19867339</v>
      </c>
      <c r="C15" s="14">
        <v>1545728</v>
      </c>
      <c r="D15" s="15">
        <v>0</v>
      </c>
      <c r="E15" s="14">
        <v>5404581</v>
      </c>
      <c r="F15" s="15">
        <v>0</v>
      </c>
      <c r="G15" s="14">
        <v>-2272039</v>
      </c>
      <c r="H15" s="20">
        <v>4.4082446808000002</v>
      </c>
      <c r="I15" s="14">
        <v>65346214</v>
      </c>
      <c r="J15" s="17">
        <v>1.6181223952999999</v>
      </c>
      <c r="K15" s="14">
        <v>53645514.494000003</v>
      </c>
    </row>
    <row r="16" spans="1:44" ht="15" customHeight="1" x14ac:dyDescent="0.25">
      <c r="A16" s="13" t="s">
        <v>36</v>
      </c>
      <c r="B16" s="14">
        <v>19268063</v>
      </c>
      <c r="C16" s="14">
        <v>2806256</v>
      </c>
      <c r="D16" s="15">
        <v>0</v>
      </c>
      <c r="E16" s="14">
        <v>5723864</v>
      </c>
      <c r="F16" s="15">
        <v>0</v>
      </c>
      <c r="G16" s="14">
        <v>-1790831</v>
      </c>
      <c r="H16" s="20">
        <v>2.8260869565000002</v>
      </c>
      <c r="I16" s="14">
        <v>63719393</v>
      </c>
      <c r="J16" s="17">
        <v>2.09262105</v>
      </c>
      <c r="K16" s="14">
        <v>63334183.397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17419950</v>
      </c>
      <c r="C17" s="14">
        <v>2816407</v>
      </c>
      <c r="D17" s="15">
        <v>0</v>
      </c>
      <c r="E17" s="14">
        <v>5593343</v>
      </c>
      <c r="F17" s="15">
        <v>0</v>
      </c>
      <c r="G17" s="14">
        <v>-1952587</v>
      </c>
      <c r="H17" s="20">
        <v>2.4472</v>
      </c>
      <c r="I17" s="14">
        <v>615558</v>
      </c>
      <c r="J17" s="17">
        <v>2.8466991362999998</v>
      </c>
      <c r="K17" s="14">
        <v>77936433.099999994</v>
      </c>
      <c r="L17" s="41" t="str">
        <f>+L19</f>
        <v>Ambev S/A ON</v>
      </c>
      <c r="M17" s="2" t="s">
        <v>38</v>
      </c>
      <c r="N17" s="2"/>
      <c r="O17" s="28"/>
      <c r="P17" s="42">
        <f>+C6</f>
        <v>324894</v>
      </c>
      <c r="Q17" s="42">
        <f>C7</f>
        <v>456323</v>
      </c>
      <c r="R17" s="42">
        <f>C8</f>
        <v>329098</v>
      </c>
      <c r="S17" s="42">
        <f>C9</f>
        <v>-310682</v>
      </c>
      <c r="T17" s="42">
        <f>C10</f>
        <v>470182</v>
      </c>
      <c r="U17" s="42">
        <f>C11</f>
        <v>784568</v>
      </c>
      <c r="V17" s="42">
        <f>C12</f>
        <v>1510313</v>
      </c>
      <c r="W17" s="42">
        <f>C13</f>
        <v>1411570</v>
      </c>
      <c r="X17" s="42">
        <f>C14</f>
        <v>1161533</v>
      </c>
      <c r="Y17" s="42">
        <f>C15</f>
        <v>1545728</v>
      </c>
      <c r="Z17" s="42">
        <f>C16</f>
        <v>2806256</v>
      </c>
      <c r="AA17" s="42">
        <f>C17</f>
        <v>2816407</v>
      </c>
      <c r="AB17" s="42">
        <f>C18</f>
        <v>3059478</v>
      </c>
      <c r="AC17" s="42">
        <f>C19</f>
        <v>5986050</v>
      </c>
      <c r="AD17" s="42">
        <f>C20</f>
        <v>7561383</v>
      </c>
      <c r="AE17" s="42">
        <f>C21</f>
        <v>8640976</v>
      </c>
      <c r="AF17" s="42">
        <f>C22</f>
        <v>10508066</v>
      </c>
      <c r="AG17" s="42">
        <f>C23</f>
        <v>9534969</v>
      </c>
      <c r="AH17" s="42">
        <f>C24</f>
        <v>12065512</v>
      </c>
      <c r="AI17" s="42">
        <f>C25</f>
        <v>12423771</v>
      </c>
      <c r="AJ17" s="42">
        <f>C26</f>
        <v>12546610</v>
      </c>
      <c r="AK17" s="42">
        <f>C27</f>
        <v>7331968</v>
      </c>
      <c r="AL17" s="42">
        <f>C28</f>
        <v>11024678</v>
      </c>
      <c r="AM17" s="42">
        <f>C29</f>
        <v>11779965</v>
      </c>
      <c r="AN17" s="42">
        <f>C30</f>
        <v>11379394</v>
      </c>
      <c r="AO17" s="42">
        <f>C31</f>
        <v>12670968</v>
      </c>
      <c r="AP17" s="42">
        <f>C32</f>
        <v>14457900</v>
      </c>
      <c r="AQ17" s="42">
        <f>D32</f>
        <v>9222200</v>
      </c>
      <c r="AR17" s="42">
        <f>E32</f>
        <v>30055700</v>
      </c>
    </row>
    <row r="18" spans="1:44" ht="15" customHeight="1" x14ac:dyDescent="0.25">
      <c r="A18" s="13" t="s">
        <v>39</v>
      </c>
      <c r="B18" s="14">
        <v>17278138</v>
      </c>
      <c r="C18" s="14">
        <v>3059478</v>
      </c>
      <c r="D18" s="15">
        <v>0</v>
      </c>
      <c r="E18" s="14">
        <v>6882763</v>
      </c>
      <c r="F18" s="15">
        <v>0</v>
      </c>
      <c r="G18" s="14">
        <v>-2913667</v>
      </c>
      <c r="H18" s="20">
        <v>5.401580375</v>
      </c>
      <c r="I18" s="14">
        <v>614003</v>
      </c>
      <c r="J18" s="17">
        <v>2.0273392887999999</v>
      </c>
      <c r="K18" s="14">
        <v>56506644.369999997</v>
      </c>
      <c r="L18" s="43" t="str">
        <f>+L19</f>
        <v>Ambev S/A ON</v>
      </c>
      <c r="M18" s="18" t="s">
        <v>40</v>
      </c>
      <c r="N18" s="18"/>
      <c r="O18" s="25"/>
      <c r="P18" s="44">
        <f t="shared" ref="P18:AR18" si="2">P14+P17</f>
        <v>372894.09080000001</v>
      </c>
      <c r="Q18" s="44">
        <f t="shared" si="2"/>
        <v>461556.17282170488</v>
      </c>
      <c r="R18" s="44">
        <f t="shared" si="2"/>
        <v>294239.10056822217</v>
      </c>
      <c r="S18" s="44">
        <f t="shared" si="2"/>
        <v>-233478.57813532112</v>
      </c>
      <c r="T18" s="44">
        <f t="shared" si="2"/>
        <v>433712.75672403374</v>
      </c>
      <c r="U18" s="44">
        <f t="shared" si="2"/>
        <v>637895.94396414852</v>
      </c>
      <c r="V18" s="44">
        <f t="shared" si="2"/>
        <v>1255950.1074484899</v>
      </c>
      <c r="W18" s="44">
        <f t="shared" si="2"/>
        <v>1052245.3920959316</v>
      </c>
      <c r="X18" s="44">
        <f t="shared" si="2"/>
        <v>302532.13402305718</v>
      </c>
      <c r="Y18" s="44">
        <f t="shared" si="2"/>
        <v>273213.25150280702</v>
      </c>
      <c r="Z18" s="44">
        <f t="shared" si="2"/>
        <v>1706897.0761364943</v>
      </c>
      <c r="AA18" s="44">
        <f t="shared" si="2"/>
        <v>1573788.6489768785</v>
      </c>
      <c r="AB18" s="44">
        <f t="shared" si="2"/>
        <v>1694698.6330026614</v>
      </c>
      <c r="AC18" s="44">
        <f t="shared" si="2"/>
        <v>4555020.2692969525</v>
      </c>
      <c r="AD18" s="44">
        <f t="shared" si="2"/>
        <v>6274311.6299919374</v>
      </c>
      <c r="AE18" s="44">
        <f t="shared" si="2"/>
        <v>7711281.1242048349</v>
      </c>
      <c r="AF18" s="44">
        <f t="shared" si="2"/>
        <v>7971652.9971212372</v>
      </c>
      <c r="AG18" s="44">
        <f t="shared" si="2"/>
        <v>8018693.7156442199</v>
      </c>
      <c r="AH18" s="44">
        <f t="shared" si="2"/>
        <v>7973149.0970018432</v>
      </c>
      <c r="AI18" s="44">
        <f t="shared" si="2"/>
        <v>5499879.8564384179</v>
      </c>
      <c r="AJ18" s="44">
        <f t="shared" si="2"/>
        <v>6385710.4690549113</v>
      </c>
      <c r="AK18" s="44">
        <f t="shared" si="2"/>
        <v>2436684.7118930938</v>
      </c>
      <c r="AL18" s="44">
        <f t="shared" si="2"/>
        <v>7716482.9677594658</v>
      </c>
      <c r="AM18" s="44">
        <f t="shared" si="2"/>
        <v>6259215.6271418901</v>
      </c>
      <c r="AN18" s="44">
        <f t="shared" si="2"/>
        <v>3998394.928869199</v>
      </c>
      <c r="AO18" s="44">
        <f t="shared" si="2"/>
        <v>2137752.878356766</v>
      </c>
      <c r="AP18" s="44">
        <f t="shared" si="2"/>
        <v>5061906.8242704049</v>
      </c>
      <c r="AQ18" s="44">
        <f t="shared" si="2"/>
        <v>54929.130062075332</v>
      </c>
      <c r="AR18" s="44">
        <f t="shared" si="2"/>
        <v>38931585.314545497</v>
      </c>
    </row>
    <row r="19" spans="1:44" ht="15" customHeight="1" x14ac:dyDescent="0.25">
      <c r="A19" s="13" t="s">
        <v>41</v>
      </c>
      <c r="B19" s="14">
        <v>22017450</v>
      </c>
      <c r="C19" s="14">
        <v>5986050</v>
      </c>
      <c r="D19" s="15">
        <v>0</v>
      </c>
      <c r="E19" s="14">
        <v>6595072</v>
      </c>
      <c r="F19" s="15">
        <v>0</v>
      </c>
      <c r="G19" s="14">
        <v>-3560489</v>
      </c>
      <c r="H19" s="20">
        <v>3.7491525424000001</v>
      </c>
      <c r="I19" s="14">
        <v>616436</v>
      </c>
      <c r="J19" s="17">
        <v>3.6979097990000001</v>
      </c>
      <c r="K19" s="14">
        <v>98213284</v>
      </c>
      <c r="L19" s="18" t="str">
        <f>+A1</f>
        <v>Ambev S/A ON</v>
      </c>
      <c r="M19" s="18" t="s">
        <v>42</v>
      </c>
      <c r="N19" s="18"/>
      <c r="O19" s="31"/>
      <c r="P19" s="45">
        <f t="shared" ref="P19:AR19" si="3">P18/P17</f>
        <v>1.147740773298368</v>
      </c>
      <c r="Q19" s="45">
        <f t="shared" si="3"/>
        <v>1.011468132927126</v>
      </c>
      <c r="R19" s="45">
        <f t="shared" si="3"/>
        <v>0.89407744978159143</v>
      </c>
      <c r="S19" s="45">
        <f t="shared" si="3"/>
        <v>0.75150339619070661</v>
      </c>
      <c r="T19" s="45">
        <f t="shared" si="3"/>
        <v>0.92243590082996318</v>
      </c>
      <c r="U19" s="45">
        <f t="shared" si="3"/>
        <v>0.81305373653290536</v>
      </c>
      <c r="V19" s="45">
        <f t="shared" si="3"/>
        <v>0.83158266362567879</v>
      </c>
      <c r="W19" s="45">
        <f t="shared" si="3"/>
        <v>0.74544329512240382</v>
      </c>
      <c r="X19" s="45">
        <f t="shared" si="3"/>
        <v>0.26045935330555153</v>
      </c>
      <c r="Y19" s="45">
        <f t="shared" si="3"/>
        <v>0.17675377007002979</v>
      </c>
      <c r="Z19" s="45">
        <f t="shared" si="3"/>
        <v>0.60824710081207645</v>
      </c>
      <c r="AA19" s="45">
        <f t="shared" si="3"/>
        <v>0.55879304694842702</v>
      </c>
      <c r="AB19" s="45">
        <f t="shared" si="3"/>
        <v>0.55391757450214107</v>
      </c>
      <c r="AC19" s="45">
        <f t="shared" si="3"/>
        <v>0.76093922858929552</v>
      </c>
      <c r="AD19" s="45">
        <f t="shared" si="3"/>
        <v>0.82978360307789423</v>
      </c>
      <c r="AE19" s="45">
        <f t="shared" si="3"/>
        <v>0.89240858025816006</v>
      </c>
      <c r="AF19" s="45">
        <f t="shared" si="3"/>
        <v>0.75862228093364059</v>
      </c>
      <c r="AG19" s="45">
        <f t="shared" si="3"/>
        <v>0.84097742904504669</v>
      </c>
      <c r="AH19" s="45">
        <f t="shared" si="3"/>
        <v>0.66082144686457089</v>
      </c>
      <c r="AI19" s="45">
        <f t="shared" si="3"/>
        <v>0.4426900541259508</v>
      </c>
      <c r="AJ19" s="45">
        <f t="shared" si="3"/>
        <v>0.50895903108926721</v>
      </c>
      <c r="AK19" s="45">
        <f t="shared" si="3"/>
        <v>0.33233706310407979</v>
      </c>
      <c r="AL19" s="45">
        <f t="shared" si="3"/>
        <v>0.69992819452499799</v>
      </c>
      <c r="AM19" s="45">
        <f t="shared" si="3"/>
        <v>0.531344161645802</v>
      </c>
      <c r="AN19" s="45">
        <f t="shared" si="3"/>
        <v>0.3513715166966887</v>
      </c>
      <c r="AO19" s="45">
        <f t="shared" si="3"/>
        <v>0.16871267280895713</v>
      </c>
      <c r="AP19" s="45">
        <f t="shared" si="3"/>
        <v>0.35011355897263124</v>
      </c>
      <c r="AQ19" s="45">
        <f t="shared" si="3"/>
        <v>5.9561850818758361E-3</v>
      </c>
      <c r="AR19" s="45">
        <f t="shared" si="3"/>
        <v>1.2953145431497353</v>
      </c>
    </row>
    <row r="20" spans="1:44" ht="15" customHeight="1" x14ac:dyDescent="0.25">
      <c r="A20" s="13" t="s">
        <v>43</v>
      </c>
      <c r="B20" s="14">
        <v>24361863</v>
      </c>
      <c r="C20" s="14">
        <v>7561383</v>
      </c>
      <c r="D20" s="14">
        <v>19264994</v>
      </c>
      <c r="E20" s="14">
        <v>7032298</v>
      </c>
      <c r="F20" s="14">
        <v>18502</v>
      </c>
      <c r="G20" s="14">
        <v>-5030751</v>
      </c>
      <c r="H20" s="20">
        <v>3.5668202765000001</v>
      </c>
      <c r="I20" s="14">
        <v>3103229</v>
      </c>
      <c r="J20" s="17">
        <v>5.6837533033999996</v>
      </c>
      <c r="K20" s="14">
        <v>144362370.28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25611320</v>
      </c>
      <c r="C21" s="14">
        <v>8640976</v>
      </c>
      <c r="D21" s="14">
        <v>19217053</v>
      </c>
      <c r="E21" s="14">
        <v>9265210</v>
      </c>
      <c r="F21" s="14">
        <v>21681</v>
      </c>
      <c r="G21" s="14">
        <v>-5475448</v>
      </c>
      <c r="H21" s="20">
        <v>3.0622710622999998</v>
      </c>
      <c r="I21" s="14">
        <v>3117189</v>
      </c>
      <c r="J21" s="17">
        <v>7.4408343879999999</v>
      </c>
      <c r="K21" s="14">
        <v>187553882.19999999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28863744</v>
      </c>
      <c r="C22" s="14">
        <v>10508066</v>
      </c>
      <c r="D22" s="14">
        <v>22906852</v>
      </c>
      <c r="E22" s="14">
        <v>11412280</v>
      </c>
      <c r="F22" s="14">
        <v>24012</v>
      </c>
      <c r="G22" s="14">
        <v>-5450111</v>
      </c>
      <c r="H22" s="20">
        <v>3.1230585423999999</v>
      </c>
      <c r="I22" s="14">
        <v>3126909</v>
      </c>
      <c r="J22" s="17">
        <v>11.866569754</v>
      </c>
      <c r="K22" s="14">
        <v>264301506.06</v>
      </c>
      <c r="L22" s="47" t="str">
        <f>+L24</f>
        <v>Ambev S/A ON</v>
      </c>
      <c r="M22" s="39" t="s">
        <v>46</v>
      </c>
      <c r="N22" s="32"/>
      <c r="O22" s="32"/>
      <c r="P22" s="30">
        <v>1263852</v>
      </c>
      <c r="Q22" s="30">
        <v>1350303</v>
      </c>
      <c r="R22" s="30">
        <v>1428416</v>
      </c>
      <c r="S22" s="30">
        <v>10502002</v>
      </c>
      <c r="T22" s="30">
        <v>10565590</v>
      </c>
      <c r="U22" s="30">
        <v>3363437</v>
      </c>
      <c r="V22" s="30">
        <v>4129647</v>
      </c>
      <c r="W22" s="30">
        <v>4308217</v>
      </c>
      <c r="X22" s="30">
        <v>16995979</v>
      </c>
      <c r="Y22" s="30">
        <v>19867339</v>
      </c>
      <c r="Z22" s="30">
        <v>19268063</v>
      </c>
      <c r="AA22" s="30">
        <v>17419950</v>
      </c>
      <c r="AB22" s="30">
        <v>17278138</v>
      </c>
      <c r="AC22" s="30">
        <v>22017450</v>
      </c>
      <c r="AD22" s="30">
        <v>24361863</v>
      </c>
      <c r="AE22" s="30">
        <v>25611320</v>
      </c>
      <c r="AF22" s="30">
        <v>28863744</v>
      </c>
      <c r="AG22" s="30">
        <v>42838778</v>
      </c>
      <c r="AH22" s="30">
        <v>42221594</v>
      </c>
      <c r="AI22" s="30">
        <v>48331883</v>
      </c>
      <c r="AJ22" s="30">
        <v>44825048</v>
      </c>
      <c r="AK22" s="30">
        <v>46008814</v>
      </c>
      <c r="AL22" s="30">
        <v>56340623</v>
      </c>
      <c r="AM22" s="30">
        <v>61278025</v>
      </c>
      <c r="AN22" s="30">
        <v>73815628</v>
      </c>
      <c r="AO22" s="30">
        <v>82643031</v>
      </c>
      <c r="AP22" s="30">
        <v>81955633</v>
      </c>
      <c r="AQ22" s="30">
        <v>81955633</v>
      </c>
      <c r="AR22" s="30">
        <v>81955633</v>
      </c>
    </row>
    <row r="23" spans="1:44" ht="15" customHeight="1" x14ac:dyDescent="0.25">
      <c r="A23" s="13" t="s">
        <v>47</v>
      </c>
      <c r="B23" s="14">
        <v>42838778</v>
      </c>
      <c r="C23" s="14">
        <v>9534969</v>
      </c>
      <c r="D23" s="14">
        <v>30234682</v>
      </c>
      <c r="E23" s="14">
        <v>13937759</v>
      </c>
      <c r="F23" s="14">
        <v>26452</v>
      </c>
      <c r="G23" s="14">
        <v>-7209410</v>
      </c>
      <c r="H23" s="20">
        <v>1.4988452656</v>
      </c>
      <c r="I23" s="14">
        <v>15642926</v>
      </c>
      <c r="J23" s="17">
        <v>12.467609254999999</v>
      </c>
      <c r="K23" s="14">
        <v>270935478.31999999</v>
      </c>
      <c r="L23" s="47" t="str">
        <f>+L25</f>
        <v>Ambev S/A ON</v>
      </c>
      <c r="M23" s="39" t="s">
        <v>48</v>
      </c>
      <c r="N23" s="32"/>
      <c r="O23" s="32"/>
      <c r="P23" s="30">
        <f>P22+P9+P10+P14</f>
        <v>1419786.5461999997</v>
      </c>
      <c r="Q23" s="33">
        <f>Q22+Q9+Q10+Q14+((P9+P10+P14)*(1+Q5))</f>
        <v>1595979.7311449852</v>
      </c>
      <c r="R23" s="33">
        <f>R22+R9+R10+R14+((Q9+Q10+Q14)*(1+R5))+(((P9+P10+P14)*(1+R5)*(1+Q5)))</f>
        <v>1670318.5464842473</v>
      </c>
      <c r="S23" s="33">
        <f>S22+S9+S10+S14+((R9+R10+R14)*(1+S5))+(((Q9+Q10+Q14)*(1+S5)*(1+R5)))+(((P9+P10+P14)*(1+S5)*(1+R5)*(1+Q5)))</f>
        <v>10990001.56113616</v>
      </c>
      <c r="T23" s="33">
        <f>T22+T9+T10+T14+((S9+S10+S14)*(1+T5))+(((R9+R10+R14)*(1+T5)*(1+S5)))+(((Q9+Q10+Q14)*(1+T5)*(1+S5)*(1+R5)))+(((P9+P10+P14)*(1+T5)*(1+S5)*(1+R5)*(1+Q5)))</f>
        <v>11207206.462159002</v>
      </c>
      <c r="U23" s="33">
        <f>U22+U9+U10+U14+((T9+T10+T14)*(1+U5))+((S9+S10+S14)*(1+U5)*(1+T5))+((R9+R10+R14)*(1+U5)*(1+T5)*(1+S5))+((Q9+Q10+Q14)*(1+U5)*(1+T5)*(1+S5)*(1+R5))+((P9+P10+P14)*(1+U5)*(1+T5)*(1+S5)*(1+R5)*(1+Q5))</f>
        <v>4198963.6331770718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5375578.0629574209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5798757.3619725695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18638350.870992523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21447480.115029477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20445564.042996671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18251734.561606254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17829031.922121532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22001852.29927884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24385635.77956922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26286238.354862005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28629992.182652906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43135341.474426009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41142522.59564922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44848617.803758033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37631932.848721951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34823270.872613922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42919024.587558471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43722305.32968957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50380456.735852346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51988126.458642364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43347909.744570091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34704746.689274125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42181036.730889268</v>
      </c>
    </row>
    <row r="24" spans="1:44" ht="15" customHeight="1" x14ac:dyDescent="0.25">
      <c r="A24" s="13" t="s">
        <v>49</v>
      </c>
      <c r="B24" s="14">
        <v>42221594</v>
      </c>
      <c r="C24" s="14">
        <v>12065512</v>
      </c>
      <c r="D24" s="14">
        <v>31257804</v>
      </c>
      <c r="E24" s="14">
        <v>15740058</v>
      </c>
      <c r="F24" s="14">
        <v>40448</v>
      </c>
      <c r="G24" s="14">
        <v>-12059595</v>
      </c>
      <c r="H24" s="20">
        <v>4.7102342786999998</v>
      </c>
      <c r="I24" s="14">
        <v>15712202</v>
      </c>
      <c r="J24" s="17">
        <v>12.328276465</v>
      </c>
      <c r="K24" s="14">
        <v>254851916.44</v>
      </c>
      <c r="L24" s="47" t="str">
        <f>+L25</f>
        <v>Ambev S/A ON</v>
      </c>
      <c r="M24" s="39" t="s">
        <v>50</v>
      </c>
      <c r="N24" s="32"/>
      <c r="O24" s="32"/>
      <c r="P24" s="30">
        <v>4191067.5043000001</v>
      </c>
      <c r="Q24" s="30">
        <v>5119656.2489999998</v>
      </c>
      <c r="R24" s="30">
        <v>3636725.3818999999</v>
      </c>
      <c r="S24" s="30">
        <v>17428087.655999999</v>
      </c>
      <c r="T24" s="30">
        <v>16748049.408</v>
      </c>
      <c r="U24" s="30">
        <v>17424971.035</v>
      </c>
      <c r="V24" s="30">
        <v>19685615.545000002</v>
      </c>
      <c r="W24" s="30">
        <v>26391777.998</v>
      </c>
      <c r="X24" s="30">
        <v>55180719.972000003</v>
      </c>
      <c r="Y24" s="30">
        <v>53645514.494000003</v>
      </c>
      <c r="Z24" s="30">
        <v>63334183.397</v>
      </c>
      <c r="AA24" s="30">
        <v>77936433.099999994</v>
      </c>
      <c r="AB24" s="30">
        <v>56506644.369999997</v>
      </c>
      <c r="AC24" s="30">
        <v>98213284</v>
      </c>
      <c r="AD24" s="30">
        <v>144362370.28</v>
      </c>
      <c r="AE24" s="30">
        <v>187553882.19999999</v>
      </c>
      <c r="AF24" s="30">
        <v>264301506.06</v>
      </c>
      <c r="AG24" s="30">
        <v>270935478.31999999</v>
      </c>
      <c r="AH24" s="30">
        <v>254851916.44</v>
      </c>
      <c r="AI24" s="30">
        <v>279978927.89999998</v>
      </c>
      <c r="AJ24" s="30">
        <v>257498089.19999999</v>
      </c>
      <c r="AK24" s="30">
        <v>334313502.88</v>
      </c>
      <c r="AL24" s="30">
        <v>241790810.22</v>
      </c>
      <c r="AM24" s="30">
        <v>293678222.50999999</v>
      </c>
      <c r="AN24" s="30">
        <v>246251419.75</v>
      </c>
      <c r="AO24" s="30">
        <v>242690275.97999999</v>
      </c>
      <c r="AP24" s="30">
        <v>228569992.19999999</v>
      </c>
      <c r="AQ24" s="30">
        <f>+K33</f>
        <v>197562019.671666</v>
      </c>
      <c r="AR24" s="30">
        <f>+K34</f>
        <v>177587063.34797901</v>
      </c>
    </row>
    <row r="25" spans="1:44" ht="15" customHeight="1" x14ac:dyDescent="0.25">
      <c r="A25" s="13" t="s">
        <v>51</v>
      </c>
      <c r="B25" s="14">
        <v>48331883</v>
      </c>
      <c r="C25" s="14">
        <v>12423771</v>
      </c>
      <c r="D25" s="14">
        <v>36045264</v>
      </c>
      <c r="E25" s="14">
        <v>19140087</v>
      </c>
      <c r="F25" s="14">
        <v>714925</v>
      </c>
      <c r="G25" s="14">
        <v>-11490221</v>
      </c>
      <c r="H25" s="20">
        <v>4.0112044818000001</v>
      </c>
      <c r="I25" s="14">
        <v>15685094</v>
      </c>
      <c r="J25" s="17">
        <v>14.011285056</v>
      </c>
      <c r="K25" s="14">
        <v>279978927.89999998</v>
      </c>
      <c r="L25" s="39" t="str">
        <f>+A1</f>
        <v>Ambev S/A ON</v>
      </c>
      <c r="M25" s="39" t="s">
        <v>52</v>
      </c>
      <c r="N25" s="18"/>
      <c r="O25" s="18"/>
      <c r="P25" s="31">
        <f t="shared" ref="P25:AR25" si="4">P24/P23</f>
        <v>2.9518997172618797</v>
      </c>
      <c r="Q25" s="31">
        <f t="shared" si="4"/>
        <v>3.2078454062364967</v>
      </c>
      <c r="R25" s="31">
        <f t="shared" si="4"/>
        <v>2.1772645640286541</v>
      </c>
      <c r="S25" s="31">
        <f t="shared" si="4"/>
        <v>1.5858130282374829</v>
      </c>
      <c r="T25" s="31">
        <f t="shared" si="4"/>
        <v>1.4944000063307112</v>
      </c>
      <c r="U25" s="31">
        <f t="shared" si="4"/>
        <v>4.1498266137198483</v>
      </c>
      <c r="V25" s="31">
        <f t="shared" si="4"/>
        <v>3.6620462607829363</v>
      </c>
      <c r="W25" s="31">
        <f t="shared" si="4"/>
        <v>4.5512816540787764</v>
      </c>
      <c r="X25" s="31">
        <f t="shared" si="4"/>
        <v>2.9606009863179241</v>
      </c>
      <c r="Y25" s="31">
        <f t="shared" si="4"/>
        <v>2.5012502264267176</v>
      </c>
      <c r="Z25" s="31">
        <f t="shared" si="4"/>
        <v>3.0976980270052366</v>
      </c>
      <c r="AA25" s="31">
        <f t="shared" si="4"/>
        <v>4.2700836370886357</v>
      </c>
      <c r="AB25" s="31">
        <f t="shared" si="4"/>
        <v>3.1693613325067229</v>
      </c>
      <c r="AC25" s="31">
        <f t="shared" si="4"/>
        <v>4.4638643448769608</v>
      </c>
      <c r="AD25" s="31">
        <f t="shared" si="4"/>
        <v>5.9199756604644165</v>
      </c>
      <c r="AE25" s="31">
        <f t="shared" si="4"/>
        <v>7.1350597855820359</v>
      </c>
      <c r="AF25" s="31">
        <f t="shared" si="4"/>
        <v>9.2316303956290273</v>
      </c>
      <c r="AG25" s="31">
        <f t="shared" si="4"/>
        <v>6.2810556045008168</v>
      </c>
      <c r="AH25" s="31">
        <f t="shared" si="4"/>
        <v>6.1943677820802927</v>
      </c>
      <c r="AI25" s="31">
        <f t="shared" si="4"/>
        <v>6.2427548854479857</v>
      </c>
      <c r="AJ25" s="31">
        <f t="shared" si="4"/>
        <v>6.8425422163439338</v>
      </c>
      <c r="AK25" s="31">
        <f t="shared" si="4"/>
        <v>9.6002901078116221</v>
      </c>
      <c r="AL25" s="31">
        <f t="shared" si="4"/>
        <v>5.6336511032939747</v>
      </c>
      <c r="AM25" s="31">
        <f t="shared" si="4"/>
        <v>6.7168970230528586</v>
      </c>
      <c r="AN25" s="31">
        <f t="shared" si="4"/>
        <v>4.8878361909482173</v>
      </c>
      <c r="AO25" s="31">
        <f t="shared" si="4"/>
        <v>4.6681866132080208</v>
      </c>
      <c r="AP25" s="31">
        <f t="shared" si="4"/>
        <v>5.2729184301356415</v>
      </c>
      <c r="AQ25" s="31">
        <f t="shared" si="4"/>
        <v>5.6926512514417711</v>
      </c>
      <c r="AR25" s="31">
        <f t="shared" si="4"/>
        <v>4.2101161353848759</v>
      </c>
    </row>
    <row r="26" spans="1:44" ht="15" customHeight="1" x14ac:dyDescent="0.25">
      <c r="A26" s="13" t="s">
        <v>53</v>
      </c>
      <c r="B26" s="14">
        <v>44825048</v>
      </c>
      <c r="C26" s="14">
        <v>12546610</v>
      </c>
      <c r="D26" s="14">
        <v>35757081</v>
      </c>
      <c r="E26" s="14">
        <v>19153836</v>
      </c>
      <c r="F26" s="14">
        <v>300115</v>
      </c>
      <c r="G26" s="14">
        <v>-10330601</v>
      </c>
      <c r="H26" s="20">
        <v>3.9024390244</v>
      </c>
      <c r="I26" s="14">
        <v>15701103</v>
      </c>
      <c r="J26" s="17">
        <v>13.342365962000001</v>
      </c>
      <c r="K26" s="14">
        <v>257498089.19999999</v>
      </c>
    </row>
    <row r="27" spans="1:44" ht="15" customHeight="1" x14ac:dyDescent="0.25">
      <c r="A27" s="13" t="s">
        <v>54</v>
      </c>
      <c r="B27" s="14">
        <v>46008814</v>
      </c>
      <c r="C27" s="14">
        <v>7331968</v>
      </c>
      <c r="D27" s="14">
        <v>36076578</v>
      </c>
      <c r="E27" s="14">
        <v>18822327</v>
      </c>
      <c r="F27" s="14">
        <v>237961</v>
      </c>
      <c r="G27" s="14">
        <v>-8819754</v>
      </c>
      <c r="H27" s="20">
        <v>2.537593985</v>
      </c>
      <c r="I27" s="14">
        <v>15710221</v>
      </c>
      <c r="J27" s="17">
        <v>17.800434363000001</v>
      </c>
      <c r="K27" s="14">
        <v>334313502.88</v>
      </c>
      <c r="S27" s="67"/>
    </row>
    <row r="28" spans="1:44" ht="15" customHeight="1" x14ac:dyDescent="0.25">
      <c r="A28" s="13" t="s">
        <v>55</v>
      </c>
      <c r="B28" s="14">
        <v>56340623</v>
      </c>
      <c r="C28" s="14">
        <v>11024678</v>
      </c>
      <c r="D28" s="14">
        <v>40116774</v>
      </c>
      <c r="E28" s="14">
        <v>20096996</v>
      </c>
      <c r="F28" s="14">
        <v>257135</v>
      </c>
      <c r="G28" s="14">
        <v>-8814129</v>
      </c>
      <c r="H28" s="20">
        <v>3.5760728218</v>
      </c>
      <c r="I28" s="14">
        <v>15721119</v>
      </c>
      <c r="J28" s="17">
        <v>13.285297886</v>
      </c>
      <c r="K28" s="14">
        <v>241790810.22</v>
      </c>
    </row>
    <row r="29" spans="1:44" ht="15" customHeight="1" x14ac:dyDescent="0.25">
      <c r="A29" s="13" t="s">
        <v>56</v>
      </c>
      <c r="B29" s="14">
        <v>61278025</v>
      </c>
      <c r="C29" s="14">
        <v>11779965</v>
      </c>
      <c r="D29" s="14">
        <v>41316273</v>
      </c>
      <c r="E29" s="14">
        <v>22576299</v>
      </c>
      <c r="F29" s="14">
        <v>303423</v>
      </c>
      <c r="G29" s="14">
        <v>-7871338</v>
      </c>
      <c r="H29" s="20">
        <v>2.6277450455000002</v>
      </c>
      <c r="I29" s="14">
        <v>15729953</v>
      </c>
      <c r="J29" s="17">
        <v>16.550780154000002</v>
      </c>
      <c r="K29" s="14">
        <v>293678222.50999999</v>
      </c>
    </row>
    <row r="30" spans="1:44" ht="15" customHeight="1" x14ac:dyDescent="0.25">
      <c r="A30" s="13" t="s">
        <v>57</v>
      </c>
      <c r="B30" s="14">
        <v>73815628</v>
      </c>
      <c r="C30" s="14">
        <v>11379394</v>
      </c>
      <c r="D30" s="14">
        <v>47604013</v>
      </c>
      <c r="E30" s="14">
        <v>24768355</v>
      </c>
      <c r="F30" s="14">
        <v>337427</v>
      </c>
      <c r="G30" s="14">
        <v>-6850271</v>
      </c>
      <c r="H30" s="20">
        <v>2.6434504792000002</v>
      </c>
      <c r="I30" s="14">
        <v>15734915</v>
      </c>
      <c r="J30" s="17">
        <v>14.240406337</v>
      </c>
      <c r="K30" s="14">
        <v>246251419.75</v>
      </c>
    </row>
    <row r="31" spans="1:44" ht="15" customHeight="1" x14ac:dyDescent="0.25">
      <c r="A31" s="13" t="s">
        <v>58</v>
      </c>
      <c r="B31" s="14">
        <v>82643031</v>
      </c>
      <c r="C31" s="14">
        <v>12670968</v>
      </c>
      <c r="D31" s="14">
        <v>51100275</v>
      </c>
      <c r="E31" s="14">
        <v>29224261</v>
      </c>
      <c r="F31" s="14">
        <v>305180</v>
      </c>
      <c r="G31" s="14">
        <v>-11115251</v>
      </c>
      <c r="H31" s="20">
        <v>4.4118028534000002</v>
      </c>
      <c r="I31" s="14">
        <v>15738669</v>
      </c>
      <c r="J31" s="17">
        <v>14.648190018999999</v>
      </c>
      <c r="K31" s="14">
        <v>242690275.97999999</v>
      </c>
    </row>
    <row r="32" spans="1:44" ht="15" customHeight="1" x14ac:dyDescent="0.25">
      <c r="A32" s="13" t="s">
        <v>59</v>
      </c>
      <c r="B32" s="14">
        <v>81955600</v>
      </c>
      <c r="C32" s="14">
        <v>14457900</v>
      </c>
      <c r="D32" s="14">
        <v>9222200</v>
      </c>
      <c r="E32" s="14">
        <v>30055700</v>
      </c>
      <c r="F32" s="14">
        <v>331939</v>
      </c>
      <c r="G32" s="14">
        <v>-12242324</v>
      </c>
      <c r="H32" s="20">
        <v>5.25</v>
      </c>
      <c r="I32" s="14">
        <v>15741735</v>
      </c>
      <c r="J32" s="17">
        <v>14.52</v>
      </c>
      <c r="K32" s="14">
        <v>198270688.110421</v>
      </c>
    </row>
    <row r="33" spans="1:42" ht="15" customHeight="1" x14ac:dyDescent="0.25">
      <c r="A33" s="13" t="s">
        <v>60</v>
      </c>
      <c r="B33" s="14">
        <v>78969300</v>
      </c>
      <c r="C33" s="14">
        <v>14501900</v>
      </c>
      <c r="D33" s="14">
        <v>10041700</v>
      </c>
      <c r="E33" s="14">
        <v>26630200</v>
      </c>
      <c r="F33" s="14"/>
      <c r="G33" s="14"/>
      <c r="H33" s="14"/>
      <c r="I33" s="14"/>
      <c r="J33" s="14"/>
      <c r="K33" s="14">
        <v>197562019.671666</v>
      </c>
    </row>
    <row r="34" spans="1:42" ht="15" customHeight="1" x14ac:dyDescent="0.25">
      <c r="A34" s="13" t="s">
        <v>61</v>
      </c>
      <c r="B34" s="14">
        <v>98642100</v>
      </c>
      <c r="C34" s="14">
        <v>14437200</v>
      </c>
      <c r="D34" s="14">
        <v>12530700</v>
      </c>
      <c r="E34" s="14">
        <v>30170200</v>
      </c>
      <c r="F34" s="14"/>
      <c r="G34" s="14"/>
      <c r="H34" s="14"/>
      <c r="I34" s="14"/>
      <c r="J34" s="14"/>
      <c r="K34" s="14">
        <v>177587063.34797901</v>
      </c>
    </row>
    <row r="46" spans="1:42" ht="15" customHeight="1" x14ac:dyDescent="0.25">
      <c r="M46" s="46" t="s">
        <v>62</v>
      </c>
      <c r="N46" s="1"/>
      <c r="O46" s="1"/>
      <c r="P46" s="35">
        <f>-G6/P17</f>
        <v>0</v>
      </c>
      <c r="Q46" s="35">
        <f>-G7/Q17</f>
        <v>0</v>
      </c>
      <c r="R46" s="35">
        <f>-G8/R17</f>
        <v>0</v>
      </c>
      <c r="S46" s="35">
        <f>-G9/S17</f>
        <v>0</v>
      </c>
      <c r="T46" s="35">
        <f>-G10/T17</f>
        <v>0</v>
      </c>
      <c r="U46" s="35">
        <f>-G11/U17</f>
        <v>0</v>
      </c>
      <c r="V46" s="35">
        <f>-G12/V17</f>
        <v>0</v>
      </c>
      <c r="W46" s="35">
        <f>-G13/W17</f>
        <v>0</v>
      </c>
      <c r="X46" s="35">
        <f>-G14/X17</f>
        <v>0</v>
      </c>
      <c r="Y46" s="35">
        <f>-G15/Y17</f>
        <v>1.469882799561113</v>
      </c>
      <c r="Z46" s="35">
        <f>-G16/Z17</f>
        <v>0.63815667565610545</v>
      </c>
      <c r="AA46" s="35">
        <f>-G17/AA17</f>
        <v>0.69329006780625102</v>
      </c>
      <c r="AB46" s="35">
        <f>-G18/AB17</f>
        <v>0.9523412163774343</v>
      </c>
      <c r="AC46" s="35">
        <f>-G19/AC17</f>
        <v>0.59479773807435621</v>
      </c>
      <c r="AD46" s="35">
        <f>-G20/AD17</f>
        <v>0.66532154236863816</v>
      </c>
      <c r="AE46" s="35">
        <f>-G21/AE17</f>
        <v>0.63366082720285299</v>
      </c>
      <c r="AF46" s="35">
        <f>-G22/AF17</f>
        <v>0.51865976098741673</v>
      </c>
      <c r="AG46" s="35">
        <f>-G23/AG17</f>
        <v>0.75610209115519933</v>
      </c>
      <c r="AH46" s="35">
        <f>-G24/AH17</f>
        <v>0.99950959395672556</v>
      </c>
      <c r="AI46" s="35">
        <f>-G25/AI17</f>
        <v>0.92485775856621955</v>
      </c>
      <c r="AJ46" s="35">
        <f>-G26/AJ17</f>
        <v>0.82337786860355111</v>
      </c>
      <c r="AK46" s="35">
        <f>-G27/AK17</f>
        <v>1.2029176886751278</v>
      </c>
      <c r="AL46" s="35">
        <f>-G28/AL17</f>
        <v>0.79949083320165903</v>
      </c>
      <c r="AM46" s="35">
        <f>-G29/AM17</f>
        <v>0.66819706170604076</v>
      </c>
      <c r="AN46" s="35">
        <f>-G30/AN17</f>
        <v>0.60198908658932104</v>
      </c>
      <c r="AO46" s="35">
        <f>-G31/AO17</f>
        <v>0.87722192968998103</v>
      </c>
      <c r="AP46" s="35">
        <f>-G32/AP17</f>
        <v>0.84675672123890744</v>
      </c>
    </row>
    <row r="47" spans="1:42" ht="15" customHeight="1" x14ac:dyDescent="0.25">
      <c r="M47" s="39" t="s">
        <v>63</v>
      </c>
      <c r="N47" s="32"/>
      <c r="O47" s="32"/>
      <c r="P47" s="36">
        <f>-G6/P18</f>
        <v>0</v>
      </c>
      <c r="Q47" s="36">
        <f>-G7/Q18</f>
        <v>0</v>
      </c>
      <c r="R47" s="36">
        <f>-G8/R18</f>
        <v>0</v>
      </c>
      <c r="S47" s="36">
        <f>-G9/S18</f>
        <v>0</v>
      </c>
      <c r="T47" s="36">
        <f>-G10/T18</f>
        <v>0</v>
      </c>
      <c r="U47" s="36">
        <f>-G11/U18</f>
        <v>0</v>
      </c>
      <c r="V47" s="36">
        <f>-G12/V18</f>
        <v>0</v>
      </c>
      <c r="W47" s="36">
        <f>-G13/W18</f>
        <v>0</v>
      </c>
      <c r="X47" s="36">
        <f>-G14/X18</f>
        <v>0</v>
      </c>
      <c r="Y47" s="36">
        <f>-G15/Y18</f>
        <v>8.3159912174928188</v>
      </c>
      <c r="Z47" s="36">
        <f>-G16/Z18</f>
        <v>1.0491733948326207</v>
      </c>
      <c r="AA47" s="36">
        <f>-G17/AA18</f>
        <v>1.2406920085930082</v>
      </c>
      <c r="AB47" s="36">
        <f>-G18/AB18</f>
        <v>1.719283265625567</v>
      </c>
      <c r="AC47" s="36">
        <f>-G19/AC18</f>
        <v>0.78166260290858069</v>
      </c>
      <c r="AD47" s="36">
        <f>-G20/AD18</f>
        <v>0.80180126469211799</v>
      </c>
      <c r="AE47" s="36">
        <f>-G21/AE18</f>
        <v>0.710056852007793</v>
      </c>
      <c r="AF47" s="36">
        <f>-G22/AF18</f>
        <v>0.6836864326593457</v>
      </c>
      <c r="AG47" s="36">
        <f>-G23/AG18</f>
        <v>0.89907536759193918</v>
      </c>
      <c r="AH47" s="36">
        <f>-G24/AH18</f>
        <v>1.5125259609825672</v>
      </c>
      <c r="AI47" s="36">
        <f>-G25/AI18</f>
        <v>2.0891767274786934</v>
      </c>
      <c r="AJ47" s="36">
        <f>-G26/AJ18</f>
        <v>1.6177684613265804</v>
      </c>
      <c r="AK47" s="36">
        <f>-G27/AK18</f>
        <v>3.6195712793502168</v>
      </c>
      <c r="AL47" s="36">
        <f>-G28/AL18</f>
        <v>1.1422469325503148</v>
      </c>
      <c r="AM47" s="36">
        <f>-G29/AM18</f>
        <v>1.2575598076326768</v>
      </c>
      <c r="AN47" s="36">
        <f>-G30/AN18</f>
        <v>1.7132552241249843</v>
      </c>
      <c r="AO47" s="36">
        <f>-G31/AO18</f>
        <v>5.1995022963290305</v>
      </c>
      <c r="AP47" s="36">
        <f>-G32/AP18</f>
        <v>2.4185202187645047</v>
      </c>
    </row>
    <row r="48" spans="1:42" ht="15" customHeight="1" x14ac:dyDescent="0.25">
      <c r="M48" s="39" t="s">
        <v>64</v>
      </c>
      <c r="N48" s="32"/>
      <c r="O48" s="32"/>
      <c r="P48" s="37">
        <v>11.124999557000001</v>
      </c>
      <c r="Q48" s="37">
        <v>2.1535395904999999</v>
      </c>
      <c r="R48" s="37">
        <v>3.0130756342999998</v>
      </c>
      <c r="S48" s="37">
        <v>2.5507234310000002</v>
      </c>
      <c r="T48" s="37">
        <v>2.1166170266000002</v>
      </c>
      <c r="U48" s="37">
        <v>0.78703402222999996</v>
      </c>
      <c r="V48" s="37">
        <v>1.8540795552</v>
      </c>
      <c r="W48" s="37">
        <v>4.1353385827000002</v>
      </c>
      <c r="X48" s="37">
        <v>0.94031432747999999</v>
      </c>
      <c r="Y48" s="37">
        <v>4.4082446808000002</v>
      </c>
      <c r="Z48" s="37">
        <v>2.8260869565000002</v>
      </c>
      <c r="AA48" s="37">
        <v>2.4472</v>
      </c>
      <c r="AB48" s="37">
        <v>5.401580375</v>
      </c>
      <c r="AC48" s="37">
        <v>3.7491525424000001</v>
      </c>
      <c r="AD48" s="37">
        <v>3.5668202765000001</v>
      </c>
      <c r="AE48" s="37">
        <v>3.0622710622999998</v>
      </c>
      <c r="AF48" s="37">
        <v>3.1230585423999999</v>
      </c>
      <c r="AG48" s="37">
        <v>1.4988452656</v>
      </c>
      <c r="AH48" s="37">
        <v>4.7102342786999998</v>
      </c>
      <c r="AI48" s="37">
        <v>4.0112044818000001</v>
      </c>
      <c r="AJ48" s="37">
        <v>3.9024390244</v>
      </c>
      <c r="AK48" s="37">
        <v>2.537593985</v>
      </c>
      <c r="AL48" s="37">
        <v>3.5760728218</v>
      </c>
      <c r="AM48" s="37">
        <v>2.6277450455000002</v>
      </c>
      <c r="AN48" s="37">
        <v>2.6434504792000002</v>
      </c>
      <c r="AO48" s="37">
        <v>4.4118028534000002</v>
      </c>
      <c r="AP48" s="37">
        <v>5.25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49"/>
  <sheetViews>
    <sheetView showGridLines="0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3.7109375" customWidth="1"/>
    <col min="17" max="23" width="9" customWidth="1"/>
    <col min="24" max="24" width="12.5703125" customWidth="1"/>
    <col min="25" max="30" width="14.28515625" customWidth="1"/>
    <col min="31" max="31" width="10" customWidth="1"/>
    <col min="32" max="36" width="14.28515625" customWidth="1"/>
    <col min="37" max="42" width="15.28515625" customWidth="1"/>
    <col min="43" max="43" width="14.5703125" customWidth="1"/>
    <col min="44" max="44" width="14.7109375" customWidth="1"/>
  </cols>
  <sheetData>
    <row r="1" spans="1:44" ht="15" customHeight="1" x14ac:dyDescent="0.25">
      <c r="A1" s="6" t="s">
        <v>81</v>
      </c>
      <c r="M1" t="s">
        <v>1</v>
      </c>
      <c r="N1" s="7">
        <v>7.1800000000000003E-2</v>
      </c>
    </row>
    <row r="2" spans="1:44" ht="15" customHeight="1" x14ac:dyDescent="0.25">
      <c r="A2" s="6"/>
    </row>
    <row r="3" spans="1:44" ht="15" customHeight="1" x14ac:dyDescent="0.25">
      <c r="M3" s="2" t="s">
        <v>82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M7" s="1" t="s">
        <v>20</v>
      </c>
      <c r="N7" s="1"/>
      <c r="O7" s="5"/>
      <c r="P7" s="4">
        <f>((D5+E5)*P5)</f>
        <v>0</v>
      </c>
      <c r="Q7" s="4">
        <f>((D6+E6+P7+P8)*Q5)</f>
        <v>0</v>
      </c>
      <c r="R7" s="4">
        <f>((D7+E7+Q7+P7+P8+Q8)*R5)</f>
        <v>0</v>
      </c>
      <c r="S7" s="4">
        <f>((D8+E8+R7+Q7+P7+SUM($P$8:R8))*S5)</f>
        <v>0</v>
      </c>
      <c r="T7" s="4">
        <f>((D9+E9+S7+R7+Q7+P7+SUM($P$8:S8))*T5)</f>
        <v>0</v>
      </c>
      <c r="U7" s="4">
        <f>((D10+E10+T7+S7+R7+Q7+P7+SUM($P$8:T8))*U5)</f>
        <v>625.75477939000007</v>
      </c>
      <c r="V7" s="4">
        <f>((D11+E11+U7+T7+S7+R7+Q7+P7+SUM($P$8:U8))*V5)</f>
        <v>1700.7090139275667</v>
      </c>
      <c r="W7" s="4">
        <f>((D12+E12+V7+U7+T7+S7+R7+Q7+P7+SUM($P$8:V8))*W5)</f>
        <v>1676.6220878785339</v>
      </c>
      <c r="X7" s="4">
        <f>((D13+E13+W7+V7+U7+T7+S7+R7+Q7+P7+SUM($P$8:W8))*X5)</f>
        <v>294.53477617090368</v>
      </c>
      <c r="Y7" s="4">
        <f>((D14+E14+X7+W7+V7+U7+T7+S7+R7+Q7+P7+SUM($P$8:X8))*Y5)</f>
        <v>35325.594025334176</v>
      </c>
      <c r="Z7" s="4">
        <f>((E14+F14+Y7+X7+W7+V7+U7+T7+S7+R7+Q7+P7+SUM($P$8:Y8))*Z5)</f>
        <v>20844.960652596816</v>
      </c>
      <c r="AA7" s="4">
        <f>((D16+E16+Z7+Y7+X7+W7+V7+U7+T7+S7+R7+P7+Q7+SUM($P$8:Z8))*AA5)</f>
        <v>58261.605066114294</v>
      </c>
      <c r="AB7" s="4">
        <f>((D17+E17+AA7+Z7+Y7+X7+W7+V7+U7+T7+S7+P7+Q7+R7+SUM($P$8:AA8))*AB5)</f>
        <v>92878.419653483317</v>
      </c>
      <c r="AC7" s="4">
        <f>((D18+E18+AB7+AA7+Z7+Y7+X7+W7+V7+U7+T7+S7+R7+Q7+P7+SUM($P$8:AB8))*AC5)</f>
        <v>84344.758011186001</v>
      </c>
      <c r="AD7" s="4">
        <f>((D19+E19+AC7+AB7+AA7+Z7+Y7+X7+W7+V7+U7+T7+S7+R7+Q7+P7+SUM($P$8:AC8))*AD5)</f>
        <v>128686.19888802541</v>
      </c>
      <c r="AE7" s="4">
        <f>((D20+E20+AD7+AC7+AB7+AA7+Z7+Y7+X7+W7+V7+U7+T7+S7+R7+Q7+P7+SUM($P$8:AD8))*AE5)</f>
        <v>198289.98241676696</v>
      </c>
      <c r="AF7" s="4">
        <f>((E20+F20+AE7+AD7+AC7+AB7+AA7+Z7+Y7+X7+W7+V7+U7+T7+S7+R7+Q7+P7+SUM($P$8:AE8))*AF5)</f>
        <v>189518.70072081903</v>
      </c>
      <c r="AG7" s="4">
        <f>((D22+E22+AF7+AE7+AD7+AC7+AB7+AA7+Z7+Y7+X7+W7+V7+U7+T7+R7+S7+Q7+P7+SUM($P$8:AF8))*AG5)</f>
        <v>214909.14444648405</v>
      </c>
      <c r="AH7" s="4">
        <f>((E22+F22+AG7+AF7+AE7+AD7+AC7+AB7+AA7+Z7+Y7+X7+W7+V7+U7+S7+T7+R7+Q7+P7+SUM($P$8:AG8))*AH5)</f>
        <v>244750.59383066715</v>
      </c>
      <c r="AI7" s="4">
        <f>((F22+G22+AH7+AG7+AF7+AE7+AD7+AC7+AB7+AA7+Z7+Y7+X7+W7+V7+T7+U7+S7+R7+Q7+P7+SUM($P$8:AH8))*AI5)</f>
        <v>137691.95158260068</v>
      </c>
      <c r="AJ7" s="4">
        <f>((G22+H22+AI7+AH7+AG7+AF7+AE7+AD7+AC7+AB7+AA7+Z7+Y7+X7+W7+U7+V7+T7+S7+R7+Q7+P7+SUM($P$8:AI8))*AJ5)</f>
        <v>91340.67398588972</v>
      </c>
      <c r="AK7" s="4">
        <f>((H22+I22+AJ7+AI7+AH7+AG7+AF7+AE7+AD7+AC7+AB7+AA7+Z7+Y7+X7+V7+W7+U7+T7+S7+R7+Q7+P7+SUM($P$8:AJ8))*AK5)</f>
        <v>54914.073206318113</v>
      </c>
      <c r="AL7" s="4">
        <f>((D27+E27+AK7+AJ7+AI7+AH7+AG7+AF7+AE7+AD7+AC7++AB7+AA7+Z7+Y7+X7+W7+V7+U7+T7+S7+R7+Q7+P7+SUM($P$8:AK8))*AL5)</f>
        <v>349560.1953616371</v>
      </c>
      <c r="AM7" s="4">
        <f>((E27+F27+AL7+AK7+AJ7+AI7+AH7+AG7+AF7+AE7+AD7++AC7+AB7+AA7+Z7+Y7+X7+W7+V7+U7+T7+S7+R7+Q7+P7+SUM($P$8:AL8))*AM5)</f>
        <v>415286.21323822817</v>
      </c>
      <c r="AN7" s="4">
        <f>((F27+G27+AM7+AL7+AK7+AJ7+AI7+AH7+AG7+AF7+AE7++AD7+AC7+AB7+AA7+Z7+Y7+X7+W7+V7+U7+T7+S7+R7+Q7+P7+SUM($P$8:AM8))*AN5)</f>
        <v>112953.38539112703</v>
      </c>
      <c r="AO7" s="4">
        <f>((G27+H27+AN7+AM7+AL7+AK7+AJ7+AI7+AH7+AG7+AF7++AE7+AD7+AC7+AB7+AA7+Z7+Y7+X7+W7+V7+U7+T7+S7+R7+Q7+P7+SUM($P$8:AN8))*AO5)</f>
        <v>261904.31622185439</v>
      </c>
      <c r="AP7" s="4">
        <f>((H27+I27+AO7+AN7+AM7+AL7+AK7+AJ7+AI7+AH7+AG7++AF7+AE7+AD7+AC7+AB7+AA7+Z7+Y7+X7+W7+V7+U7+T7+S7+R7+Q7+P7+SUM($P$8:AO8))*AP5)</f>
        <v>222839.4979762669</v>
      </c>
      <c r="AQ7" s="4">
        <f>((I27+J27+AP7+AO7+AN7+AM7+AL7+AK7+AJ7+AI7+AH7++AG7+AF7+AE7+AD7+AC7+AB7+AA7+Z7+Y7+X7+W7+V7+U7+T7+S7+R7+Q7+P7+SUM($P$8:AP8))*AQ5)</f>
        <v>222823.54464169487</v>
      </c>
      <c r="AR7" s="4">
        <f>((J27+K27+AQ7+AP7+AO7+AN7+AM7+AL7+AK7+AJ7+AI7++AH7+AG7+AF7+AE7+AD7+AC7+AB7+AA7+Z7+Y7+X7+W7+V7+U7+T7+S7+R7+Q7+P7+SUM($P$8:AQ8))*AR5)</f>
        <v>944430.22229414736</v>
      </c>
    </row>
    <row r="8" spans="1:44" ht="15" customHeight="1" x14ac:dyDescent="0.25">
      <c r="A8" s="13" t="s">
        <v>21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M8" s="1" t="s">
        <v>22</v>
      </c>
      <c r="N8" s="1"/>
      <c r="O8" s="4"/>
      <c r="P8" s="4">
        <f>((D6+E6)-(D5+E5))*(P5^1/2)</f>
        <v>0</v>
      </c>
      <c r="Q8" s="4">
        <f>((D7+E7)-(D6+E6))*(Q5^1/2)</f>
        <v>0</v>
      </c>
      <c r="R8" s="4">
        <f>((D8+E8)-(D7+E7))*(R5^1/2)</f>
        <v>0</v>
      </c>
      <c r="S8" s="4">
        <f>((D9+E9)-(D8+E8))*(S5^1/2)</f>
        <v>0</v>
      </c>
      <c r="T8" s="4">
        <f>((D10+E10)-(D9+E9))*(T5^1/2)</f>
        <v>236.4717</v>
      </c>
      <c r="U8" s="4">
        <f>((D11+E11)-(D10+E10))*(U5^1/2)</f>
        <v>176.87020000000001</v>
      </c>
      <c r="V8" s="4">
        <f>((D12+E12)-(D11+E11))*(V5^1/2)</f>
        <v>162.3888</v>
      </c>
      <c r="W8" s="4">
        <f>((D13+E13)-(D12+E12))*(W5^1/2)</f>
        <v>-703.35900000000004</v>
      </c>
      <c r="X8" s="4">
        <f>((D14+E14)-(D13+E13))*(X5^1/2)</f>
        <v>22575.457999999999</v>
      </c>
      <c r="Y8" s="4">
        <f>((D15+E15)-(D14+E14))*(Y5^1/2)</f>
        <v>7690.2056999999995</v>
      </c>
      <c r="Z8" s="4">
        <f>((E15+F15)-(E14+F14))*(Z5^1/2)</f>
        <v>4243.8041999999996</v>
      </c>
      <c r="AA8" s="4">
        <f>((D17+E17)-(D16+E16))*(AA5^1/2)</f>
        <v>4572.8825999999999</v>
      </c>
      <c r="AB8" s="4">
        <f>((D18+E18)-(D17+E17))*(AB5^1/2)</f>
        <v>8306.02</v>
      </c>
      <c r="AC8" s="4">
        <f>((D19+E19)-(D18+E18))*(AC5^1/2)</f>
        <v>2871.7530000000002</v>
      </c>
      <c r="AD8" s="4">
        <f>((D20+E20)-(D19+E19))*(AD5/2)</f>
        <v>21368.461950000001</v>
      </c>
      <c r="AE8" s="4">
        <f>((D21+E21)-(D20+E20))*(AE5^1/2)</f>
        <v>8533.1350000000002</v>
      </c>
      <c r="AF8" s="4">
        <f>((D22+E22)-(D21+E21))*(AF5^1/2)</f>
        <v>-2075.39</v>
      </c>
      <c r="AG8" s="4">
        <f>((D23+E23)-(D22+E22))*(AG5^1/2)</f>
        <v>7717.3075499999995</v>
      </c>
      <c r="AH8" s="4">
        <f>((D24+E24)-(D23+E23))*(AH5^1/2)</f>
        <v>17854.18965</v>
      </c>
      <c r="AI8" s="4">
        <f>((D25+E25)-(D24+E24))*(AI5^1/2)</f>
        <v>24005.099249999999</v>
      </c>
      <c r="AJ8" s="4">
        <f>((D26+E26)-(D25+E25))*(AJ5^1/2)</f>
        <v>34267.353900000002</v>
      </c>
      <c r="AK8" s="4">
        <f>((D27+E27)-(D26+E26))*(AK5/2)</f>
        <v>36339.279999999999</v>
      </c>
      <c r="AL8" s="4">
        <f>((D28+E28)-(D27+E27))*(AL5^1/2)</f>
        <v>47680.574999999997</v>
      </c>
      <c r="AM8" s="4">
        <f>((D29+E29)-(D28+E28))*(AM5^1/2)</f>
        <v>99111.5101</v>
      </c>
      <c r="AN8" s="4">
        <f>((D30+E30)-(D29+E29))*(AN5^1/2)</f>
        <v>-8500.5831999999991</v>
      </c>
      <c r="AO8" s="4">
        <f>((D31+E31)-(D30+E30))*(AO5^1/2)</f>
        <v>156106.04999999999</v>
      </c>
      <c r="AP8" s="4">
        <f>((D32+E32)-(D31+E31))*(AP5^1/2)</f>
        <v>751466.73</v>
      </c>
      <c r="AQ8" s="4">
        <f>((D32+E32)-(D31+E31))*(AQ5^1/2)</f>
        <v>599615.93999999994</v>
      </c>
      <c r="AR8" s="4">
        <f>((E32+F32)-(E31+F31))*(AR5^1/2)</f>
        <v>622142.54340000008</v>
      </c>
    </row>
    <row r="9" spans="1:44" ht="15" customHeight="1" x14ac:dyDescent="0.25">
      <c r="A9" s="13" t="s">
        <v>23</v>
      </c>
      <c r="B9" s="16">
        <v>124381</v>
      </c>
      <c r="C9" s="16">
        <v>19931</v>
      </c>
      <c r="D9" s="15">
        <v>0</v>
      </c>
      <c r="E9" s="15">
        <v>0</v>
      </c>
      <c r="F9" s="15">
        <v>0</v>
      </c>
      <c r="G9" s="16">
        <v>-5167</v>
      </c>
      <c r="H9" s="15">
        <v>0</v>
      </c>
      <c r="I9" s="15">
        <v>0</v>
      </c>
      <c r="J9" s="15">
        <v>0</v>
      </c>
      <c r="K9" s="15">
        <v>0</v>
      </c>
      <c r="M9" s="1" t="s">
        <v>24</v>
      </c>
      <c r="N9" s="1"/>
      <c r="O9" s="4"/>
      <c r="P9" s="4">
        <f>+B5*P5</f>
        <v>0</v>
      </c>
      <c r="Q9" s="4">
        <f>+(B6+P9+P10+P14)*Q5</f>
        <v>0</v>
      </c>
      <c r="R9" s="4">
        <f>+(B7+Q9+P9+P10+Q10+P14+Q14)*R5</f>
        <v>0</v>
      </c>
      <c r="S9" s="4">
        <f>+(B8+R9+Q9+P9+P10+Q10+R10+P14+Q14+R14)*S5</f>
        <v>0</v>
      </c>
      <c r="T9" s="4">
        <f>+(B9+S9+R9+Q9+P9+P10+Q10+R10+S10+P14+Q14+R14+S14)*T5</f>
        <v>7425.5457000000006</v>
      </c>
      <c r="U9" s="4">
        <f>+(B10+T9+S9+R9+Q9+P9+P10+Q10+R10+S10+T10+P14+Q14+R14+S14+T14)*U5</f>
        <v>12608.365679390001</v>
      </c>
      <c r="V9" s="4">
        <f>+(B11+U9+T9+S9+R9+Q9+P9+P10+Q10+R10+S10+T10+U10+P14+Q14+R14+S14+T14+U14)*V5</f>
        <v>24082.51161316047</v>
      </c>
      <c r="W9" s="4">
        <f>+(B12+V9+U9+T9+S9+R9+Q9+P9+P10+Q10+R10+S10+T10+U10+V10+P14+Q14+R14+S14+T14+U14+V14)*W5</f>
        <v>18368.66182179729</v>
      </c>
      <c r="X9" s="4">
        <f>+(B13+W9+V9+U9+T9+S9+R9+Q9+P9+P10+Q10+R10+S10+T10+U10+V10+W10+P14+Q14+R14+S14+T14+U14+V14+W14)*X5</f>
        <v>15134.577659454118</v>
      </c>
      <c r="Y9" s="4">
        <f>+(B14+X9+W9+V9+U9+T9+S9+R9+Q9+P9+P10+Q10+R10+S10+T10+U10+V10+W10+X10+P14+Q14+R14+S14+T14+U14+V14+W14+X14)*Y5</f>
        <v>16071.416235894583</v>
      </c>
      <c r="Z9" s="4">
        <f>+(B15+Y9+X9+W9+V9+U9+T9+S9+R9+Q9+P9+P10+Q10+R10+S10+T10+U10+V10+W10+X10+Y10+P14+Q14+R14+S14+T14+U14+V14+W14+X14+Y14)*Z5</f>
        <v>12599.927513635825</v>
      </c>
      <c r="AA9" s="4">
        <f>+(B16+Z9+Y9+X9+W9+V9+U9+T9+S9+R9+Q9+P9+P10+Q10+R10+S10+T10+U10+V10+W10+X10+Y10+Z10+P14+Q14+R14+S14+T14+U14+V14+W14+X14+Y14+Z14)*AA5</f>
        <v>20755.763444992412</v>
      </c>
      <c r="AB9" s="4">
        <f>+(B17+AA9+Z9+Y9+X9+W9+V9+U9+T9+S9+R9+Q9+P9+P10+Q10+R10+S10+T10+U10+V10+W10+X10+Y10+Z10+AA10+P14+Q14+R14+S14+T14+U14+V14+W14+X14+Y14+Z14+AA14)*AB5</f>
        <v>36948.458491311903</v>
      </c>
      <c r="AC9" s="4">
        <f>+(B18+AB9+AA9+Z9+Y9+X9+W9+V9+U9+T9+S9+R9+Q9+P9+P10+Q10+R10+S10+T10+U10+V10+W10+X10+Y10+Z10+AA10+AB10+P14+Q14+R14+S14+T14+U14+V14+W14+X14+Y14+Z14+AA14+AB14)*AC5</f>
        <v>33095.993209220032</v>
      </c>
      <c r="AD9" s="4">
        <f>+(B19+AC9+AB9+AA9+Z9+Y9+X9+W9+V9+U9+T9+S9+R9+Q9+P9+P10+Q10+R10+S10+T10+U10+V10+W10+X10+Y10+Z10+AA10+AB10+AC10+P14+Q14+R14+S14+T14+U14+V14+W14+X14+Y14+Z14+AA14+AB14+AC14)*AD5</f>
        <v>53528.84727594904</v>
      </c>
      <c r="AE9" s="4">
        <f>+(B20+AD9+AC9+AB9+AA9+Z9+Y9+X9+W9+V9+U9+T9+S9+R9+Q9+P9+P10+Q10+R10+S10+T10+U10+V10+W10+X10+Y10+Z10+AA10+AB10+AC10+AD10+P14+Q14+S14++R14+T14+U14+V14+W14+X14+Y14+Z14+AA14+AB14+AC14+AD14)*AE5</f>
        <v>85616.897579660857</v>
      </c>
      <c r="AF9" s="4">
        <f>+(B21+AE9+AD9+AC9+AB9+AA9+Z9+Y9+X9+W9+V9+U9+T9+S9+R9+Q9+P9+P10+Q10+R10+S10+T10+U10+V10+W10+X10+Y10+Z10+AA10+AB10+AC10+AD10+AE10+P14+Q14+R14+S14+T14+U14+V14+W14+X14+Y14+Z14+AA14+AB14+AC14+AD14+AE14)*AF5</f>
        <v>99504.712379238728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120285.75054928154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140788.87313176514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285242.000791286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188043.08820459928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94949.238874591669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133042.46805833324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183607.74778710279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312389.95406710805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740038.39017495594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523373.08484525542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1044451.484010702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1343778.6309151889</v>
      </c>
    </row>
    <row r="10" spans="1:44" ht="15" customHeight="1" x14ac:dyDescent="0.25">
      <c r="A10" s="13" t="s">
        <v>25</v>
      </c>
      <c r="B10" s="16">
        <v>164149</v>
      </c>
      <c r="C10" s="16">
        <v>44655</v>
      </c>
      <c r="D10" s="15">
        <v>0</v>
      </c>
      <c r="E10" s="16">
        <f>7922</f>
        <v>7922</v>
      </c>
      <c r="F10" s="15">
        <v>0</v>
      </c>
      <c r="G10" s="16">
        <v>-7526</v>
      </c>
      <c r="H10" s="15">
        <v>0</v>
      </c>
      <c r="I10" s="15">
        <v>0</v>
      </c>
      <c r="J10" s="15">
        <v>0</v>
      </c>
      <c r="K10" s="15">
        <v>0</v>
      </c>
      <c r="M10" s="22" t="s">
        <v>26</v>
      </c>
      <c r="N10" s="22"/>
      <c r="O10" s="23"/>
      <c r="P10" s="23">
        <f>((B6-B5)*(P5^1/2))</f>
        <v>0</v>
      </c>
      <c r="Q10" s="23">
        <f>((B7-B6)*(Q5^1/2))</f>
        <v>0</v>
      </c>
      <c r="R10" s="23">
        <f>((B8-B7)*(R5/2))</f>
        <v>0</v>
      </c>
      <c r="S10" s="23"/>
      <c r="T10" s="23">
        <f>((B10-B9)*(T5^1/2))</f>
        <v>1187.0748000000001</v>
      </c>
      <c r="U10" s="23">
        <f>((B11-B10)*(U5^1/2))</f>
        <v>1036.56215</v>
      </c>
      <c r="V10" s="23">
        <f>((B12-B11)*(V5^1/2))</f>
        <v>221.53039999999999</v>
      </c>
      <c r="W10" s="23"/>
      <c r="X10" s="23">
        <f>((B14-B13)*(X5/2))</f>
        <v>2309.4119999999998</v>
      </c>
      <c r="Y10" s="23">
        <f>((B15-B14)*(Y5/2))</f>
        <v>2216.0558500000002</v>
      </c>
      <c r="Z10" s="23">
        <f>((B16-B15)*(Z5/2))</f>
        <v>696.3578</v>
      </c>
      <c r="AA10" s="23">
        <f>((B17-B16)*(AA5/2))</f>
        <v>2352.4938999999999</v>
      </c>
      <c r="AB10" s="23">
        <f>((B18-B17)*(AB5^1/2))</f>
        <v>1567.4824999999998</v>
      </c>
      <c r="AC10" s="23">
        <f>((B19-B18)*(AC5^1/2))</f>
        <v>1539.29495</v>
      </c>
      <c r="AD10" s="23">
        <f>((B20-B19)*(AD5/2))</f>
        <v>8571.1843499999995</v>
      </c>
      <c r="AE10" s="23">
        <f>((B21-B20)*(AE5^1/2))</f>
        <v>7209.8325000000004</v>
      </c>
      <c r="AF10" s="23">
        <f>((B22-B21)*(AF5^1/2))</f>
        <v>5961.7640000000001</v>
      </c>
      <c r="AG10" s="23">
        <f>((B23-B22)*(AG5/2))</f>
        <v>486.24525</v>
      </c>
      <c r="AH10" s="23">
        <f>((B24-B23)*(AH5/2))</f>
        <v>10073.186800000001</v>
      </c>
      <c r="AI10" s="23">
        <f>((B25-B24)*(AI5^1/2))</f>
        <v>15261.994550000001</v>
      </c>
      <c r="AJ10" s="23">
        <f>((B26-B25)*(AJ5/2))</f>
        <v>8032.7388499999997</v>
      </c>
      <c r="AK10" s="23">
        <f>((B27-B26)*(AK5/2))</f>
        <v>5955.0912499999995</v>
      </c>
      <c r="AL10" s="23">
        <f>((B28-B27)*(AL5^1/2))</f>
        <v>9258.3187500000004</v>
      </c>
      <c r="AM10" s="23">
        <f>((B29-B28)*(AM5/2))</f>
        <v>50707.796499999997</v>
      </c>
      <c r="AN10" s="23">
        <f>((B30-B29)*(AN5/2))</f>
        <v>13675.870199999999</v>
      </c>
      <c r="AO10" s="23">
        <f>((B31-B30)*(AO5/2))</f>
        <v>78690.879300000001</v>
      </c>
      <c r="AP10" s="23">
        <f>((B32-B31)*(AP5^1/2))</f>
        <v>374673.96870000003</v>
      </c>
      <c r="AQ10" s="23">
        <f>((C32-C31)*(AQ5/2))</f>
        <v>-4605.4700999999995</v>
      </c>
      <c r="AR10" s="23">
        <f>((D32-D31)*(AR5^1/2))</f>
        <v>5572.7574000000004</v>
      </c>
    </row>
    <row r="11" spans="1:44" ht="15" customHeight="1" x14ac:dyDescent="0.25">
      <c r="A11" s="13" t="s">
        <v>27</v>
      </c>
      <c r="B11" s="16">
        <v>191178</v>
      </c>
      <c r="C11" s="16">
        <v>42981</v>
      </c>
      <c r="D11" s="15">
        <v>0</v>
      </c>
      <c r="E11" s="16">
        <f>12534</f>
        <v>12534</v>
      </c>
      <c r="F11" s="15">
        <v>0</v>
      </c>
      <c r="G11" s="16">
        <v>-15000</v>
      </c>
      <c r="H11" s="15">
        <v>0</v>
      </c>
      <c r="I11" s="15">
        <v>0</v>
      </c>
      <c r="J11" s="15">
        <v>0</v>
      </c>
      <c r="K11" s="15">
        <v>0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6">
        <v>194714</v>
      </c>
      <c r="C12" s="16">
        <v>26649</v>
      </c>
      <c r="D12" s="15">
        <v>0</v>
      </c>
      <c r="E12" s="16">
        <v>15126</v>
      </c>
      <c r="F12" s="15">
        <v>0</v>
      </c>
      <c r="G12" s="16">
        <f>-20*1000</f>
        <v>-20000</v>
      </c>
      <c r="H12" s="15">
        <v>0</v>
      </c>
      <c r="I12" s="15">
        <v>0</v>
      </c>
      <c r="J12" s="15">
        <v>0</v>
      </c>
      <c r="K12" s="15">
        <v>0</v>
      </c>
      <c r="M12" s="1" t="s">
        <v>30</v>
      </c>
      <c r="N12" s="1"/>
      <c r="O12" s="1"/>
      <c r="P12" s="4">
        <v>0</v>
      </c>
      <c r="Q12" s="24">
        <f>-($P$7+$P$8)*$N$1</f>
        <v>0</v>
      </c>
      <c r="R12" s="24">
        <f>-((($P$7+$P$8)*(1+Q5))+($Q$7+$Q$8))*N1</f>
        <v>0</v>
      </c>
      <c r="S12" s="24">
        <f>-((($P$7+$P$8)*(1+Q5)*(1+R5))+(($Q$7+$Q$8)*(1+R5))+((R7+R8)))*$N$1</f>
        <v>0</v>
      </c>
      <c r="T12" s="24">
        <f>-((($P$7+$P$8)*(1+R5)*(1+S5)*(1+Q5))+(($Q$7+$Q$8)*(1+S5)*(1+R5))+((R7+R8)*(1+S5))+((S7+S8)))*$N$1</f>
        <v>0</v>
      </c>
      <c r="U12" s="24">
        <f>-((($P$7+$P$8)*(1+T5)*(1+R5)*(1+S5)*(1+Q5))+(($Q$7+$Q$8)*(1+T5)*(1+S5)*(1+R5))+((R7+R8)*(1+S5)*(1+T5))+((S7+S8)*(1+T5))+(T7+T8))*$N$1</f>
        <v>-16.97866806</v>
      </c>
      <c r="V12" s="24">
        <f>-((($P$7+$P$8)*(1+U5)*(1+S5)*(1+T5)*(1+R5)*(1+Q5))+(($Q$7+$Q$8)*(1+U5)*(1+T5)*(1+S5)*(1+R5))+(($R$7+$R$8)*(1+U5)*(1+T5)*(1+S5))+((S7+S8)*(1+T5)*(1+U5))+((T7+T8)*(1+U5))+(U7+U8))*$N$1</f>
        <v>-75.909405420404013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-219.19127695957991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-309.45635542649961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-1975.0405197679845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-5175.954745621777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-7139.8530410507519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-11969.806701108622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-19941.068063594135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-27062.673587738194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-39436.002244943746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-56849.242221388951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-73627.667676872865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-93963.642089923611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-118841.73500179961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-142966.4241378009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-161056.31075221885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-172314.57029293291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-207253.48060289567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-253172.16667347294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-272059.77086553973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-329422.49268096732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-418463.69486927794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-403620.99413579743</v>
      </c>
    </row>
    <row r="13" spans="1:44" ht="15" customHeight="1" x14ac:dyDescent="0.25">
      <c r="A13" s="13" t="s">
        <v>31</v>
      </c>
      <c r="B13" s="16">
        <v>195607</v>
      </c>
      <c r="C13" s="16">
        <v>6406</v>
      </c>
      <c r="D13" s="15">
        <v>0</v>
      </c>
      <c r="E13" s="16">
        <v>0</v>
      </c>
      <c r="F13" s="15">
        <v>0</v>
      </c>
      <c r="G13" s="16">
        <v>-51100</v>
      </c>
      <c r="H13" s="15">
        <v>0</v>
      </c>
      <c r="I13" s="15">
        <v>0</v>
      </c>
      <c r="J13" s="15">
        <v>0</v>
      </c>
      <c r="K13" s="15">
        <v>0</v>
      </c>
      <c r="M13" t="s">
        <v>32</v>
      </c>
      <c r="P13">
        <v>0</v>
      </c>
      <c r="Q13" s="24">
        <f t="shared" ref="Q13:AR13" si="0">Q12*Q5</f>
        <v>0</v>
      </c>
      <c r="R13" s="24">
        <f t="shared" si="0"/>
        <v>0</v>
      </c>
      <c r="S13" s="24">
        <f t="shared" si="0"/>
        <v>0</v>
      </c>
      <c r="T13" s="24">
        <f t="shared" si="0"/>
        <v>0</v>
      </c>
      <c r="U13" s="24">
        <f t="shared" si="0"/>
        <v>-1.3022638402020001</v>
      </c>
      <c r="V13" s="24">
        <f t="shared" si="0"/>
        <v>-9.5114484991766233</v>
      </c>
      <c r="W13" s="24">
        <f t="shared" si="0"/>
        <v>-20.38478875724093</v>
      </c>
      <c r="X13" s="24">
        <f t="shared" si="0"/>
        <v>-23.51868301241397</v>
      </c>
      <c r="Y13" s="24">
        <f t="shared" si="0"/>
        <v>-112.37980557479831</v>
      </c>
      <c r="Z13" s="24">
        <f t="shared" si="0"/>
        <v>-162.52497901252377</v>
      </c>
      <c r="AA13" s="24">
        <f t="shared" si="0"/>
        <v>-318.43744563086352</v>
      </c>
      <c r="AB13" s="24">
        <f t="shared" si="0"/>
        <v>-706.21859536540865</v>
      </c>
      <c r="AC13" s="24">
        <f t="shared" si="0"/>
        <v>-859.46003354090726</v>
      </c>
      <c r="AD13" s="24">
        <f t="shared" si="0"/>
        <v>-1599.4040090353274</v>
      </c>
      <c r="AE13" s="24">
        <f t="shared" si="0"/>
        <v>-2563.3401459213437</v>
      </c>
      <c r="AF13" s="24">
        <f t="shared" si="0"/>
        <v>-3319.9957457291148</v>
      </c>
      <c r="AG13" s="24">
        <f t="shared" si="0"/>
        <v>-4351.3951597031864</v>
      </c>
      <c r="AH13" s="24">
        <f t="shared" si="0"/>
        <v>-6023.069457964104</v>
      </c>
      <c r="AI13" s="24">
        <f t="shared" si="0"/>
        <v>-12680.413124692019</v>
      </c>
      <c r="AJ13" s="24">
        <f t="shared" si="0"/>
        <v>-8992.5880782676759</v>
      </c>
      <c r="AK13" s="24">
        <f t="shared" si="0"/>
        <v>-4751.1611671904557</v>
      </c>
      <c r="AL13" s="24">
        <f t="shared" si="0"/>
        <v>-6461.7963859849842</v>
      </c>
      <c r="AM13" s="24">
        <f t="shared" si="0"/>
        <v>-8932.6250139848034</v>
      </c>
      <c r="AN13" s="24">
        <f t="shared" si="0"/>
        <v>-11443.381933640976</v>
      </c>
      <c r="AO13" s="24">
        <f t="shared" si="0"/>
        <v>-27369.212949073295</v>
      </c>
      <c r="AP13" s="24">
        <f t="shared" si="0"/>
        <v>-19073.56232622801</v>
      </c>
      <c r="AQ13" s="24">
        <f t="shared" si="0"/>
        <v>-19333.022702960639</v>
      </c>
      <c r="AR13" s="24">
        <f t="shared" si="0"/>
        <v>-19494.894016759015</v>
      </c>
    </row>
    <row r="14" spans="1:44" ht="15" customHeight="1" x14ac:dyDescent="0.25">
      <c r="A14" s="13" t="s">
        <v>33</v>
      </c>
      <c r="B14" s="14">
        <v>256381</v>
      </c>
      <c r="C14" s="14">
        <v>102343</v>
      </c>
      <c r="D14" s="15">
        <v>0</v>
      </c>
      <c r="E14" s="14">
        <v>594091</v>
      </c>
      <c r="F14" s="15">
        <v>0</v>
      </c>
      <c r="G14" s="15">
        <v>0</v>
      </c>
      <c r="H14" s="15">
        <v>0</v>
      </c>
      <c r="I14" s="14">
        <v>15360</v>
      </c>
      <c r="J14" s="15">
        <v>0</v>
      </c>
      <c r="K14" s="15">
        <v>0</v>
      </c>
      <c r="M14" s="39" t="s">
        <v>34</v>
      </c>
      <c r="N14" s="39"/>
      <c r="O14" s="40"/>
      <c r="P14" s="40">
        <f t="shared" ref="P14:AR14" si="1">(P7+P8)-(P9+P10)+P12+P13</f>
        <v>0</v>
      </c>
      <c r="Q14" s="40">
        <f t="shared" si="1"/>
        <v>0</v>
      </c>
      <c r="R14" s="40">
        <f t="shared" si="1"/>
        <v>0</v>
      </c>
      <c r="S14" s="40">
        <f t="shared" si="1"/>
        <v>0</v>
      </c>
      <c r="T14" s="40">
        <f t="shared" si="1"/>
        <v>-8376.1488000000008</v>
      </c>
      <c r="U14" s="40">
        <f t="shared" si="1"/>
        <v>-12860.583781900201</v>
      </c>
      <c r="V14" s="40">
        <f t="shared" si="1"/>
        <v>-22526.36505315248</v>
      </c>
      <c r="W14" s="40">
        <f t="shared" si="1"/>
        <v>-17634.974799635576</v>
      </c>
      <c r="X14" s="40">
        <f t="shared" si="1"/>
        <v>5093.0280782778736</v>
      </c>
      <c r="Y14" s="40">
        <f t="shared" si="1"/>
        <v>22640.90731409681</v>
      </c>
      <c r="Z14" s="40">
        <f t="shared" si="1"/>
        <v>6453.9998143266894</v>
      </c>
      <c r="AA14" s="40">
        <f t="shared" si="1"/>
        <v>32267.939834440265</v>
      </c>
      <c r="AB14" s="40">
        <f t="shared" si="1"/>
        <v>49992.473365697384</v>
      </c>
      <c r="AC14" s="40">
        <f t="shared" si="1"/>
        <v>31780.694754830918</v>
      </c>
      <c r="AD14" s="40">
        <f t="shared" si="1"/>
        <v>59292.551615302858</v>
      </c>
      <c r="AE14" s="40">
        <f t="shared" si="1"/>
        <v>71997.044946241003</v>
      </c>
      <c r="AF14" s="40">
        <f t="shared" si="1"/>
        <v>21807.596374462228</v>
      </c>
      <c r="AG14" s="40">
        <f t="shared" si="1"/>
        <v>23875.393360626447</v>
      </c>
      <c r="AH14" s="40">
        <f t="shared" si="1"/>
        <v>11756.012001014309</v>
      </c>
      <c r="AI14" s="40">
        <f t="shared" si="1"/>
        <v>-270329.09263517696</v>
      </c>
      <c r="AJ14" s="40">
        <f t="shared" si="1"/>
        <v>-222426.81138477812</v>
      </c>
      <c r="AK14" s="40">
        <f t="shared" si="1"/>
        <v>-175458.4488376829</v>
      </c>
      <c r="AL14" s="40">
        <f t="shared" si="1"/>
        <v>76163.616874385974</v>
      </c>
      <c r="AM14" s="40">
        <f t="shared" si="1"/>
        <v>63896.07343424495</v>
      </c>
      <c r="AN14" s="40">
        <f t="shared" si="1"/>
        <v>-486228.57068309496</v>
      </c>
      <c r="AO14" s="40">
        <f t="shared" si="1"/>
        <v>-700147.88706771459</v>
      </c>
      <c r="AP14" s="40">
        <f t="shared" si="1"/>
        <v>-272236.8805761839</v>
      </c>
      <c r="AQ14" s="40">
        <f t="shared" si="1"/>
        <v>-655203.24684124568</v>
      </c>
      <c r="AR14" s="40">
        <f t="shared" si="1"/>
        <v>-205894.51077359793</v>
      </c>
    </row>
    <row r="15" spans="1:44" ht="15" customHeight="1" x14ac:dyDescent="0.25">
      <c r="A15" s="13" t="s">
        <v>35</v>
      </c>
      <c r="B15" s="14">
        <v>334274</v>
      </c>
      <c r="C15" s="14">
        <v>96720</v>
      </c>
      <c r="D15" s="15">
        <v>0</v>
      </c>
      <c r="E15" s="14">
        <v>864397</v>
      </c>
      <c r="F15" s="15">
        <v>0</v>
      </c>
      <c r="G15" s="14">
        <v>-34199</v>
      </c>
      <c r="H15" s="15">
        <v>0</v>
      </c>
      <c r="I15" s="14">
        <v>63303</v>
      </c>
      <c r="J15" s="17">
        <v>1.9362976187000001</v>
      </c>
      <c r="K15" s="14">
        <v>1799777.7215</v>
      </c>
    </row>
    <row r="16" spans="1:44" ht="15" customHeight="1" x14ac:dyDescent="0.25">
      <c r="A16" s="13" t="s">
        <v>36</v>
      </c>
      <c r="B16" s="14">
        <v>378628</v>
      </c>
      <c r="C16" s="14">
        <v>118411</v>
      </c>
      <c r="D16" s="15">
        <v>0</v>
      </c>
      <c r="E16" s="14">
        <v>1211464</v>
      </c>
      <c r="F16" s="15">
        <v>0</v>
      </c>
      <c r="G16" s="14">
        <v>-44260</v>
      </c>
      <c r="H16" s="20">
        <v>0.95451593391</v>
      </c>
      <c r="I16" s="14">
        <v>67236</v>
      </c>
      <c r="J16" s="17">
        <v>4.4193646661999999</v>
      </c>
      <c r="K16" s="14">
        <v>4310759.4237000002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484121</v>
      </c>
      <c r="C17" s="14">
        <v>156992</v>
      </c>
      <c r="D17" s="15">
        <v>0</v>
      </c>
      <c r="E17" s="14">
        <v>1416526</v>
      </c>
      <c r="F17" s="15">
        <v>0</v>
      </c>
      <c r="G17" s="14">
        <v>-225135</v>
      </c>
      <c r="H17" s="20">
        <v>6.1050714664000001</v>
      </c>
      <c r="I17" s="14">
        <v>201708</v>
      </c>
      <c r="J17" s="17">
        <v>4.1233183651000003</v>
      </c>
      <c r="K17" s="14">
        <v>3810264.12</v>
      </c>
      <c r="L17" s="41" t="str">
        <f>+L19</f>
        <v>Localiza ON</v>
      </c>
      <c r="M17" s="2" t="s">
        <v>38</v>
      </c>
      <c r="N17" s="2"/>
      <c r="O17" s="28"/>
      <c r="P17" s="42">
        <f>+C6</f>
        <v>0</v>
      </c>
      <c r="Q17" s="42">
        <f>C7</f>
        <v>0</v>
      </c>
      <c r="R17" s="42">
        <f>C8</f>
        <v>0</v>
      </c>
      <c r="S17" s="42">
        <f>C9</f>
        <v>19931</v>
      </c>
      <c r="T17" s="42">
        <f>C10</f>
        <v>44655</v>
      </c>
      <c r="U17" s="42">
        <f>C11</f>
        <v>42981</v>
      </c>
      <c r="V17" s="42"/>
      <c r="W17" s="42"/>
      <c r="X17" s="42">
        <f>C14</f>
        <v>102343</v>
      </c>
      <c r="Y17" s="42">
        <f>C15</f>
        <v>96720</v>
      </c>
      <c r="Z17" s="42">
        <f>C16</f>
        <v>118411</v>
      </c>
      <c r="AA17" s="42">
        <f>C17</f>
        <v>156992</v>
      </c>
      <c r="AB17" s="42">
        <f>C18</f>
        <v>136517</v>
      </c>
      <c r="AC17" s="42">
        <f>C19</f>
        <v>102030</v>
      </c>
      <c r="AD17" s="42">
        <f>C20</f>
        <v>255892</v>
      </c>
      <c r="AE17" s="42">
        <f>C21</f>
        <v>291642</v>
      </c>
      <c r="AF17" s="42">
        <f>C22</f>
        <v>240936</v>
      </c>
      <c r="AG17" s="42">
        <f>C23</f>
        <v>384344</v>
      </c>
      <c r="AH17" s="42">
        <f>C24</f>
        <v>410589</v>
      </c>
      <c r="AI17" s="42">
        <f>C25</f>
        <v>402427</v>
      </c>
      <c r="AJ17" s="42">
        <f>C26</f>
        <v>409315</v>
      </c>
      <c r="AK17" s="42">
        <f>C27</f>
        <v>505676</v>
      </c>
      <c r="AL17" s="42">
        <f>C28</f>
        <v>659208</v>
      </c>
      <c r="AM17" s="42">
        <f>C29</f>
        <v>833938</v>
      </c>
      <c r="AN17" s="42">
        <f>C30</f>
        <v>1048180</v>
      </c>
      <c r="AO17" s="42">
        <f>C31</f>
        <v>2043677</v>
      </c>
      <c r="AP17" s="42">
        <f>C32</f>
        <v>1844306</v>
      </c>
      <c r="AQ17" s="42">
        <f>D32</f>
        <v>373785</v>
      </c>
      <c r="AR17" s="42">
        <f>E32</f>
        <v>43020498</v>
      </c>
    </row>
    <row r="18" spans="1:44" ht="15" customHeight="1" x14ac:dyDescent="0.25">
      <c r="A18" s="13" t="s">
        <v>39</v>
      </c>
      <c r="B18" s="14">
        <v>537256</v>
      </c>
      <c r="C18" s="14">
        <v>136517</v>
      </c>
      <c r="D18" s="15">
        <v>0</v>
      </c>
      <c r="E18" s="14">
        <v>1698086</v>
      </c>
      <c r="F18" s="15">
        <v>0</v>
      </c>
      <c r="G18" s="14">
        <v>-55005</v>
      </c>
      <c r="H18" s="20">
        <v>3.9737735634</v>
      </c>
      <c r="I18" s="14">
        <v>197482</v>
      </c>
      <c r="J18" s="17">
        <v>1.5849105096</v>
      </c>
      <c r="K18" s="14">
        <v>1402122.2</v>
      </c>
      <c r="L18" s="43" t="str">
        <f>+L19</f>
        <v>Localiza ON</v>
      </c>
      <c r="M18" s="18" t="s">
        <v>40</v>
      </c>
      <c r="N18" s="18"/>
      <c r="O18" s="25"/>
      <c r="P18" s="44">
        <f t="shared" ref="P18:V18" si="2">P14+P17</f>
        <v>0</v>
      </c>
      <c r="Q18" s="44">
        <f t="shared" si="2"/>
        <v>0</v>
      </c>
      <c r="R18" s="44">
        <f t="shared" si="2"/>
        <v>0</v>
      </c>
      <c r="S18" s="44">
        <f t="shared" si="2"/>
        <v>19931</v>
      </c>
      <c r="T18" s="44">
        <f t="shared" si="2"/>
        <v>36278.851199999997</v>
      </c>
      <c r="U18" s="44">
        <f t="shared" si="2"/>
        <v>30120.416218099799</v>
      </c>
      <c r="V18" s="44">
        <f t="shared" si="2"/>
        <v>-22526.36505315248</v>
      </c>
      <c r="W18" s="44"/>
      <c r="X18" s="44">
        <f t="shared" ref="X18:AR18" si="3">X14+X17</f>
        <v>107436.02807827787</v>
      </c>
      <c r="Y18" s="44">
        <f t="shared" si="3"/>
        <v>119360.90731409681</v>
      </c>
      <c r="Z18" s="44">
        <f t="shared" si="3"/>
        <v>124864.99981432669</v>
      </c>
      <c r="AA18" s="44">
        <f t="shared" si="3"/>
        <v>189259.93983444027</v>
      </c>
      <c r="AB18" s="44">
        <f t="shared" si="3"/>
        <v>186509.47336569737</v>
      </c>
      <c r="AC18" s="44">
        <f t="shared" si="3"/>
        <v>133810.69475483091</v>
      </c>
      <c r="AD18" s="44">
        <f t="shared" si="3"/>
        <v>315184.55161530286</v>
      </c>
      <c r="AE18" s="44">
        <f t="shared" si="3"/>
        <v>363639.04494624102</v>
      </c>
      <c r="AF18" s="44">
        <f t="shared" si="3"/>
        <v>262743.59637446224</v>
      </c>
      <c r="AG18" s="44">
        <f t="shared" si="3"/>
        <v>408219.39336062642</v>
      </c>
      <c r="AH18" s="44">
        <f t="shared" si="3"/>
        <v>422345.01200101431</v>
      </c>
      <c r="AI18" s="44">
        <f t="shared" si="3"/>
        <v>132097.90736482304</v>
      </c>
      <c r="AJ18" s="44">
        <f t="shared" si="3"/>
        <v>186888.18861522188</v>
      </c>
      <c r="AK18" s="44">
        <f t="shared" si="3"/>
        <v>330217.5511623171</v>
      </c>
      <c r="AL18" s="44">
        <f t="shared" si="3"/>
        <v>735371.61687438597</v>
      </c>
      <c r="AM18" s="44">
        <f t="shared" si="3"/>
        <v>897834.07343424496</v>
      </c>
      <c r="AN18" s="44">
        <f t="shared" si="3"/>
        <v>561951.42931690509</v>
      </c>
      <c r="AO18" s="44">
        <f t="shared" si="3"/>
        <v>1343529.1129322853</v>
      </c>
      <c r="AP18" s="44">
        <f t="shared" si="3"/>
        <v>1572069.119423816</v>
      </c>
      <c r="AQ18" s="44">
        <f t="shared" si="3"/>
        <v>-281418.24684124568</v>
      </c>
      <c r="AR18" s="44">
        <f t="shared" si="3"/>
        <v>42814603.489226401</v>
      </c>
    </row>
    <row r="19" spans="1:44" ht="15" customHeight="1" x14ac:dyDescent="0.25">
      <c r="A19" s="13" t="s">
        <v>41</v>
      </c>
      <c r="B19" s="14">
        <v>608685</v>
      </c>
      <c r="C19" s="14">
        <v>102030</v>
      </c>
      <c r="D19" s="15">
        <v>0</v>
      </c>
      <c r="E19" s="14">
        <v>1831346</v>
      </c>
      <c r="F19" s="15">
        <v>0</v>
      </c>
      <c r="G19" s="14">
        <v>-39606</v>
      </c>
      <c r="H19" s="20">
        <v>0.80867739130000005</v>
      </c>
      <c r="I19" s="14">
        <v>197482</v>
      </c>
      <c r="J19" s="17">
        <v>4.3737293874000001</v>
      </c>
      <c r="K19" s="14">
        <v>3815352.24</v>
      </c>
      <c r="L19" s="18" t="str">
        <f>+A1</f>
        <v>Localiza ON</v>
      </c>
      <c r="M19" s="18" t="s">
        <v>42</v>
      </c>
      <c r="N19" s="18"/>
      <c r="O19" s="31"/>
      <c r="P19" s="45"/>
      <c r="Q19" s="45"/>
      <c r="R19" s="45"/>
      <c r="S19" s="45"/>
      <c r="T19" s="45"/>
      <c r="U19" s="45"/>
      <c r="V19" s="45"/>
      <c r="W19" s="45"/>
      <c r="X19" s="45">
        <f t="shared" ref="X19:AR19" si="4">X18/X17</f>
        <v>1.0497643031597459</v>
      </c>
      <c r="Y19" s="45">
        <f t="shared" si="4"/>
        <v>1.2340871310390489</v>
      </c>
      <c r="Z19" s="45">
        <f t="shared" si="4"/>
        <v>1.0545050697513465</v>
      </c>
      <c r="AA19" s="45">
        <f t="shared" si="4"/>
        <v>1.2055387525124865</v>
      </c>
      <c r="AB19" s="45">
        <f t="shared" si="4"/>
        <v>1.3661996188437877</v>
      </c>
      <c r="AC19" s="45">
        <f t="shared" si="4"/>
        <v>1.3114838258828865</v>
      </c>
      <c r="AD19" s="45">
        <f t="shared" si="4"/>
        <v>1.231709282100663</v>
      </c>
      <c r="AE19" s="45">
        <f t="shared" si="4"/>
        <v>1.2468678892143141</v>
      </c>
      <c r="AF19" s="45">
        <f t="shared" si="4"/>
        <v>1.0905119881398473</v>
      </c>
      <c r="AG19" s="45">
        <f t="shared" si="4"/>
        <v>1.0621198545069688</v>
      </c>
      <c r="AH19" s="45">
        <f t="shared" si="4"/>
        <v>1.0286320675931755</v>
      </c>
      <c r="AI19" s="45">
        <f t="shared" si="4"/>
        <v>0.32825309277166553</v>
      </c>
      <c r="AJ19" s="45">
        <f t="shared" si="4"/>
        <v>0.45658768580487369</v>
      </c>
      <c r="AK19" s="45">
        <f t="shared" si="4"/>
        <v>0.65302199661901517</v>
      </c>
      <c r="AL19" s="45">
        <f t="shared" si="4"/>
        <v>1.1155380651848672</v>
      </c>
      <c r="AM19" s="45">
        <f t="shared" si="4"/>
        <v>1.076619692871946</v>
      </c>
      <c r="AN19" s="45">
        <f t="shared" si="4"/>
        <v>0.53612111404234497</v>
      </c>
      <c r="AO19" s="45">
        <f t="shared" si="4"/>
        <v>0.65740775716137401</v>
      </c>
      <c r="AP19" s="45">
        <f t="shared" si="4"/>
        <v>0.85239061165761865</v>
      </c>
      <c r="AQ19" s="45">
        <f t="shared" si="4"/>
        <v>-0.75288801541326078</v>
      </c>
      <c r="AR19" s="45">
        <f t="shared" si="4"/>
        <v>0.99521403702082667</v>
      </c>
    </row>
    <row r="20" spans="1:44" ht="15" customHeight="1" x14ac:dyDescent="0.25">
      <c r="A20" s="13" t="s">
        <v>43</v>
      </c>
      <c r="B20" s="14">
        <v>898742</v>
      </c>
      <c r="C20" s="14">
        <v>255892</v>
      </c>
      <c r="D20" s="14">
        <v>12255</v>
      </c>
      <c r="E20" s="14">
        <v>2542220</v>
      </c>
      <c r="F20" s="14">
        <v>0</v>
      </c>
      <c r="G20" s="14">
        <v>-34900</v>
      </c>
      <c r="H20" s="20">
        <v>0.6594428188</v>
      </c>
      <c r="I20" s="14">
        <v>197482</v>
      </c>
      <c r="J20" s="17">
        <v>6.1395216804999997</v>
      </c>
      <c r="K20" s="14">
        <v>5292433.7059000004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1120583</v>
      </c>
      <c r="C21" s="14">
        <v>291642</v>
      </c>
      <c r="D21" s="14">
        <v>22797</v>
      </c>
      <c r="E21" s="14">
        <v>2794236</v>
      </c>
      <c r="F21" s="14">
        <v>0</v>
      </c>
      <c r="G21" s="14">
        <v>-79645</v>
      </c>
      <c r="H21" s="20">
        <v>1.5797246992</v>
      </c>
      <c r="I21" s="14">
        <v>197525</v>
      </c>
      <c r="J21" s="17">
        <v>5.9319943125999997</v>
      </c>
      <c r="K21" s="14">
        <v>5042572.0562000005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1324753</v>
      </c>
      <c r="C22" s="14">
        <v>240936</v>
      </c>
      <c r="D22" s="14">
        <v>40729</v>
      </c>
      <c r="E22" s="14">
        <v>2705229</v>
      </c>
      <c r="F22" s="14">
        <v>0</v>
      </c>
      <c r="G22" s="14">
        <v>-85179</v>
      </c>
      <c r="H22" s="20">
        <v>1.1505564999</v>
      </c>
      <c r="I22" s="14">
        <v>198550</v>
      </c>
      <c r="J22" s="17">
        <v>8.8098832162999994</v>
      </c>
      <c r="K22" s="14">
        <v>7429773.6106000002</v>
      </c>
      <c r="L22" s="47" t="str">
        <f>+L24</f>
        <v>Localiza ON</v>
      </c>
      <c r="M22" s="39" t="s">
        <v>46</v>
      </c>
      <c r="N22" s="32"/>
      <c r="O22" s="32"/>
      <c r="P22" s="30">
        <v>0</v>
      </c>
      <c r="Q22" s="30">
        <v>0</v>
      </c>
      <c r="R22" s="30">
        <v>0</v>
      </c>
      <c r="S22" s="30">
        <v>10502002</v>
      </c>
      <c r="T22" s="30">
        <v>10565590</v>
      </c>
      <c r="U22" s="30">
        <v>191178</v>
      </c>
      <c r="V22" s="30">
        <v>194714</v>
      </c>
      <c r="W22" s="30">
        <v>195607</v>
      </c>
      <c r="X22" s="30">
        <v>256381</v>
      </c>
      <c r="Y22" s="30">
        <v>334274</v>
      </c>
      <c r="Z22" s="30">
        <v>378628</v>
      </c>
      <c r="AA22" s="30">
        <v>484121</v>
      </c>
      <c r="AB22" s="30">
        <v>537256</v>
      </c>
      <c r="AC22" s="30">
        <v>608685</v>
      </c>
      <c r="AD22" s="30">
        <v>898742</v>
      </c>
      <c r="AE22" s="30">
        <v>1120583</v>
      </c>
      <c r="AF22" s="30">
        <v>1324753</v>
      </c>
      <c r="AG22" s="30">
        <v>1341208</v>
      </c>
      <c r="AH22" s="30">
        <v>1655504</v>
      </c>
      <c r="AI22" s="30">
        <v>1941577</v>
      </c>
      <c r="AJ22" s="30">
        <v>2196990</v>
      </c>
      <c r="AK22" s="30">
        <v>2600725</v>
      </c>
      <c r="AL22" s="30">
        <v>3094502</v>
      </c>
      <c r="AM22" s="30">
        <v>5447532</v>
      </c>
      <c r="AN22" s="30">
        <v>6052659</v>
      </c>
      <c r="AO22" s="30">
        <v>7617090</v>
      </c>
      <c r="AP22" s="30">
        <v>20559196</v>
      </c>
      <c r="AQ22" s="30">
        <v>20559196</v>
      </c>
      <c r="AR22" s="30">
        <v>20559196</v>
      </c>
    </row>
    <row r="23" spans="1:44" ht="15" customHeight="1" x14ac:dyDescent="0.25">
      <c r="A23" s="13" t="s">
        <v>47</v>
      </c>
      <c r="B23" s="14">
        <v>1341208</v>
      </c>
      <c r="C23" s="14">
        <v>384344</v>
      </c>
      <c r="D23" s="14">
        <v>59645</v>
      </c>
      <c r="E23" s="14">
        <v>2947474</v>
      </c>
      <c r="F23" s="14">
        <v>0</v>
      </c>
      <c r="G23" s="14">
        <v>-315582</v>
      </c>
      <c r="H23" s="20">
        <v>4.5692213580000001</v>
      </c>
      <c r="I23" s="14">
        <v>208035</v>
      </c>
      <c r="J23" s="17">
        <v>8.5688114076000002</v>
      </c>
      <c r="K23" s="14">
        <v>6906602.5440999996</v>
      </c>
      <c r="L23" s="47" t="str">
        <f>+L25</f>
        <v>Localiza ON</v>
      </c>
      <c r="M23" s="39" t="s">
        <v>48</v>
      </c>
      <c r="N23" s="32"/>
      <c r="O23" s="32"/>
      <c r="P23" s="30">
        <f>P22+P9+P10+P14</f>
        <v>0</v>
      </c>
      <c r="Q23" s="33">
        <f>Q22+Q9+Q10+Q14+((P9+P10+P14)*(1+Q5))</f>
        <v>0</v>
      </c>
      <c r="R23" s="33">
        <f>R22+R9+R10+R14+((Q9+Q10+Q14)*(1+R5))+(((P9+P10+P14)*(1+R5)*(1+Q5)))</f>
        <v>0</v>
      </c>
      <c r="S23" s="33">
        <f>S22+S9+S10+S14+((R9+R10+R14)*(1+S5))+(((Q9+Q10+Q14)*(1+S5)*(1+R5)))+(((P9+P10+P14)*(1+S5)*(1+R5)*(1+Q5)))</f>
        <v>10502002</v>
      </c>
      <c r="T23" s="33">
        <f>T22+T9+T10+T14+((S9+S10+S14)*(1+T5))+(((R9+R10+R14)*(1+T5)*(1+S5)))+(((Q9+Q10+Q14)*(1+T5)*(1+S5)*(1+R5)))+(((P9+P10+P14)*(1+T5)*(1+S5)*(1+R5)*(1+Q5)))</f>
        <v>10565826.4717</v>
      </c>
      <c r="U23" s="33">
        <f>U22+U9+U10+U14+((T9+T10+T14)*(1+U5))+((S9+S10+S14)*(1+U5)*(1+T5))+((R9+R10+R14)*(1+U5)*(1+T5)*(1+S5))+((Q9+Q10+Q14)*(1+U5)*(1+T5)*(1+S5)*(1+R5))+((P9+P10+P14)*(1+U5)*(1+T5)*(1+S5)*(1+R5)*(1+Q5))</f>
        <v>192216.95312687982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197660.8109136858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199561.55135082031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283173.11499121471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403518.9657342062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469797.54278622277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634732.90157392109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785262.41812379181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933796.47765897785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1364460.1492298758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1781396.6039557187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2151432.1911804336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2361391.3205391061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2903699.1433184417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3353129.467816629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3670978.1337121171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4043641.6649435316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4809992.4435616331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7535171.6994004874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8074497.2673974046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9960906.5795048214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23664529.732427236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24192638.91793482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25511591.088412657</v>
      </c>
    </row>
    <row r="24" spans="1:44" ht="15" customHeight="1" x14ac:dyDescent="0.25">
      <c r="A24" s="13" t="s">
        <v>49</v>
      </c>
      <c r="B24" s="14">
        <v>1655504</v>
      </c>
      <c r="C24" s="14">
        <v>410589</v>
      </c>
      <c r="D24" s="14">
        <v>82334</v>
      </c>
      <c r="E24" s="14">
        <v>3481858</v>
      </c>
      <c r="F24" s="14">
        <v>0</v>
      </c>
      <c r="G24" s="14">
        <v>-100305</v>
      </c>
      <c r="H24" s="20">
        <v>1.3519074058</v>
      </c>
      <c r="I24" s="14">
        <v>208298</v>
      </c>
      <c r="J24" s="17">
        <v>9.3259862743999999</v>
      </c>
      <c r="K24" s="14">
        <v>7421331.0552000003</v>
      </c>
      <c r="L24" s="47" t="str">
        <f>+L25</f>
        <v>Localiza ON</v>
      </c>
      <c r="M24" s="39" t="s">
        <v>50</v>
      </c>
      <c r="N24" s="32"/>
      <c r="O24" s="32"/>
      <c r="P24" s="30">
        <v>0</v>
      </c>
      <c r="Q24" s="30">
        <v>0</v>
      </c>
      <c r="R24" s="30">
        <v>0</v>
      </c>
      <c r="S24" s="30">
        <v>17428087.655999999</v>
      </c>
      <c r="T24" s="30">
        <v>16748049.408</v>
      </c>
      <c r="U24" s="30">
        <v>0</v>
      </c>
      <c r="V24" s="30">
        <v>0</v>
      </c>
      <c r="W24" s="30">
        <v>0</v>
      </c>
      <c r="X24" s="30">
        <v>0</v>
      </c>
      <c r="Y24" s="30">
        <v>1799777.7215</v>
      </c>
      <c r="Z24" s="30">
        <v>4310759.4237000002</v>
      </c>
      <c r="AA24" s="30">
        <v>3810264.12</v>
      </c>
      <c r="AB24" s="30">
        <v>1402122.2</v>
      </c>
      <c r="AC24" s="30">
        <v>3815352.24</v>
      </c>
      <c r="AD24" s="30">
        <v>5292433.7059000004</v>
      </c>
      <c r="AE24" s="30">
        <v>5042572.0562000005</v>
      </c>
      <c r="AF24" s="30">
        <v>7429773.6106000002</v>
      </c>
      <c r="AG24" s="30">
        <v>6906602.5440999996</v>
      </c>
      <c r="AH24" s="30">
        <v>7421331.0552000003</v>
      </c>
      <c r="AI24" s="30">
        <v>5133259.8437000001</v>
      </c>
      <c r="AJ24" s="30">
        <v>7121182</v>
      </c>
      <c r="AK24" s="30">
        <v>14568357.82</v>
      </c>
      <c r="AL24" s="30">
        <v>19694053.75</v>
      </c>
      <c r="AM24" s="30">
        <v>35826172.469999999</v>
      </c>
      <c r="AN24" s="30">
        <v>51827715.450000003</v>
      </c>
      <c r="AO24" s="30">
        <v>39866176</v>
      </c>
      <c r="AP24" s="30">
        <v>52059498.399999999</v>
      </c>
      <c r="AQ24" s="30">
        <f>+K33</f>
        <v>62211455.953674302</v>
      </c>
      <c r="AR24" s="30">
        <f>+K34</f>
        <v>32642433.143158</v>
      </c>
    </row>
    <row r="25" spans="1:44" ht="15" customHeight="1" x14ac:dyDescent="0.25">
      <c r="A25" s="13" t="s">
        <v>51</v>
      </c>
      <c r="B25" s="14">
        <v>1941577</v>
      </c>
      <c r="C25" s="14">
        <v>402427</v>
      </c>
      <c r="D25" s="14">
        <v>89120</v>
      </c>
      <c r="E25" s="14">
        <v>3925027</v>
      </c>
      <c r="F25" s="14">
        <v>0</v>
      </c>
      <c r="G25" s="14">
        <v>-139261</v>
      </c>
      <c r="H25" s="20">
        <v>2.7084015374999999</v>
      </c>
      <c r="I25" s="14">
        <v>208157</v>
      </c>
      <c r="J25" s="17">
        <v>6.6208677230999999</v>
      </c>
      <c r="K25" s="14">
        <v>5133259.8437000001</v>
      </c>
      <c r="L25" s="39" t="str">
        <f>+A1</f>
        <v>Localiza ON</v>
      </c>
      <c r="M25" s="39" t="s">
        <v>52</v>
      </c>
      <c r="N25" s="18"/>
      <c r="O25" s="18"/>
      <c r="P25" s="31"/>
      <c r="Q25" s="31"/>
      <c r="R25" s="31"/>
      <c r="S25" s="31">
        <f t="shared" ref="S25:AR25" si="5">S24/S23</f>
        <v>1.6595014603882192</v>
      </c>
      <c r="T25" s="31">
        <f t="shared" si="5"/>
        <v>1.5851149413497139</v>
      </c>
      <c r="U25" s="31">
        <f t="shared" si="5"/>
        <v>0</v>
      </c>
      <c r="V25" s="31">
        <f t="shared" si="5"/>
        <v>0</v>
      </c>
      <c r="W25" s="31">
        <f t="shared" si="5"/>
        <v>0</v>
      </c>
      <c r="X25" s="31">
        <f t="shared" si="5"/>
        <v>0</v>
      </c>
      <c r="Y25" s="31">
        <f t="shared" si="5"/>
        <v>4.4602060233409082</v>
      </c>
      <c r="Z25" s="31">
        <f t="shared" si="5"/>
        <v>9.1757811208084021</v>
      </c>
      <c r="AA25" s="31">
        <f t="shared" si="5"/>
        <v>6.0029409387032633</v>
      </c>
      <c r="AB25" s="31">
        <f t="shared" si="5"/>
        <v>1.7855460386733597</v>
      </c>
      <c r="AC25" s="31">
        <f t="shared" si="5"/>
        <v>4.0858498947919202</v>
      </c>
      <c r="AD25" s="31">
        <f t="shared" si="5"/>
        <v>3.8787748465113761</v>
      </c>
      <c r="AE25" s="31">
        <f t="shared" si="5"/>
        <v>2.8306846689853389</v>
      </c>
      <c r="AF25" s="31">
        <f t="shared" si="5"/>
        <v>3.4534082185148867</v>
      </c>
      <c r="AG25" s="31">
        <f t="shared" si="5"/>
        <v>2.9248022062362882</v>
      </c>
      <c r="AH25" s="31">
        <f t="shared" si="5"/>
        <v>2.5558195559883874</v>
      </c>
      <c r="AI25" s="31">
        <f t="shared" si="5"/>
        <v>1.5308862640017573</v>
      </c>
      <c r="AJ25" s="31">
        <f t="shared" si="5"/>
        <v>1.9398595525817024</v>
      </c>
      <c r="AK25" s="31">
        <f t="shared" si="5"/>
        <v>3.6027816080491997</v>
      </c>
      <c r="AL25" s="31">
        <f t="shared" si="5"/>
        <v>4.0944043012710498</v>
      </c>
      <c r="AM25" s="31">
        <f t="shared" si="5"/>
        <v>4.7545263597444496</v>
      </c>
      <c r="AN25" s="31">
        <f t="shared" si="5"/>
        <v>6.4186925493511575</v>
      </c>
      <c r="AO25" s="31">
        <f t="shared" si="5"/>
        <v>4.0022638182379016</v>
      </c>
      <c r="AP25" s="31">
        <f t="shared" si="5"/>
        <v>2.1998957506712444</v>
      </c>
      <c r="AQ25" s="31">
        <f t="shared" si="5"/>
        <v>2.5715035124818422</v>
      </c>
      <c r="AR25" s="31">
        <f t="shared" si="5"/>
        <v>1.2795138111940092</v>
      </c>
    </row>
    <row r="26" spans="1:44" ht="15" customHeight="1" x14ac:dyDescent="0.25">
      <c r="A26" s="13" t="s">
        <v>53</v>
      </c>
      <c r="B26" s="14">
        <v>2196990</v>
      </c>
      <c r="C26" s="14">
        <v>409315</v>
      </c>
      <c r="D26" s="14">
        <v>83133</v>
      </c>
      <c r="E26" s="14">
        <v>5020596</v>
      </c>
      <c r="F26" s="14">
        <v>0</v>
      </c>
      <c r="G26" s="14">
        <v>-139487</v>
      </c>
      <c r="H26" s="20">
        <v>2.6111798334</v>
      </c>
      <c r="I26" s="14">
        <v>208100</v>
      </c>
      <c r="J26" s="17">
        <v>9.3886159738000003</v>
      </c>
      <c r="K26" s="14">
        <v>7121182</v>
      </c>
    </row>
    <row r="27" spans="1:44" ht="15" customHeight="1" x14ac:dyDescent="0.25">
      <c r="A27" s="13" t="s">
        <v>54</v>
      </c>
      <c r="B27" s="14">
        <v>2600725</v>
      </c>
      <c r="C27" s="14">
        <v>505676</v>
      </c>
      <c r="D27" s="14">
        <v>83435</v>
      </c>
      <c r="E27" s="14">
        <v>7483974</v>
      </c>
      <c r="F27" s="14">
        <v>0</v>
      </c>
      <c r="G27" s="14">
        <v>-166866</v>
      </c>
      <c r="H27" s="20">
        <v>1.12092514</v>
      </c>
      <c r="I27" s="14">
        <v>660397</v>
      </c>
      <c r="J27" s="17">
        <v>19.347057165999999</v>
      </c>
      <c r="K27" s="14">
        <v>14568357.82</v>
      </c>
      <c r="S27" s="67"/>
    </row>
    <row r="28" spans="1:44" ht="15" customHeight="1" x14ac:dyDescent="0.25">
      <c r="A28" s="13" t="s">
        <v>55</v>
      </c>
      <c r="B28" s="14">
        <v>3094502</v>
      </c>
      <c r="C28" s="14">
        <v>659208</v>
      </c>
      <c r="D28" s="14">
        <v>78487</v>
      </c>
      <c r="E28" s="14">
        <v>10031886</v>
      </c>
      <c r="F28" s="14">
        <v>0</v>
      </c>
      <c r="G28" s="14">
        <v>-172314</v>
      </c>
      <c r="H28" s="20">
        <v>0.90900152269000001</v>
      </c>
      <c r="I28" s="14">
        <v>661985</v>
      </c>
      <c r="J28" s="17">
        <v>26.369834135000001</v>
      </c>
      <c r="K28" s="14">
        <v>19694053.75</v>
      </c>
    </row>
    <row r="29" spans="1:44" ht="15" customHeight="1" x14ac:dyDescent="0.25">
      <c r="A29" s="13" t="s">
        <v>56</v>
      </c>
      <c r="B29" s="14">
        <v>5447532</v>
      </c>
      <c r="C29" s="14">
        <v>833938</v>
      </c>
      <c r="D29" s="14">
        <v>139944</v>
      </c>
      <c r="E29" s="14">
        <v>14569571</v>
      </c>
      <c r="F29" s="14">
        <v>0</v>
      </c>
      <c r="G29" s="14">
        <v>-275832</v>
      </c>
      <c r="H29" s="20">
        <v>0.83343516237000004</v>
      </c>
      <c r="I29" s="14">
        <v>755667</v>
      </c>
      <c r="J29" s="17">
        <v>44.575114593999999</v>
      </c>
      <c r="K29" s="14">
        <v>35826172.469999999</v>
      </c>
    </row>
    <row r="30" spans="1:44" ht="15" customHeight="1" x14ac:dyDescent="0.25">
      <c r="A30" s="13" t="s">
        <v>57</v>
      </c>
      <c r="B30" s="14">
        <v>6052659</v>
      </c>
      <c r="C30" s="14">
        <v>1048180</v>
      </c>
      <c r="D30" s="14">
        <v>152088</v>
      </c>
      <c r="E30" s="14">
        <v>14181295</v>
      </c>
      <c r="F30" s="14">
        <v>0</v>
      </c>
      <c r="G30" s="14">
        <v>-269112</v>
      </c>
      <c r="H30" s="20">
        <v>0.50395291950999999</v>
      </c>
      <c r="I30" s="14">
        <v>751671</v>
      </c>
      <c r="J30" s="17">
        <v>65.317712560999993</v>
      </c>
      <c r="K30" s="14">
        <v>51827715.450000003</v>
      </c>
    </row>
    <row r="31" spans="1:44" ht="15" customHeight="1" x14ac:dyDescent="0.25">
      <c r="A31" s="13" t="s">
        <v>58</v>
      </c>
      <c r="B31" s="14">
        <v>7617090</v>
      </c>
      <c r="C31" s="14">
        <v>2043677</v>
      </c>
      <c r="D31" s="14">
        <v>143029</v>
      </c>
      <c r="E31" s="14">
        <v>17293854</v>
      </c>
      <c r="F31" s="14">
        <v>0</v>
      </c>
      <c r="G31" s="14">
        <v>-300178</v>
      </c>
      <c r="H31" s="20">
        <v>0.83673545094000001</v>
      </c>
      <c r="I31" s="14">
        <v>752192</v>
      </c>
      <c r="J31" s="17">
        <v>50.591811100999998</v>
      </c>
      <c r="K31" s="14">
        <v>39866176</v>
      </c>
    </row>
    <row r="32" spans="1:44" ht="15" customHeight="1" x14ac:dyDescent="0.25">
      <c r="A32" s="13" t="s">
        <v>59</v>
      </c>
      <c r="B32" s="14">
        <v>20559196</v>
      </c>
      <c r="C32" s="14">
        <v>1844306</v>
      </c>
      <c r="D32" s="14">
        <v>373785</v>
      </c>
      <c r="E32" s="14">
        <v>43020498</v>
      </c>
      <c r="F32" s="14">
        <v>34952</v>
      </c>
      <c r="G32" s="14">
        <v>-1357128</v>
      </c>
      <c r="H32" s="20">
        <v>2.4752360337999999</v>
      </c>
      <c r="I32" s="14">
        <v>978562</v>
      </c>
      <c r="J32" s="17">
        <v>52.072189878000003</v>
      </c>
      <c r="K32" s="14">
        <v>46864383.477075003</v>
      </c>
    </row>
    <row r="33" spans="1:42" ht="15" customHeight="1" x14ac:dyDescent="0.25">
      <c r="A33" s="13" t="s">
        <v>60</v>
      </c>
      <c r="B33" s="14">
        <v>25388882</v>
      </c>
      <c r="C33" s="14">
        <v>1805566</v>
      </c>
      <c r="D33" s="14">
        <v>388079</v>
      </c>
      <c r="E33" s="14">
        <v>52116268</v>
      </c>
      <c r="F33" s="14"/>
      <c r="G33" s="14"/>
      <c r="H33" s="14"/>
      <c r="I33" s="14"/>
      <c r="J33" s="14"/>
      <c r="K33" s="14">
        <v>62211455.953674302</v>
      </c>
    </row>
    <row r="34" spans="1:42" ht="15" customHeight="1" x14ac:dyDescent="0.25">
      <c r="A34" s="13" t="s">
        <v>61</v>
      </c>
      <c r="B34" s="14">
        <v>26334098</v>
      </c>
      <c r="C34" s="14">
        <v>1813627</v>
      </c>
      <c r="D34" s="14">
        <v>414676</v>
      </c>
      <c r="E34" s="14">
        <v>53842366</v>
      </c>
      <c r="F34" s="14"/>
      <c r="G34" s="14"/>
      <c r="H34" s="14"/>
      <c r="I34" s="14"/>
      <c r="J34" s="14"/>
      <c r="K34" s="14">
        <v>32642433.143158</v>
      </c>
    </row>
    <row r="46" spans="1:42" ht="15" customHeight="1" x14ac:dyDescent="0.25">
      <c r="M46" s="46" t="s">
        <v>62</v>
      </c>
      <c r="N46" s="1"/>
      <c r="O46" s="1"/>
      <c r="P46" s="35"/>
      <c r="Q46" s="35"/>
      <c r="R46" s="35"/>
      <c r="S46" s="35"/>
      <c r="T46" s="35"/>
      <c r="U46" s="35"/>
      <c r="V46" s="35"/>
      <c r="W46" s="35"/>
      <c r="X46" s="35">
        <f>-G14/X17</f>
        <v>0</v>
      </c>
      <c r="Y46" s="35">
        <f>-G15/Y17</f>
        <v>0.35358767576509514</v>
      </c>
      <c r="Z46" s="35">
        <f>-G16/Z17</f>
        <v>0.3737828411211796</v>
      </c>
      <c r="AA46" s="35">
        <f>-G17/AA17</f>
        <v>1.4340539645332246</v>
      </c>
      <c r="AB46" s="35">
        <f>-G18/AB17</f>
        <v>0.40291685284616569</v>
      </c>
      <c r="AC46" s="35">
        <f>-G19/AC17</f>
        <v>0.38817994707438991</v>
      </c>
      <c r="AD46" s="35">
        <f>-G20/AD17</f>
        <v>0.13638566270145216</v>
      </c>
      <c r="AE46" s="35">
        <f>-G21/AE17</f>
        <v>0.27309166718099587</v>
      </c>
      <c r="AF46" s="35">
        <f>-G22/AF17</f>
        <v>0.35353371849785836</v>
      </c>
      <c r="AG46" s="35">
        <f>-G23/AG17</f>
        <v>0.82109256291239097</v>
      </c>
      <c r="AH46" s="35">
        <f>-G24/AH17</f>
        <v>0.24429539028079175</v>
      </c>
      <c r="AI46" s="35">
        <f>-G25/AI17</f>
        <v>0.34605282448742258</v>
      </c>
      <c r="AJ46" s="35">
        <f>-G26/AJ17</f>
        <v>0.34078154966224056</v>
      </c>
      <c r="AK46" s="35">
        <f>-G27/AK17</f>
        <v>0.32998599894003272</v>
      </c>
      <c r="AL46" s="35">
        <f>-G28/AL17</f>
        <v>0.26139549277314594</v>
      </c>
      <c r="AM46" s="35">
        <f>-G29/AM17</f>
        <v>0.33075840170372378</v>
      </c>
      <c r="AN46" s="35">
        <f>-G30/AN17</f>
        <v>0.25674216260565935</v>
      </c>
      <c r="AO46" s="35">
        <f>-G31/AO17</f>
        <v>0.14688133203045295</v>
      </c>
      <c r="AP46" s="35">
        <f>-G32/AP17</f>
        <v>0.7358475220489441</v>
      </c>
    </row>
    <row r="47" spans="1:42" ht="15" customHeight="1" x14ac:dyDescent="0.25">
      <c r="M47" s="39" t="s">
        <v>63</v>
      </c>
      <c r="N47" s="32"/>
      <c r="O47" s="32"/>
      <c r="P47" s="36"/>
      <c r="Q47" s="36"/>
      <c r="R47" s="36"/>
      <c r="S47" s="36"/>
      <c r="T47" s="36"/>
      <c r="U47" s="36">
        <f>-G11/U18</f>
        <v>0.49800108641879526</v>
      </c>
      <c r="V47" s="36"/>
      <c r="W47" s="36"/>
      <c r="X47" s="36">
        <f>-G14/X18</f>
        <v>0</v>
      </c>
      <c r="Y47" s="36">
        <f>-G15/Y18</f>
        <v>0.28651759415673456</v>
      </c>
      <c r="Z47" s="36">
        <f>-G16/Z18</f>
        <v>0.35446282037251658</v>
      </c>
      <c r="AA47" s="36">
        <f>-G17/AA18</f>
        <v>1.1895544307841497</v>
      </c>
      <c r="AB47" s="36">
        <f>-G18/AB18</f>
        <v>0.29491799535645713</v>
      </c>
      <c r="AC47" s="36">
        <f>-G19/AC18</f>
        <v>0.29598531023672248</v>
      </c>
      <c r="AD47" s="36">
        <f>-G20/AD18</f>
        <v>0.11072877722318397</v>
      </c>
      <c r="AE47" s="36">
        <f>-G21/AE18</f>
        <v>0.21902213501791154</v>
      </c>
      <c r="AF47" s="36">
        <f>-G22/AF18</f>
        <v>0.32419058418688484</v>
      </c>
      <c r="AG47" s="36">
        <f>-G23/AG18</f>
        <v>0.77306959231407868</v>
      </c>
      <c r="AH47" s="36">
        <f>-G24/AH18</f>
        <v>0.23749540576972436</v>
      </c>
      <c r="AI47" s="36">
        <f>-G25/AI18</f>
        <v>1.0542256329269033</v>
      </c>
      <c r="AJ47" s="36">
        <f>-G26/AJ18</f>
        <v>0.74636605466376116</v>
      </c>
      <c r="AK47" s="36">
        <f>-G27/AK18</f>
        <v>0.50532141436049138</v>
      </c>
      <c r="AL47" s="36">
        <f>-G28/AL18</f>
        <v>0.23432234267131657</v>
      </c>
      <c r="AM47" s="36">
        <f>-G29/AM18</f>
        <v>0.30721934950066387</v>
      </c>
      <c r="AN47" s="36">
        <f>-G30/AN18</f>
        <v>0.47888836287350706</v>
      </c>
      <c r="AO47" s="36">
        <f>-G31/AO18</f>
        <v>0.22342500591211911</v>
      </c>
      <c r="AP47" s="36">
        <f>-G32/AP18</f>
        <v>0.86327501967432907</v>
      </c>
    </row>
    <row r="48" spans="1:42" ht="15" customHeight="1" x14ac:dyDescent="0.25">
      <c r="M48" s="39" t="s">
        <v>64</v>
      </c>
      <c r="N48" s="32"/>
      <c r="O48" s="32"/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37">
        <v>0.95451593391</v>
      </c>
      <c r="AA48" s="37">
        <v>6.1050714664000001</v>
      </c>
      <c r="AB48" s="37">
        <v>3.9737735634</v>
      </c>
      <c r="AC48" s="37">
        <v>0.80867739130000005</v>
      </c>
      <c r="AD48" s="37">
        <v>0.6594428188</v>
      </c>
      <c r="AE48" s="37">
        <v>1.5797246992</v>
      </c>
      <c r="AF48" s="37">
        <v>1.1505564999</v>
      </c>
      <c r="AG48" s="37">
        <v>4.5692213580000001</v>
      </c>
      <c r="AH48" s="37">
        <v>1.3519074058</v>
      </c>
      <c r="AI48" s="37">
        <v>2.7084015374999999</v>
      </c>
      <c r="AJ48" s="37">
        <v>2.6111798334</v>
      </c>
      <c r="AK48" s="37">
        <v>1.12092514</v>
      </c>
      <c r="AL48" s="37">
        <v>0.90900152269000001</v>
      </c>
      <c r="AM48" s="37">
        <v>0.83343516237000004</v>
      </c>
      <c r="AN48" s="37">
        <v>0.50395291950999999</v>
      </c>
      <c r="AO48" s="37">
        <v>0.83673545094000001</v>
      </c>
      <c r="AP48" s="37">
        <v>2.4752360337999999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49"/>
  <sheetViews>
    <sheetView showGridLines="0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22" width="14.28515625" customWidth="1"/>
    <col min="23" max="30" width="15.28515625" customWidth="1"/>
    <col min="31" max="31" width="11" customWidth="1"/>
    <col min="32" max="37" width="15.28515625" customWidth="1"/>
    <col min="38" max="40" width="16.28515625" customWidth="1"/>
    <col min="41" max="42" width="15.28515625" customWidth="1"/>
    <col min="43" max="43" width="14.5703125" customWidth="1"/>
    <col min="44" max="44" width="14.7109375" customWidth="1"/>
  </cols>
  <sheetData>
    <row r="1" spans="1:44" ht="15" customHeight="1" x14ac:dyDescent="0.25">
      <c r="A1" s="6" t="s">
        <v>83</v>
      </c>
      <c r="M1" t="s">
        <v>1</v>
      </c>
      <c r="N1" s="7">
        <v>0.1671</v>
      </c>
    </row>
    <row r="2" spans="1:44" ht="15" customHeight="1" x14ac:dyDescent="0.25">
      <c r="A2" s="6"/>
    </row>
    <row r="3" spans="1:44" ht="15" customHeight="1" x14ac:dyDescent="0.25">
      <c r="M3" s="2" t="s">
        <v>84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4">
        <v>2266041</v>
      </c>
      <c r="C5" s="14">
        <v>215007</v>
      </c>
      <c r="D5" s="15">
        <v>0</v>
      </c>
      <c r="E5" s="14">
        <v>3143268</v>
      </c>
      <c r="F5" s="15">
        <v>0</v>
      </c>
      <c r="G5" s="16">
        <v>-47581</v>
      </c>
      <c r="H5" s="15">
        <v>0</v>
      </c>
      <c r="I5" s="14">
        <v>3072433</v>
      </c>
      <c r="J5" s="17">
        <v>4.0392599672999997E-2</v>
      </c>
      <c r="K5" s="14">
        <v>1670045.0244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4">
        <v>2433214</v>
      </c>
      <c r="C6" s="14">
        <v>295722</v>
      </c>
      <c r="D6" s="15">
        <v>0</v>
      </c>
      <c r="E6" s="14">
        <v>2917195</v>
      </c>
      <c r="F6" s="15">
        <v>0</v>
      </c>
      <c r="G6" s="16">
        <v>-62483</v>
      </c>
      <c r="H6" s="20">
        <v>2.3730770100999998</v>
      </c>
      <c r="I6" s="14">
        <v>3072433</v>
      </c>
      <c r="J6" s="17">
        <v>6.1012231642000002E-2</v>
      </c>
      <c r="K6" s="14">
        <v>2396497.6521000001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4">
        <v>2770442</v>
      </c>
      <c r="C7" s="14">
        <v>465634</v>
      </c>
      <c r="D7" s="15">
        <v>0</v>
      </c>
      <c r="E7" s="14">
        <v>3033722</v>
      </c>
      <c r="F7" s="15">
        <v>0</v>
      </c>
      <c r="G7" s="16">
        <v>-121398</v>
      </c>
      <c r="H7" s="20">
        <v>2.6839080313000001</v>
      </c>
      <c r="I7" s="14">
        <v>3072433</v>
      </c>
      <c r="J7" s="17">
        <v>6.9781544314999999E-2</v>
      </c>
      <c r="K7" s="14">
        <v>2485566.5172000001</v>
      </c>
      <c r="M7" s="1" t="s">
        <v>20</v>
      </c>
      <c r="N7" s="1"/>
      <c r="O7" s="5"/>
      <c r="P7" s="4">
        <f>((D5+E5)*P5)</f>
        <v>300496.42080000002</v>
      </c>
      <c r="Q7" s="4">
        <f>((D6+E6+P7+P8)*Q5)</f>
        <v>167399.40385907999</v>
      </c>
      <c r="R7" s="4">
        <f>((D7+E7+Q7+P7+P8+Q8)*R5)</f>
        <v>57997.957973320721</v>
      </c>
      <c r="S7" s="4">
        <f>((D8+E8+R7+Q7+P7+SUM($P$8:R8))*S5)</f>
        <v>319334.33995627658</v>
      </c>
      <c r="T7" s="4">
        <f>((D9+E9+S7+R7+Q7+P7+SUM($P$8:S8))*T5)</f>
        <v>228601.14647554402</v>
      </c>
      <c r="U7" s="4">
        <f>((D10+E10+T7+S7+R7+Q7+P7+SUM($P$8:T8))*U5)</f>
        <v>331716.34682399081</v>
      </c>
      <c r="V7" s="4">
        <f>((D11+E11+U7+T7+S7+R7+Q7+P7+SUM($P$8:U8))*V5)</f>
        <v>604673.93331186811</v>
      </c>
      <c r="W7" s="4">
        <f>((D12+E12+V7+U7+T7+S7+R7+Q7+P7+SUM($P$8:V8))*W5)</f>
        <v>519458.28656805749</v>
      </c>
      <c r="X7" s="4">
        <f>((D13+E13+W7+V7+U7+T7+S7+R7+Q7+P7+SUM($P$8:W8))*X5)</f>
        <v>451907.52391177852</v>
      </c>
      <c r="Y7" s="4">
        <f>((D14+E14+X7+W7+V7+U7+T7+S7+R7+Q7+P7+SUM($P$8:X8))*Y5)</f>
        <v>363381.33615057223</v>
      </c>
      <c r="Z7" s="4">
        <f>((E14+F14+Y7+X7+W7+V7+U7+T7+S7+R7+Q7+P7+SUM($P$8:Y8))*Z5)</f>
        <v>211871.02446208731</v>
      </c>
      <c r="AA7" s="4">
        <f>((D16+E16+Z7+Y7+X7+W7+V7+U7+T7+S7+R7+P7+Q7+SUM($P$8:Z8))*AA5)</f>
        <v>316841.53814263886</v>
      </c>
      <c r="AB7" s="4">
        <f>((D17+E17+AA7+Z7+Y7+X7+W7+V7+U7+T7+S7+P7+Q7+R7+SUM($P$8:AA8))*AB5)</f>
        <v>431096.77967782767</v>
      </c>
      <c r="AC7" s="4">
        <f>((D18+E18+AB7+AA7+Z7+Y7+X7+W7+V7+U7+T7+S7+R7+Q7+P7+SUM($P$8:AB8))*AC5)</f>
        <v>455561.41081195715</v>
      </c>
      <c r="AD7" s="4">
        <f>((D19+E19+AC7+AB7+AA7+Z7+Y7+X7+W7+V7+U7+T7+S7+R7+Q7+P7+SUM($P$8:AC8))*AD5)</f>
        <v>732464.4031751022</v>
      </c>
      <c r="AE7" s="4">
        <f>((D20+E20+AD7+AC7+AB7+AA7+Z7+Y7+X7+W7+V7+U7+T7+S7+R7+Q7+P7+SUM($P$8:AD8))*AE5)</f>
        <v>838753.72162075643</v>
      </c>
      <c r="AF7" s="4">
        <f>((E20+F20+AE7+AD7+AC7+AB7+AA7+Z7+Y7+X7+W7+V7+U7+T7+S7+R7+Q7+P7+SUM($P$8:AE8))*AF5)</f>
        <v>709927.89846037794</v>
      </c>
      <c r="AG7" s="4">
        <f>((D22+E22+AF7+AE7+AD7+AC7+AB7+AA7+Z7+Y7+X7+W7+V7+U7+T7+R7+S7+Q7+P7+SUM($P$8:AF8))*AG5)</f>
        <v>936720.50452120579</v>
      </c>
      <c r="AH7" s="4">
        <f>((E22+F22+AG7+AF7+AE7+AD7+AC7+AB7+AA7+Z7+Y7+X7+W7+V7+U7+S7+T7+R7+Q7+P7+SUM($P$8:AG8))*AH5)</f>
        <v>945824.42090417142</v>
      </c>
      <c r="AI7" s="4">
        <f>((F22+G22+AH7+AG7+AF7+AE7+AD7+AC7+AB7+AA7+Z7+Y7+X7+W7+V7+T7+U7+S7+R7+Q7+P7+SUM($P$8:AH8))*AI5)</f>
        <v>924558.88292954082</v>
      </c>
      <c r="AJ7" s="4">
        <f>((G22+H22+AI7+AH7+AG7+AF7+AE7+AD7+AC7+AB7+AA7+Z7+Y7+X7+W7+U7+V7+T7+S7+R7+Q7+P7+SUM($P$8:AI8))*AJ5)</f>
        <v>522801.88273932913</v>
      </c>
      <c r="AK7" s="4">
        <f>((H22+I22+AJ7+AI7+AH7+AG7+AF7+AE7+AD7+AC7+AB7+AA7+Z7+Y7+X7+V7+W7+U7+T7+S7+R7+Q7+P7+SUM($P$8:AJ8))*AK5)</f>
        <v>449854.67858198989</v>
      </c>
      <c r="AL7" s="4">
        <f>((D27+E27+AK7+AJ7+AI7+AH7+AG7+AF7+AE7+AD7+AC7++AB7+AA7+Z7+Y7+X7+W7+V7+U7+T7+S7+R7+Q7+P7+SUM($P$8:AK8))*AL5)</f>
        <v>586515.91684903018</v>
      </c>
      <c r="AM7" s="4">
        <f>((E27+F27+AL7+AK7+AJ7+AI7+AH7+AG7+AF7+AE7+AD7++AC7+AB7+AA7+Z7+Y7+X7+W7+V7+U7+T7+S7+R7+Q7+P7+SUM($P$8:AL8))*AM5)</f>
        <v>2881910.9854063457</v>
      </c>
      <c r="AN7" s="4">
        <f>((F27+G27+AM7+AL7+AK7+AJ7+AI7+AH7+AG7+AF7+AE7++AD7+AC7+AB7+AA7+Z7+Y7+X7+W7+V7+U7+T7+S7+R7+Q7+P7+SUM($P$8:AM8))*AN5)</f>
        <v>2843179.1304506413</v>
      </c>
      <c r="AO7" s="4">
        <f>((G27+H27+AN7+AM7+AL7+AK7+AJ7+AI7+AH7+AG7+AF7++AE7+AD7+AC7+AB7+AA7+Z7+Y7+X7+W7+V7+U7+T7+S7+R7+Q7+P7+SUM($P$8:AN8))*AO5)</f>
        <v>1405134.57135625</v>
      </c>
      <c r="AP7" s="4">
        <f>((H27+I27+AO7+AN7+AM7+AL7+AK7+AJ7+AI7+AH7+AG7++AF7+AE7+AD7+AC7+AB7+AA7+Z7+Y7+X7+W7+V7+U7+T7+S7+R7+Q7+P7+SUM($P$8:AO8))*AP5)</f>
        <v>1507901.0566272612</v>
      </c>
      <c r="AQ7" s="4">
        <f>((I27+J27+AP7+AO7+AN7+AM7+AL7+AK7+AJ7+AI7+AH7++AG7+AF7+AE7+AD7+AC7+AB7+AA7+Z7+Y7+X7+W7+V7+U7+T7+S7+R7+Q7+P7+SUM($P$8:AP8))*AQ5)</f>
        <v>1273633.82264858</v>
      </c>
      <c r="AR7" s="4">
        <f>((J27+K27+AQ7+AP7+AO7+AN7+AM7+AL7+AK7+AJ7+AI7++AH7+AG7+AF7+AE7+AD7+AC7+AB7+AA7+Z7+Y7+X7+W7+V7+U7+T7+S7+R7+Q7+P7+SUM($P$8:AQ8))*AR5)</f>
        <v>4897562.9423265327</v>
      </c>
    </row>
    <row r="8" spans="1:44" ht="15" customHeight="1" x14ac:dyDescent="0.25">
      <c r="A8" s="13" t="s">
        <v>21</v>
      </c>
      <c r="B8" s="14">
        <v>2984403</v>
      </c>
      <c r="C8" s="14">
        <v>468922</v>
      </c>
      <c r="D8" s="15">
        <v>0</v>
      </c>
      <c r="E8" s="14">
        <v>3053678</v>
      </c>
      <c r="F8" s="15">
        <v>0</v>
      </c>
      <c r="G8" s="16">
        <v>-208545</v>
      </c>
      <c r="H8" s="20">
        <v>13.267163847999999</v>
      </c>
      <c r="I8" s="14">
        <v>3041699</v>
      </c>
      <c r="J8" s="17">
        <v>6.1699055927999999E-2</v>
      </c>
      <c r="K8" s="14">
        <v>2139130.2097999998</v>
      </c>
      <c r="M8" s="1" t="s">
        <v>22</v>
      </c>
      <c r="N8" s="1"/>
      <c r="O8" s="4"/>
      <c r="P8" s="4">
        <f>((D6+E6)-(D5+E5))*(P5^1/2)</f>
        <v>-10806.2894</v>
      </c>
      <c r="Q8" s="4">
        <f>((D7+E7)-(D6+E6))*(Q5^1/2)</f>
        <v>3041.3547000000003</v>
      </c>
      <c r="R8" s="4">
        <f>((D8+E8)-(D7+E7))*(R5^1/2)</f>
        <v>165.63480000000001</v>
      </c>
      <c r="S8" s="4">
        <f>((D9+E9)-(D8+E8))*(S5^1/2)</f>
        <v>-2658.8900999999996</v>
      </c>
      <c r="T8" s="4">
        <f>((D10+E10)-(D9+E9))*(T5^1/2)</f>
        <v>7741.5079500000002</v>
      </c>
      <c r="U8" s="4">
        <f>((D11+E11)-(D10+E10))*(U5^1/2)</f>
        <v>6250.5898000000007</v>
      </c>
      <c r="V8" s="4">
        <f>((D12+E12)-(D11+E11))*(V5^1/2)</f>
        <v>9143.5168999999987</v>
      </c>
      <c r="W8" s="4">
        <f>((D13+E13)-(D12+E12))*(W5^1/2)</f>
        <v>-7059.63</v>
      </c>
      <c r="X8" s="4">
        <f>((D14+E14)-(D13+E13))*(X5^1/2)</f>
        <v>-429.93200000000002</v>
      </c>
      <c r="Y8" s="4">
        <f>((D15+E15)-(D14+E14))*(Y5^1/2)</f>
        <v>-2211.703</v>
      </c>
      <c r="Z8" s="4">
        <f>((E15+F15)-(E14+F14))*(Z5^1/2)</f>
        <v>-1220.5179999999998</v>
      </c>
      <c r="AA8" s="4">
        <f>((D17+E17)-(D16+E16))*(AA5^1/2)</f>
        <v>-2490.8208</v>
      </c>
      <c r="AB8" s="4">
        <f>((D18+E18)-(D17+E17))*(AB5^1/2)</f>
        <v>81151.46149999999</v>
      </c>
      <c r="AC8" s="4">
        <f>((D19+E19)-(D18+E18))*(AC5^1/2)</f>
        <v>28862.9925</v>
      </c>
      <c r="AD8" s="4">
        <f>((D20+E20)-(D19+E19))*(AD5/2)</f>
        <v>-6377.7173999999995</v>
      </c>
      <c r="AE8" s="4">
        <f>((D21+E21)-(D20+E20))*(AE5^1/2)</f>
        <v>25642.5</v>
      </c>
      <c r="AF8" s="4">
        <f>((D22+E22)-(D21+E21))*(AF5^1/2)</f>
        <v>16527.2</v>
      </c>
      <c r="AG8" s="4">
        <f>((D23+E23)-(D22+E22))*(AG5^1/2)</f>
        <v>-112024.05</v>
      </c>
      <c r="AH8" s="4">
        <f>((D24+E24)-(D23+E23))*(AH5^1/2)</f>
        <v>7756.1</v>
      </c>
      <c r="AI8" s="4">
        <f>((D25+E25)-(D24+E24))*(AI5^1/2)</f>
        <v>3040.9500000000003</v>
      </c>
      <c r="AJ8" s="4">
        <f>((D26+E26)-(D25+E25))*(AJ5^1/2)</f>
        <v>-13586.4</v>
      </c>
      <c r="AK8" s="4">
        <f>((D27+E27)-(D26+E26))*(AK5/2)</f>
        <v>722.75</v>
      </c>
      <c r="AL8" s="4">
        <f>((D28+E28)-(D27+E27))*(AL5^1/2)</f>
        <v>-19256.25</v>
      </c>
      <c r="AM8" s="4">
        <f>((D29+E29)-(D28+E28))*(AM5^1/2)</f>
        <v>13598.05</v>
      </c>
      <c r="AN8" s="4">
        <f>((D30+E30)-(D29+E29))*(AN5^1/2)</f>
        <v>-836.19999999999993</v>
      </c>
      <c r="AO8" s="4">
        <f>((D31+E31)-(D30+E30))*(AO5^1/2)</f>
        <v>6891.0999999999995</v>
      </c>
      <c r="AP8" s="4">
        <f>((D32+E32)-(D31+E31))*(AP5^1/2)</f>
        <v>16733.099999999999</v>
      </c>
      <c r="AQ8" s="4">
        <f>((D32+E32)-(D31+E31))*(AQ5^1/2)</f>
        <v>13351.8</v>
      </c>
      <c r="AR8" s="4">
        <f>((E32+F32)-(E31+F31))*(AR5^1/2)</f>
        <v>208173</v>
      </c>
    </row>
    <row r="9" spans="1:44" ht="15" customHeight="1" x14ac:dyDescent="0.25">
      <c r="A9" s="13" t="s">
        <v>23</v>
      </c>
      <c r="B9" s="14">
        <v>3476296</v>
      </c>
      <c r="C9" s="14">
        <v>951105</v>
      </c>
      <c r="D9" s="15">
        <v>0</v>
      </c>
      <c r="E9" s="14">
        <v>2994195</v>
      </c>
      <c r="F9" s="15">
        <v>0</v>
      </c>
      <c r="G9" s="16">
        <v>-250663</v>
      </c>
      <c r="H9" s="20">
        <v>4.5711229830000004</v>
      </c>
      <c r="I9" s="14">
        <v>2904884</v>
      </c>
      <c r="J9" s="17">
        <v>0.18329906766000001</v>
      </c>
      <c r="K9" s="14">
        <v>5261701.1294</v>
      </c>
      <c r="M9" s="1" t="s">
        <v>24</v>
      </c>
      <c r="N9" s="1"/>
      <c r="O9" s="4"/>
      <c r="P9" s="4">
        <f>+B5*P5</f>
        <v>216633.5196</v>
      </c>
      <c r="Q9" s="4">
        <f>+(B6+P9+P10+P14)*Q5</f>
        <v>142135.59565908002</v>
      </c>
      <c r="R9" s="4">
        <f>+(B7+Q9+P9+P10+Q10+P14+Q14)*R5</f>
        <v>52782.004280331923</v>
      </c>
      <c r="S9" s="4">
        <f>+(B8+R9+Q9+P9+P10+Q10+R10+P14+Q14+R14)*S5</f>
        <v>301370.11701796827</v>
      </c>
      <c r="T9" s="4">
        <f>+(B9+S9+R9+Q9+P9+P10+Q10+R10+S10+P14+Q14+R14+S14)*T5</f>
        <v>243639.29811286964</v>
      </c>
      <c r="U9" s="4">
        <f>+(B10+T9+S9+R9+Q9+P9+P10+Q10+R10+S10+T10+P14+Q14+R14+S14+T14)*U5</f>
        <v>367766.60716842557</v>
      </c>
      <c r="V9" s="4">
        <f>+(B11+U9+T9+S9+R9+Q9+P9+P10+Q10+R10+S10+T10+U10+P14+Q14+R14+S14+T14+U14)*V5</f>
        <v>734000.12987286586</v>
      </c>
      <c r="W9" s="4">
        <f>+(B12+V9+U9+T9+S9+R9+Q9+P9+P10+Q10+R10+S10+T10+U10+V10+P14+Q14+R14+S14+T14+U14+V14)*W5</f>
        <v>697557.68122697261</v>
      </c>
      <c r="X9" s="4">
        <f>+(B13+W9+V9+U9+T9+S9+R9+Q9+P9+P10+Q10+R10+S10+T10+U10+V10+W10+P14+Q14+R14+S14+T14+U14+V14+W14)*X5</f>
        <v>669816.26308858453</v>
      </c>
      <c r="Y9" s="4">
        <f>+(B14+X9+W9+V9+U9+T9+S9+R9+Q9+P9+P10+Q10+R10+S10+T10+U10+V10+W10+X10+P14+Q14+R14+S14+T14+U14+V14+W14+X14)*Y5</f>
        <v>565336.66482231149</v>
      </c>
      <c r="Z9" s="4">
        <f>+(B15+Y9+X9+W9+V9+U9+T9+S9+R9+Q9+P9+P10+Q10+R10+S10+T10+U10+V10+W10+X10+Y10+P14+Q14+R14+S14+T14+U14+V14+W14+X14+Y14)*Z5</f>
        <v>329274.06270033016</v>
      </c>
      <c r="AA9" s="4">
        <f>+(B16+Z9+Y9+X9+W9+V9+U9+T9+S9+R9+Q9+P9+P10+Q10+R10+S10+T10+U10+V10+W10+X10+Y10+Z10+P14+Q14+R14+S14+T14+U14+V14+W14+X14+Y14+Z14)*AA5</f>
        <v>580558.22687800974</v>
      </c>
      <c r="AB9" s="4">
        <f>+(B17+AA9+Z9+Y9+X9+W9+V9+U9+T9+S9+R9+Q9+P9+P10+Q10+R10+S10+T10+U10+V10+W10+X10+Y10+Z10+AA10+P14+Q14+R14+S14+T14+U14+V14+W14+X14+Y14+Z14+AA14)*AB5</f>
        <v>904192.90246016253</v>
      </c>
      <c r="AC9" s="4">
        <f>+(B18+AB9+AA9+Z9+Y9+X9+W9+V9+U9+T9+S9+R9+Q9+P9+P10+Q10+R10+S10+T10+U10+V10+W10+X10+Y10+Z10+AA10+AB10+P14+Q14+R14+S14+T14+U14+V14+W14+X14+Y14+Z14+AA14+AB14)*AC5</f>
        <v>681365.9124724312</v>
      </c>
      <c r="AD9" s="4">
        <f>+(B19+AC9+AB9+AA9+Z9+Y9+X9+W9+V9+U9+T9+S9+R9+Q9+P9+P10+Q10+R10+S10+T10+U10+V10+W10+X10+Y10+Z10+AA10+AB10+AC10+P14+Q14+R14+S14+T14+U14+V14+W14+X14+Y14+Z14+AA14+AB14+AC14)*AD5</f>
        <v>1088189.8358403568</v>
      </c>
      <c r="AE9" s="4">
        <f>+(B20+AD9+AC9+AB9+AA9+Z9+Y9+X9+W9+V9+U9+T9+S9+R9+Q9+P9+P10+Q10+R10+S10+T10+U10+V10+W10+X10+Y10+Z10+AA10+AB10+AC10+AD10+P14+Q14+S14++R14+T14+U14+V14+W14+X14+Y14+Z14+AA14+AB14+AC14+AD14)*AE5</f>
        <v>1588001.7561928211</v>
      </c>
      <c r="AF9" s="4">
        <f>+(B21+AE9+AD9+AC9+AB9+AA9+Z9+Y9+X9+W9+V9+U9+T9+S9+R9+Q9+P9+P10+Q10+R10+S10+T10+U10+V10+W10+X10+Y10+Z10+AA10+AB10+AC10+AD10+AE10+P14+Q14+R14+S14+T14+U14+V14+W14+X14+Y14+Z14+AA14+AB14+AC14+AD14+AE14)*AF5</f>
        <v>1571043.6223616083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1574694.5154229789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1838179.2214783148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3580914.4036981622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2361022.152261924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1122115.9403305247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1534357.6069653041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1730152.0042876124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1791452.5526773718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4067063.7683516257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2622086.5531529062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2221121.7317880327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2577333.6123961201</v>
      </c>
    </row>
    <row r="10" spans="1:44" ht="15" customHeight="1" x14ac:dyDescent="0.25">
      <c r="A10" s="13" t="s">
        <v>25</v>
      </c>
      <c r="B10" s="14">
        <v>4114261</v>
      </c>
      <c r="C10" s="14">
        <v>882455</v>
      </c>
      <c r="D10" s="15">
        <v>0</v>
      </c>
      <c r="E10" s="14">
        <v>3253542</v>
      </c>
      <c r="F10" s="15">
        <v>0</v>
      </c>
      <c r="G10" s="16">
        <v>-333163</v>
      </c>
      <c r="H10" s="20">
        <v>4.2658032247</v>
      </c>
      <c r="I10" s="14">
        <v>2972961</v>
      </c>
      <c r="J10" s="17">
        <v>0.19926558163999999</v>
      </c>
      <c r="K10" s="14">
        <v>6304699.4431999996</v>
      </c>
      <c r="M10" s="22" t="s">
        <v>26</v>
      </c>
      <c r="N10" s="22"/>
      <c r="O10" s="23"/>
      <c r="P10" s="23">
        <f>((B6-B5)*(P5^1/2))</f>
        <v>7990.8694000000005</v>
      </c>
      <c r="Q10" s="23">
        <f>((B7-B6)*(Q5^1/2))</f>
        <v>8801.6508000000013</v>
      </c>
      <c r="R10" s="23">
        <f>((B8-B7)*(R5/2))</f>
        <v>1775.8763000000001</v>
      </c>
      <c r="S10" s="23">
        <f>((B9-B8)*(S5/2))</f>
        <v>21987.617099999999</v>
      </c>
      <c r="T10" s="23">
        <f>((B10-B9)*(T5^1/2))</f>
        <v>19043.255250000002</v>
      </c>
      <c r="U10" s="23">
        <f>((B11-B10)*(U5^1/2))</f>
        <v>36065.60555</v>
      </c>
      <c r="V10" s="23">
        <f>((B12-B11)*(V5^1/2))</f>
        <v>83620.270649999991</v>
      </c>
      <c r="W10" s="23">
        <f>((B13-B12)*(W5/2))</f>
        <v>57974.618999999999</v>
      </c>
      <c r="X10" s="23">
        <f>((B14-B13)*(X5/2))</f>
        <v>47243.044000000002</v>
      </c>
      <c r="Y10" s="23">
        <f>((B15-B14)*(Y5/2))</f>
        <v>24877.391250000001</v>
      </c>
      <c r="Z10" s="23">
        <f>((B16-B15)*(Z5/2))</f>
        <v>48488.523699999998</v>
      </c>
      <c r="AA10" s="23">
        <f>((B17-B16)*(AA5/2))</f>
        <v>63187.585200000001</v>
      </c>
      <c r="AB10" s="23">
        <f>((B18-B17)*(AB5^1/2))</f>
        <v>27026.011999999999</v>
      </c>
      <c r="AC10" s="23">
        <f>((B19-B18)*(AC5^1/2))</f>
        <v>68831.712849999996</v>
      </c>
      <c r="AD10" s="23">
        <f>((B20-B19)*(AD5/2))</f>
        <v>192548.03640000001</v>
      </c>
      <c r="AE10" s="23">
        <f>((B21-B20)*(AE5^1/2))</f>
        <v>98767.5</v>
      </c>
      <c r="AF10" s="23">
        <f>((B22-B21)*(AF5^1/2))</f>
        <v>20031.2</v>
      </c>
      <c r="AG10" s="23">
        <f>((B23-B22)*(AG5/2))</f>
        <v>91723.199999999997</v>
      </c>
      <c r="AH10" s="23">
        <f>((B24-B23)*(AH5/2))</f>
        <v>195344.75</v>
      </c>
      <c r="AI10" s="23">
        <f>((B25-B24)*(AI5^1/2))</f>
        <v>299827</v>
      </c>
      <c r="AJ10" s="23">
        <f>((B26-B25)*(AJ5/2))</f>
        <v>90670.349999999991</v>
      </c>
      <c r="AK10" s="23">
        <f>((B27-B26)*(AK5/2))</f>
        <v>81125</v>
      </c>
      <c r="AL10" s="23">
        <f>((B28-B27)*(AL5^1/2))</f>
        <v>35887.5</v>
      </c>
      <c r="AM10" s="23">
        <f>((B29-B28)*(AM5/2))</f>
        <v>1917.95</v>
      </c>
      <c r="AN10" s="23">
        <f>((B30-B29)*(AN5/2))</f>
        <v>47708.6</v>
      </c>
      <c r="AO10" s="23">
        <f>((B31-B30)*(AO5/2))</f>
        <v>429712.89999999997</v>
      </c>
      <c r="AP10" s="23">
        <f>((B32-B31)*(AP5^1/2))</f>
        <v>200073.45</v>
      </c>
      <c r="AQ10" s="23">
        <f>((C32-C31)*(AQ5/2))</f>
        <v>34049.4</v>
      </c>
      <c r="AR10" s="23">
        <f>((D32-D31)*(AR5^1/2))</f>
        <v>-7389.9000000000005</v>
      </c>
    </row>
    <row r="11" spans="1:44" ht="15" customHeight="1" x14ac:dyDescent="0.25">
      <c r="A11" s="13" t="s">
        <v>27</v>
      </c>
      <c r="B11" s="14">
        <v>5054694</v>
      </c>
      <c r="C11" s="14">
        <v>1182829</v>
      </c>
      <c r="D11" s="15">
        <v>0</v>
      </c>
      <c r="E11" s="14">
        <v>3416530</v>
      </c>
      <c r="F11" s="15">
        <v>0</v>
      </c>
      <c r="G11" s="16"/>
      <c r="H11" s="20">
        <v>2.8231866707000002</v>
      </c>
      <c r="I11" s="14">
        <v>3070505</v>
      </c>
      <c r="J11" s="17">
        <v>0.23185604071999999</v>
      </c>
      <c r="K11" s="14">
        <v>7979476.2060000002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4">
        <v>6389415</v>
      </c>
      <c r="C12" s="14">
        <v>1537264</v>
      </c>
      <c r="D12" s="15">
        <v>0</v>
      </c>
      <c r="E12" s="14">
        <v>3562476</v>
      </c>
      <c r="F12" s="15">
        <v>0</v>
      </c>
      <c r="G12" s="16">
        <v>-414561</v>
      </c>
      <c r="H12" s="20">
        <v>9.5563830030000005</v>
      </c>
      <c r="I12" s="14">
        <v>3148803</v>
      </c>
      <c r="J12" s="17">
        <v>0.22090119086000001</v>
      </c>
      <c r="K12" s="14">
        <v>7561381.7554000001</v>
      </c>
      <c r="M12" s="1" t="s">
        <v>30</v>
      </c>
      <c r="N12" s="1"/>
      <c r="O12" s="1"/>
      <c r="P12" s="4">
        <v>0</v>
      </c>
      <c r="Q12" s="24">
        <f>-($P$7+$P$8)*$N$1</f>
        <v>-48407.22095694</v>
      </c>
      <c r="R12" s="24">
        <f>-((($P$7+$P$8)*(1+Q5))+($Q$7+$Q$8))*N1</f>
        <v>-79414.728646114541</v>
      </c>
      <c r="S12" s="24">
        <f>-((($P$7+$P$8)*(1+Q5)*(1+R5))+(($Q$7+$Q$8)*(1+R5))+((R7+R8)))*$N$1</f>
        <v>-90452.14949406193</v>
      </c>
      <c r="T12" s="24">
        <f>-((($P$7+$P$8)*(1+R5)*(1+S5)*(1+Q5))+(($Q$7+$Q$8)*(1+S5)*(1+R5))+((R7+R8)*(1+S5))+((S7+S8)))*$N$1</f>
        <v>-151455.03932981487</v>
      </c>
      <c r="U12" s="24">
        <f>-((($P$7+$P$8)*(1+T5)*(1+R5)*(1+S5)*(1+Q5))+(($Q$7+$Q$8)*(1+T5)*(1+S5)*(1+R5))+((R7+R8)*(1+S5)*(1+T5))+((S7+S8)*(1+T5))+(T7+T8))*$N$1</f>
        <v>-199989.76273231322</v>
      </c>
      <c r="V12" s="24">
        <f>-((($P$7+$P$8)*(1+U5)*(1+S5)*(1+T5)*(1+R5)*(1+Q5))+(($Q$7+$Q$8)*(1+U5)*(1+T5)*(1+S5)*(1+R5))+(($R$7+$R$8)*(1+U5)*(1+T5)*(1+S5))+((S7+S8)*(1+T5)*(1+U5))+((T7+T8)*(1+U5))+(U7+U8))*$N$1</f>
        <v>-271803.25264375051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-408429.09613041568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-532034.81758306676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-647911.36932783795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-745128.97194205248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-803725.72129084787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-892099.89332837448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-1030330.4681355638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-1155685.0291056342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-1345315.0995187967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-1577201.1896203468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-1790700.3860469048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-2034337.5564127697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-2324081.898821916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-2719456.4346281439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-2984170.0456088707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-3137083.9525311398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-3348999.0616692924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-3979314.6720503583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-4630770.4641955597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-5336870.3679163847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-5885365.3483093111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-5743253.2814990859</v>
      </c>
    </row>
    <row r="13" spans="1:44" ht="15" customHeight="1" x14ac:dyDescent="0.25">
      <c r="A13" s="13" t="s">
        <v>31</v>
      </c>
      <c r="B13" s="14">
        <v>7636181</v>
      </c>
      <c r="C13" s="14">
        <v>1561263</v>
      </c>
      <c r="D13" s="15">
        <v>0</v>
      </c>
      <c r="E13" s="14">
        <v>3410656</v>
      </c>
      <c r="F13" s="15">
        <v>0</v>
      </c>
      <c r="G13" s="16">
        <v>-431469</v>
      </c>
      <c r="H13" s="20">
        <v>6.5642228739000004</v>
      </c>
      <c r="I13" s="14">
        <v>3208087</v>
      </c>
      <c r="J13" s="17">
        <v>0.43954360871999998</v>
      </c>
      <c r="K13" s="14">
        <v>11105426.83</v>
      </c>
      <c r="M13" t="s">
        <v>32</v>
      </c>
      <c r="P13">
        <v>0</v>
      </c>
      <c r="Q13" s="24">
        <f t="shared" ref="Q13:AR13" si="0">Q12*Q5</f>
        <v>-2526.8569339522683</v>
      </c>
      <c r="R13" s="24">
        <f t="shared" si="0"/>
        <v>-1318.2844955255014</v>
      </c>
      <c r="S13" s="24">
        <f t="shared" si="0"/>
        <v>-8086.4221647691356</v>
      </c>
      <c r="T13" s="24">
        <f t="shared" si="0"/>
        <v>-9041.8658479899477</v>
      </c>
      <c r="U13" s="24">
        <f t="shared" si="0"/>
        <v>-15339.214801568425</v>
      </c>
      <c r="V13" s="24">
        <f t="shared" si="0"/>
        <v>-34056.947556261941</v>
      </c>
      <c r="W13" s="24">
        <f t="shared" si="0"/>
        <v>-37983.905940128658</v>
      </c>
      <c r="X13" s="24">
        <f t="shared" si="0"/>
        <v>-40434.646136313073</v>
      </c>
      <c r="Y13" s="24">
        <f t="shared" si="0"/>
        <v>-36866.156914753978</v>
      </c>
      <c r="Z13" s="24">
        <f t="shared" si="0"/>
        <v>-23397.049718980445</v>
      </c>
      <c r="AA13" s="24">
        <f t="shared" si="0"/>
        <v>-35846.167169571818</v>
      </c>
      <c r="AB13" s="24">
        <f t="shared" si="0"/>
        <v>-52633.893706374089</v>
      </c>
      <c r="AC13" s="24">
        <f t="shared" si="0"/>
        <v>-44407.243176642798</v>
      </c>
      <c r="AD13" s="24">
        <f t="shared" si="0"/>
        <v>-68300.985220142975</v>
      </c>
      <c r="AE13" s="24">
        <f t="shared" si="0"/>
        <v>-87445.481468721788</v>
      </c>
      <c r="AF13" s="24">
        <f t="shared" si="0"/>
        <v>-92108.549473828258</v>
      </c>
      <c r="AG13" s="24">
        <f t="shared" si="0"/>
        <v>-105830.39281537208</v>
      </c>
      <c r="AH13" s="24">
        <f t="shared" si="0"/>
        <v>-130401.03736605855</v>
      </c>
      <c r="AI13" s="24">
        <f t="shared" si="0"/>
        <v>-247979.53860429843</v>
      </c>
      <c r="AJ13" s="24">
        <f t="shared" si="0"/>
        <v>-171053.80973811026</v>
      </c>
      <c r="AK13" s="24">
        <f t="shared" si="0"/>
        <v>-88033.016345461685</v>
      </c>
      <c r="AL13" s="24">
        <f t="shared" si="0"/>
        <v>-117640.64821991774</v>
      </c>
      <c r="AM13" s="24">
        <f t="shared" si="0"/>
        <v>-144341.8595579465</v>
      </c>
      <c r="AN13" s="24">
        <f t="shared" si="0"/>
        <v>-179865.02317667619</v>
      </c>
      <c r="AO13" s="24">
        <f t="shared" si="0"/>
        <v>-465855.50869807327</v>
      </c>
      <c r="AP13" s="24">
        <f t="shared" si="0"/>
        <v>-309004.7943023587</v>
      </c>
      <c r="AQ13" s="24">
        <f t="shared" si="0"/>
        <v>-271903.87909189018</v>
      </c>
      <c r="AR13" s="24">
        <f t="shared" si="0"/>
        <v>-277399.13349640585</v>
      </c>
    </row>
    <row r="14" spans="1:44" ht="15" customHeight="1" x14ac:dyDescent="0.25">
      <c r="A14" s="13" t="s">
        <v>33</v>
      </c>
      <c r="B14" s="14">
        <v>8879419</v>
      </c>
      <c r="C14" s="14">
        <v>1962392</v>
      </c>
      <c r="D14" s="15">
        <v>0</v>
      </c>
      <c r="E14" s="14">
        <v>3399342</v>
      </c>
      <c r="F14" s="15">
        <v>0</v>
      </c>
      <c r="G14" s="16">
        <v>-637766</v>
      </c>
      <c r="H14" s="20">
        <v>4.4447826086999997</v>
      </c>
      <c r="I14" s="14">
        <v>3224559</v>
      </c>
      <c r="J14" s="17">
        <v>0.62508615368999998</v>
      </c>
      <c r="K14" s="14">
        <v>15315531</v>
      </c>
      <c r="M14" s="39" t="s">
        <v>34</v>
      </c>
      <c r="N14" s="39"/>
      <c r="O14" s="40"/>
      <c r="P14" s="40">
        <f t="shared" ref="P14:AR14" si="1">(P7+P8)-(P9+P10)+P12+P13</f>
        <v>65065.742400000017</v>
      </c>
      <c r="Q14" s="40">
        <f t="shared" si="1"/>
        <v>-31430.565790892306</v>
      </c>
      <c r="R14" s="40">
        <f t="shared" si="1"/>
        <v>-77127.300948651246</v>
      </c>
      <c r="S14" s="40">
        <f t="shared" si="1"/>
        <v>-105220.85592052274</v>
      </c>
      <c r="T14" s="40">
        <f t="shared" si="1"/>
        <v>-186836.80411513045</v>
      </c>
      <c r="U14" s="40">
        <f t="shared" si="1"/>
        <v>-281194.25362831634</v>
      </c>
      <c r="V14" s="40">
        <f t="shared" si="1"/>
        <v>-509663.15051101014</v>
      </c>
      <c r="W14" s="40">
        <f t="shared" si="1"/>
        <v>-689546.64572945936</v>
      </c>
      <c r="X14" s="40">
        <f t="shared" si="1"/>
        <v>-838051.17889618583</v>
      </c>
      <c r="Y14" s="40">
        <f t="shared" si="1"/>
        <v>-913821.94916433108</v>
      </c>
      <c r="Z14" s="40">
        <f t="shared" si="1"/>
        <v>-935638.10159927583</v>
      </c>
      <c r="AA14" s="40">
        <f t="shared" si="1"/>
        <v>-1168966.9831957906</v>
      </c>
      <c r="AB14" s="40">
        <f t="shared" si="1"/>
        <v>-1363704.4603170834</v>
      </c>
      <c r="AC14" s="40">
        <f t="shared" si="1"/>
        <v>-1340510.9333226806</v>
      </c>
      <c r="AD14" s="40">
        <f t="shared" si="1"/>
        <v>-1778637.2007910318</v>
      </c>
      <c r="AE14" s="40">
        <f t="shared" si="1"/>
        <v>-2255133.6155595831</v>
      </c>
      <c r="AF14" s="40">
        <f t="shared" si="1"/>
        <v>-2533929.4629954053</v>
      </c>
      <c r="AG14" s="40">
        <f t="shared" si="1"/>
        <v>-2738252.0397640499</v>
      </c>
      <c r="AH14" s="40">
        <f t="shared" si="1"/>
        <v>-3244682.0443529719</v>
      </c>
      <c r="AI14" s="40">
        <f t="shared" si="1"/>
        <v>-5525203.0081948359</v>
      </c>
      <c r="AJ14" s="40">
        <f t="shared" si="1"/>
        <v>-4832987.2638888489</v>
      </c>
      <c r="AK14" s="40">
        <f t="shared" si="1"/>
        <v>-3824866.5737028671</v>
      </c>
      <c r="AL14" s="40">
        <f t="shared" si="1"/>
        <v>-4257710.0408673314</v>
      </c>
      <c r="AM14" s="40">
        <f t="shared" si="1"/>
        <v>-2329901.8401085059</v>
      </c>
      <c r="AN14" s="40">
        <f t="shared" si="1"/>
        <v>-3155997.9174537654</v>
      </c>
      <c r="AO14" s="40">
        <f t="shared" si="1"/>
        <v>-8181376.9698890084</v>
      </c>
      <c r="AP14" s="40">
        <f t="shared" si="1"/>
        <v>-6943401.0087443879</v>
      </c>
      <c r="AQ14" s="40">
        <f t="shared" si="1"/>
        <v>-7125454.7365406547</v>
      </c>
      <c r="AR14" s="40">
        <f t="shared" si="1"/>
        <v>-3484860.1850650795</v>
      </c>
    </row>
    <row r="15" spans="1:44" ht="15" customHeight="1" x14ac:dyDescent="0.25">
      <c r="A15" s="13" t="s">
        <v>35</v>
      </c>
      <c r="B15" s="14">
        <v>9753844</v>
      </c>
      <c r="C15" s="14">
        <v>2297173</v>
      </c>
      <c r="D15" s="15">
        <v>0</v>
      </c>
      <c r="E15" s="14">
        <v>3321602</v>
      </c>
      <c r="F15" s="15">
        <v>0</v>
      </c>
      <c r="G15" s="14">
        <v>-1575866</v>
      </c>
      <c r="H15" s="20">
        <v>3.68</v>
      </c>
      <c r="I15" s="14">
        <v>3176014</v>
      </c>
      <c r="J15" s="17">
        <v>1.0495798957</v>
      </c>
      <c r="K15" s="14">
        <v>23683218.949999999</v>
      </c>
    </row>
    <row r="16" spans="1:44" ht="15" customHeight="1" x14ac:dyDescent="0.25">
      <c r="A16" s="13" t="s">
        <v>36</v>
      </c>
      <c r="B16" s="14">
        <v>12842285</v>
      </c>
      <c r="C16" s="14">
        <v>4485631</v>
      </c>
      <c r="D16" s="15">
        <v>0</v>
      </c>
      <c r="E16" s="14">
        <v>3545277</v>
      </c>
      <c r="F16" s="15">
        <v>0</v>
      </c>
      <c r="G16" s="14">
        <v>-1873234</v>
      </c>
      <c r="H16" s="20">
        <v>2.2985347985</v>
      </c>
      <c r="I16" s="14">
        <v>3177929</v>
      </c>
      <c r="J16" s="17">
        <v>1.5912455801000001</v>
      </c>
      <c r="K16" s="14">
        <v>36977854.240000002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15675809</v>
      </c>
      <c r="C17" s="14">
        <v>3988482</v>
      </c>
      <c r="D17" s="15">
        <v>0</v>
      </c>
      <c r="E17" s="14">
        <v>3433581</v>
      </c>
      <c r="F17" s="15">
        <v>0</v>
      </c>
      <c r="G17" s="14">
        <v>-2647754</v>
      </c>
      <c r="H17" s="20">
        <v>2.4659961314999999</v>
      </c>
      <c r="I17" s="14">
        <v>3526409</v>
      </c>
      <c r="J17" s="17">
        <v>1.9407077479999999</v>
      </c>
      <c r="K17" s="14">
        <v>48494713</v>
      </c>
      <c r="L17" s="41" t="str">
        <f>+L19</f>
        <v>Itausa PN</v>
      </c>
      <c r="M17" s="2" t="s">
        <v>38</v>
      </c>
      <c r="N17" s="2"/>
      <c r="O17" s="28"/>
      <c r="P17" s="42">
        <f>+C6</f>
        <v>295722</v>
      </c>
      <c r="Q17" s="42">
        <f>C7</f>
        <v>465634</v>
      </c>
      <c r="R17" s="42">
        <f>C8</f>
        <v>468922</v>
      </c>
      <c r="S17" s="42">
        <f>C9</f>
        <v>951105</v>
      </c>
      <c r="T17" s="42">
        <f>C10</f>
        <v>882455</v>
      </c>
      <c r="U17" s="42">
        <f>C11</f>
        <v>1182829</v>
      </c>
      <c r="V17" s="42">
        <f>C12</f>
        <v>1537264</v>
      </c>
      <c r="W17" s="42">
        <f>C13</f>
        <v>1561263</v>
      </c>
      <c r="X17" s="42">
        <f>C14</f>
        <v>1962392</v>
      </c>
      <c r="Y17" s="42">
        <f>C15</f>
        <v>2297173</v>
      </c>
      <c r="Z17" s="42">
        <f>C16</f>
        <v>4485631</v>
      </c>
      <c r="AA17" s="42">
        <f>C17</f>
        <v>3988482</v>
      </c>
      <c r="AB17" s="42">
        <f>C18</f>
        <v>2699680</v>
      </c>
      <c r="AC17" s="42">
        <f>C19</f>
        <v>3930204</v>
      </c>
      <c r="AD17" s="42">
        <f>C20</f>
        <v>4417000</v>
      </c>
      <c r="AE17" s="42">
        <f>C21</f>
        <v>4837000</v>
      </c>
      <c r="AF17" s="42">
        <f>C22</f>
        <v>4539000</v>
      </c>
      <c r="AG17" s="42">
        <f>C23</f>
        <v>5698000</v>
      </c>
      <c r="AH17" s="42">
        <f>C24</f>
        <v>7911000</v>
      </c>
      <c r="AI17" s="42">
        <f>C25</f>
        <v>8868000</v>
      </c>
      <c r="AJ17" s="42">
        <f>C26</f>
        <v>8211000</v>
      </c>
      <c r="AK17" s="42">
        <f>C27</f>
        <v>8403000</v>
      </c>
      <c r="AL17" s="42">
        <f>C28</f>
        <v>9436000</v>
      </c>
      <c r="AM17" s="42">
        <f>C29</f>
        <v>10312000</v>
      </c>
      <c r="AN17" s="42">
        <f>C30</f>
        <v>7056000</v>
      </c>
      <c r="AO17" s="42">
        <f>C31</f>
        <v>12200000</v>
      </c>
      <c r="AP17" s="42">
        <f>C32</f>
        <v>13674000</v>
      </c>
      <c r="AQ17" s="42">
        <f>D32</f>
        <v>450000</v>
      </c>
      <c r="AR17" s="42">
        <f>E32</f>
        <v>4620000</v>
      </c>
    </row>
    <row r="18" spans="1:44" ht="15" customHeight="1" x14ac:dyDescent="0.25">
      <c r="A18" s="13" t="s">
        <v>39</v>
      </c>
      <c r="B18" s="14">
        <v>16591945</v>
      </c>
      <c r="C18" s="14">
        <v>2699680</v>
      </c>
      <c r="D18" s="15">
        <v>0</v>
      </c>
      <c r="E18" s="14">
        <v>6184478</v>
      </c>
      <c r="F18" s="15">
        <v>0</v>
      </c>
      <c r="G18" s="14">
        <v>-2843880</v>
      </c>
      <c r="H18" s="20">
        <v>4.1539109291000003</v>
      </c>
      <c r="I18" s="14">
        <v>3881480</v>
      </c>
      <c r="J18" s="17">
        <v>1.5094036312000001</v>
      </c>
      <c r="K18" s="14">
        <v>35875430.684</v>
      </c>
      <c r="L18" s="43" t="str">
        <f>+L19</f>
        <v>Itausa PN</v>
      </c>
      <c r="M18" s="18" t="s">
        <v>40</v>
      </c>
      <c r="N18" s="18"/>
      <c r="O18" s="25"/>
      <c r="P18" s="44">
        <f t="shared" ref="P18:AR18" si="2">P14+P17</f>
        <v>360787.74239999999</v>
      </c>
      <c r="Q18" s="44">
        <f t="shared" si="2"/>
        <v>434203.43420910771</v>
      </c>
      <c r="R18" s="44">
        <f t="shared" si="2"/>
        <v>391794.69905134873</v>
      </c>
      <c r="S18" s="44">
        <f t="shared" si="2"/>
        <v>845884.14407947729</v>
      </c>
      <c r="T18" s="44">
        <f t="shared" si="2"/>
        <v>695618.19588486955</v>
      </c>
      <c r="U18" s="44">
        <f t="shared" si="2"/>
        <v>901634.74637168366</v>
      </c>
      <c r="V18" s="44">
        <f t="shared" si="2"/>
        <v>1027600.8494889899</v>
      </c>
      <c r="W18" s="44">
        <f t="shared" si="2"/>
        <v>871716.35427054064</v>
      </c>
      <c r="X18" s="44">
        <f t="shared" si="2"/>
        <v>1124340.8211038141</v>
      </c>
      <c r="Y18" s="44">
        <f t="shared" si="2"/>
        <v>1383351.050835669</v>
      </c>
      <c r="Z18" s="44">
        <f t="shared" si="2"/>
        <v>3549992.8984007239</v>
      </c>
      <c r="AA18" s="44">
        <f t="shared" si="2"/>
        <v>2819515.0168042094</v>
      </c>
      <c r="AB18" s="44">
        <f t="shared" si="2"/>
        <v>1335975.5396829166</v>
      </c>
      <c r="AC18" s="44">
        <f t="shared" si="2"/>
        <v>2589693.0666773194</v>
      </c>
      <c r="AD18" s="44">
        <f t="shared" si="2"/>
        <v>2638362.7992089679</v>
      </c>
      <c r="AE18" s="44">
        <f t="shared" si="2"/>
        <v>2581866.3844404169</v>
      </c>
      <c r="AF18" s="44">
        <f t="shared" si="2"/>
        <v>2005070.5370045947</v>
      </c>
      <c r="AG18" s="44">
        <f t="shared" si="2"/>
        <v>2959747.9602359501</v>
      </c>
      <c r="AH18" s="44">
        <f t="shared" si="2"/>
        <v>4666317.9556470281</v>
      </c>
      <c r="AI18" s="44">
        <f t="shared" si="2"/>
        <v>3342796.9918051641</v>
      </c>
      <c r="AJ18" s="44">
        <f t="shared" si="2"/>
        <v>3378012.7361111511</v>
      </c>
      <c r="AK18" s="44">
        <f t="shared" si="2"/>
        <v>4578133.4262971329</v>
      </c>
      <c r="AL18" s="44">
        <f t="shared" si="2"/>
        <v>5178289.9591326686</v>
      </c>
      <c r="AM18" s="44">
        <f t="shared" si="2"/>
        <v>7982098.1598914936</v>
      </c>
      <c r="AN18" s="44">
        <f t="shared" si="2"/>
        <v>3900002.0825462346</v>
      </c>
      <c r="AO18" s="44">
        <f t="shared" si="2"/>
        <v>4018623.0301109916</v>
      </c>
      <c r="AP18" s="44">
        <f t="shared" si="2"/>
        <v>6730598.9912556121</v>
      </c>
      <c r="AQ18" s="44">
        <f t="shared" si="2"/>
        <v>-6675454.7365406547</v>
      </c>
      <c r="AR18" s="44">
        <f t="shared" si="2"/>
        <v>1135139.8149349205</v>
      </c>
    </row>
    <row r="19" spans="1:44" ht="15" customHeight="1" x14ac:dyDescent="0.25">
      <c r="A19" s="13" t="s">
        <v>41</v>
      </c>
      <c r="B19" s="14">
        <v>19785992</v>
      </c>
      <c r="C19" s="14">
        <v>3930204</v>
      </c>
      <c r="D19" s="15">
        <v>0</v>
      </c>
      <c r="E19" s="14">
        <v>7523828</v>
      </c>
      <c r="F19" s="15">
        <v>0</v>
      </c>
      <c r="G19" s="14">
        <v>-4040555</v>
      </c>
      <c r="H19" s="20">
        <v>3.2964259608000002</v>
      </c>
      <c r="I19" s="14">
        <v>4345833</v>
      </c>
      <c r="J19" s="17">
        <v>2.6158152483000001</v>
      </c>
      <c r="K19" s="14">
        <v>54569188.305</v>
      </c>
      <c r="L19" s="18" t="str">
        <f>+A1</f>
        <v>Itausa PN</v>
      </c>
      <c r="M19" s="18" t="s">
        <v>42</v>
      </c>
      <c r="N19" s="18"/>
      <c r="O19" s="31"/>
      <c r="P19" s="45">
        <f t="shared" ref="P19:AR19" si="3">P18/P17</f>
        <v>1.2200233408403838</v>
      </c>
      <c r="Q19" s="45">
        <f t="shared" si="3"/>
        <v>0.93249941844690831</v>
      </c>
      <c r="R19" s="45">
        <f t="shared" si="3"/>
        <v>0.83552211039650248</v>
      </c>
      <c r="S19" s="45">
        <f t="shared" si="3"/>
        <v>0.88936988458632571</v>
      </c>
      <c r="T19" s="45">
        <f t="shared" si="3"/>
        <v>0.78827611139930032</v>
      </c>
      <c r="U19" s="45">
        <f t="shared" si="3"/>
        <v>0.76226973330184133</v>
      </c>
      <c r="V19" s="45">
        <f t="shared" si="3"/>
        <v>0.66846088211848442</v>
      </c>
      <c r="W19" s="45">
        <f t="shared" si="3"/>
        <v>0.55834049373522632</v>
      </c>
      <c r="X19" s="45">
        <f t="shared" si="3"/>
        <v>0.57294405047707797</v>
      </c>
      <c r="Y19" s="45">
        <f t="shared" si="3"/>
        <v>0.60219715747819991</v>
      </c>
      <c r="Z19" s="45">
        <f t="shared" si="3"/>
        <v>0.79141438482138271</v>
      </c>
      <c r="AA19" s="45">
        <f t="shared" si="3"/>
        <v>0.70691431396812354</v>
      </c>
      <c r="AB19" s="45">
        <f t="shared" si="3"/>
        <v>0.49486440603438803</v>
      </c>
      <c r="AC19" s="45">
        <f t="shared" si="3"/>
        <v>0.65892077527714066</v>
      </c>
      <c r="AD19" s="45">
        <f t="shared" si="3"/>
        <v>0.59732008132419467</v>
      </c>
      <c r="AE19" s="45">
        <f t="shared" si="3"/>
        <v>0.53377431971065059</v>
      </c>
      <c r="AF19" s="45">
        <f t="shared" si="3"/>
        <v>0.44174279290693869</v>
      </c>
      <c r="AG19" s="45">
        <f t="shared" si="3"/>
        <v>0.51943628645769568</v>
      </c>
      <c r="AH19" s="45">
        <f t="shared" si="3"/>
        <v>0.58985184624535814</v>
      </c>
      <c r="AI19" s="45">
        <f t="shared" si="3"/>
        <v>0.37695049524189944</v>
      </c>
      <c r="AJ19" s="45">
        <f t="shared" si="3"/>
        <v>0.41140089344917197</v>
      </c>
      <c r="AK19" s="45">
        <f t="shared" si="3"/>
        <v>0.54482130504547577</v>
      </c>
      <c r="AL19" s="45">
        <f t="shared" si="3"/>
        <v>0.5487801991450475</v>
      </c>
      <c r="AM19" s="45">
        <f t="shared" si="3"/>
        <v>0.77405916988862433</v>
      </c>
      <c r="AN19" s="45">
        <f t="shared" si="3"/>
        <v>0.55272138358081557</v>
      </c>
      <c r="AO19" s="45">
        <f t="shared" si="3"/>
        <v>0.3293953303369665</v>
      </c>
      <c r="AP19" s="45">
        <f t="shared" si="3"/>
        <v>0.49221873564835544</v>
      </c>
      <c r="AQ19" s="45">
        <f t="shared" si="3"/>
        <v>-14.834343858979233</v>
      </c>
      <c r="AR19" s="45">
        <f t="shared" si="3"/>
        <v>0.2457012586439222</v>
      </c>
    </row>
    <row r="20" spans="1:44" ht="15" customHeight="1" x14ac:dyDescent="0.25">
      <c r="A20" s="13" t="s">
        <v>43</v>
      </c>
      <c r="B20" s="14">
        <v>26302000</v>
      </c>
      <c r="C20" s="14">
        <v>4417000</v>
      </c>
      <c r="D20" s="14">
        <v>2691000</v>
      </c>
      <c r="E20" s="14">
        <v>4617000</v>
      </c>
      <c r="F20" s="14">
        <v>1079000</v>
      </c>
      <c r="G20" s="14">
        <v>-1780000</v>
      </c>
      <c r="H20" s="20">
        <v>2.6238686454</v>
      </c>
      <c r="I20" s="14">
        <v>4374281</v>
      </c>
      <c r="J20" s="17">
        <v>3.0038431541000001</v>
      </c>
      <c r="K20" s="14">
        <v>59509615.920999996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29341000</v>
      </c>
      <c r="C21" s="14">
        <v>4837000</v>
      </c>
      <c r="D21" s="14">
        <v>3012000</v>
      </c>
      <c r="E21" s="14">
        <v>5085000</v>
      </c>
      <c r="F21" s="14">
        <v>938000</v>
      </c>
      <c r="G21" s="14">
        <v>-2032000</v>
      </c>
      <c r="H21" s="20">
        <v>4.6125886525000004</v>
      </c>
      <c r="I21" s="14">
        <v>4406782</v>
      </c>
      <c r="J21" s="17">
        <v>2.6927125564000001</v>
      </c>
      <c r="K21" s="14">
        <v>55001977.200000003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30027000</v>
      </c>
      <c r="C22" s="14">
        <v>4539000</v>
      </c>
      <c r="D22" s="14">
        <v>3200000</v>
      </c>
      <c r="E22" s="14">
        <v>5463000</v>
      </c>
      <c r="F22" s="14">
        <v>1281000</v>
      </c>
      <c r="G22" s="14">
        <v>-1581000</v>
      </c>
      <c r="H22" s="20">
        <v>4.1176470588000003</v>
      </c>
      <c r="I22" s="14">
        <v>4847460</v>
      </c>
      <c r="J22" s="17">
        <v>2.6472751110999999</v>
      </c>
      <c r="K22" s="14">
        <v>55930079.399999999</v>
      </c>
      <c r="L22" s="47" t="str">
        <f>+L24</f>
        <v>Itausa PN</v>
      </c>
      <c r="M22" s="39" t="s">
        <v>46</v>
      </c>
      <c r="N22" s="32"/>
      <c r="O22" s="32"/>
      <c r="P22" s="30">
        <v>2433214</v>
      </c>
      <c r="Q22" s="30">
        <v>2770442</v>
      </c>
      <c r="R22" s="30">
        <v>2984403</v>
      </c>
      <c r="S22" s="30">
        <v>10502002</v>
      </c>
      <c r="T22" s="30">
        <v>10565590</v>
      </c>
      <c r="U22" s="30">
        <v>5054694</v>
      </c>
      <c r="V22" s="30">
        <v>6389415</v>
      </c>
      <c r="W22" s="30">
        <v>7636181</v>
      </c>
      <c r="X22" s="30">
        <v>8879419</v>
      </c>
      <c r="Y22" s="30">
        <v>9753844</v>
      </c>
      <c r="Z22" s="30">
        <v>12842285</v>
      </c>
      <c r="AA22" s="30">
        <v>15675809</v>
      </c>
      <c r="AB22" s="30">
        <v>16591945</v>
      </c>
      <c r="AC22" s="30">
        <v>19785992</v>
      </c>
      <c r="AD22" s="30">
        <v>26302000</v>
      </c>
      <c r="AE22" s="30">
        <v>29341000</v>
      </c>
      <c r="AF22" s="30">
        <v>30027000</v>
      </c>
      <c r="AG22" s="30">
        <v>33131000</v>
      </c>
      <c r="AH22" s="30">
        <v>39226000</v>
      </c>
      <c r="AI22" s="30">
        <v>44846000</v>
      </c>
      <c r="AJ22" s="30">
        <v>47729000</v>
      </c>
      <c r="AK22" s="30">
        <v>53229000</v>
      </c>
      <c r="AL22" s="30">
        <v>55143000</v>
      </c>
      <c r="AM22" s="30">
        <v>55232000</v>
      </c>
      <c r="AN22" s="30">
        <v>57343000</v>
      </c>
      <c r="AO22" s="30">
        <v>65886000</v>
      </c>
      <c r="AP22" s="30">
        <v>72797000</v>
      </c>
      <c r="AQ22" s="30">
        <v>72797000</v>
      </c>
      <c r="AR22" s="30">
        <v>72797000</v>
      </c>
    </row>
    <row r="23" spans="1:44" ht="15" customHeight="1" x14ac:dyDescent="0.25">
      <c r="A23" s="13" t="s">
        <v>47</v>
      </c>
      <c r="B23" s="14">
        <v>33131000</v>
      </c>
      <c r="C23" s="14">
        <v>5698000</v>
      </c>
      <c r="D23" s="14">
        <v>1040000</v>
      </c>
      <c r="E23" s="14">
        <v>3832000</v>
      </c>
      <c r="F23" s="14">
        <v>29950000</v>
      </c>
      <c r="G23" s="14">
        <v>-1633000</v>
      </c>
      <c r="H23" s="20">
        <v>3.7078651685000001</v>
      </c>
      <c r="I23" s="14">
        <v>5470667</v>
      </c>
      <c r="J23" s="17">
        <v>2.7963346436999998</v>
      </c>
      <c r="K23" s="14">
        <v>56692598.899999999</v>
      </c>
      <c r="L23" s="47" t="str">
        <f>+L25</f>
        <v>Itausa PN</v>
      </c>
      <c r="M23" s="39" t="s">
        <v>48</v>
      </c>
      <c r="N23" s="32"/>
      <c r="O23" s="32"/>
      <c r="P23" s="30">
        <f>P22+P9+P10+P14</f>
        <v>2722904.1314000003</v>
      </c>
      <c r="Q23" s="33">
        <f>Q22+Q9+Q10+Q14+((P9+P10+P14)*(1+Q5))</f>
        <v>3194760.636927268</v>
      </c>
      <c r="R23" s="33">
        <f>R22+R9+R10+R14+((Q9+Q10+Q14)*(1+R5))+(((P9+P10+P14)*(1+R5)*(1+Q5)))</f>
        <v>3393195.9059319417</v>
      </c>
      <c r="S23" s="33">
        <f>S22+S9+S10+S14+((R9+R10+R14)*(1+S5))+(((Q9+Q10+Q14)*(1+S5)*(1+R5)))+(((P9+P10+P14)*(1+S5)*(1+R5)*(1+Q5)))</f>
        <v>11165477.869919701</v>
      </c>
      <c r="T23" s="33">
        <f>T22+T9+T10+T14+((S9+S10+S14)*(1+T5))+(((R9+R10+R14)*(1+T5)*(1+S5)))+(((Q9+Q10+Q14)*(1+T5)*(1+S5)*(1+R5)))+(((P9+P10+P14)*(1+T5)*(1+S5)*(1+R5)*(1+Q5)))</f>
        <v>11344521.128601648</v>
      </c>
      <c r="U23" s="33">
        <f>U22+U9+U10+U14+((T9+T10+T14)*(1+U5))+((S9+S10+S14)*(1+U5)*(1+T5))+((R9+R10+R14)*(1+U5)*(1+T5)*(1+S5))+((Q9+Q10+Q14)*(1+U5)*(1+T5)*(1+S5)*(1+R5))+((P9+P10+P14)*(1+U5)*(1+T5)*(1+S5)*(1+R5)*(1+Q5))</f>
        <v>6016007.1052555032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7779137.8873558724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9221133.7703774832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10463836.309118571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11104806.760915397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13677792.476409197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16023358.938739263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16527514.83926796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19128471.591340162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25107720.806637689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27500728.29970238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27136401.7917712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28997733.113323811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33616632.633013196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36993651.530459046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37001444.050097987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39563355.516203538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38277428.914159149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37041690.914538518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37013652.179099239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39826919.486779258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41107857.719472304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34773535.741359293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32022085.944997977</v>
      </c>
    </row>
    <row r="24" spans="1:44" ht="15" customHeight="1" x14ac:dyDescent="0.25">
      <c r="A24" s="13" t="s">
        <v>49</v>
      </c>
      <c r="B24" s="14">
        <v>39226000</v>
      </c>
      <c r="C24" s="14">
        <v>7911000</v>
      </c>
      <c r="D24" s="14">
        <v>1029000</v>
      </c>
      <c r="E24" s="14">
        <v>4085000</v>
      </c>
      <c r="F24" s="14">
        <v>35798000</v>
      </c>
      <c r="G24" s="14">
        <v>-1889000</v>
      </c>
      <c r="H24" s="20">
        <v>3.5866008325999998</v>
      </c>
      <c r="I24" s="14">
        <v>6100096</v>
      </c>
      <c r="J24" s="17">
        <v>3.3896772370999999</v>
      </c>
      <c r="K24" s="14">
        <v>58006760.299999997</v>
      </c>
      <c r="L24" s="47" t="str">
        <f>+L25</f>
        <v>Itausa PN</v>
      </c>
      <c r="M24" s="39" t="s">
        <v>50</v>
      </c>
      <c r="N24" s="32"/>
      <c r="O24" s="32"/>
      <c r="P24" s="30">
        <v>2396497.6521000001</v>
      </c>
      <c r="Q24" s="30">
        <v>2485566.5172000001</v>
      </c>
      <c r="R24" s="30">
        <v>2139130.2097999998</v>
      </c>
      <c r="S24" s="30">
        <v>17428087.655999999</v>
      </c>
      <c r="T24" s="30">
        <v>16748049.408</v>
      </c>
      <c r="U24" s="30">
        <v>7979476.2060000002</v>
      </c>
      <c r="V24" s="30">
        <v>7561381.7554000001</v>
      </c>
      <c r="W24" s="30">
        <v>11105426.83</v>
      </c>
      <c r="X24" s="30">
        <v>15315531</v>
      </c>
      <c r="Y24" s="30">
        <v>23683218.949999999</v>
      </c>
      <c r="Z24" s="30">
        <v>36977854.240000002</v>
      </c>
      <c r="AA24" s="30">
        <v>48494713</v>
      </c>
      <c r="AB24" s="30">
        <v>35875430.684</v>
      </c>
      <c r="AC24" s="30">
        <v>54569188.305</v>
      </c>
      <c r="AD24" s="30">
        <v>59509615.920999996</v>
      </c>
      <c r="AE24" s="30">
        <v>55001977.200000003</v>
      </c>
      <c r="AF24" s="30">
        <v>55930079.399999999</v>
      </c>
      <c r="AG24" s="30">
        <v>56692598.899999999</v>
      </c>
      <c r="AH24" s="30">
        <v>58006760.299999997</v>
      </c>
      <c r="AI24" s="30">
        <v>46861259.520000003</v>
      </c>
      <c r="AJ24" s="30">
        <v>60592204.920000002</v>
      </c>
      <c r="AK24" s="30">
        <v>80017631.400000006</v>
      </c>
      <c r="AL24" s="30">
        <v>105126836.64</v>
      </c>
      <c r="AM24" s="30">
        <v>118392789.83</v>
      </c>
      <c r="AN24" s="30">
        <v>100421661.13</v>
      </c>
      <c r="AO24" s="30">
        <v>79911699.180000007</v>
      </c>
      <c r="AP24" s="30">
        <v>83859228.290000007</v>
      </c>
      <c r="AQ24" s="30">
        <f>+K33</f>
        <v>87400811.584384799</v>
      </c>
      <c r="AR24" s="30">
        <f>+K34</f>
        <v>87632203.743354499</v>
      </c>
    </row>
    <row r="25" spans="1:44" ht="15" customHeight="1" x14ac:dyDescent="0.25">
      <c r="A25" s="13" t="s">
        <v>51</v>
      </c>
      <c r="B25" s="14">
        <v>44846000</v>
      </c>
      <c r="C25" s="14">
        <v>8868000</v>
      </c>
      <c r="D25" s="14">
        <v>1025000</v>
      </c>
      <c r="E25" s="14">
        <v>4146000</v>
      </c>
      <c r="F25" s="14">
        <v>41246000</v>
      </c>
      <c r="G25" s="14">
        <v>-2545000</v>
      </c>
      <c r="H25" s="20">
        <v>7.3779069768000003</v>
      </c>
      <c r="I25" s="14">
        <v>6754644</v>
      </c>
      <c r="J25" s="17">
        <v>2.9123764310000002</v>
      </c>
      <c r="K25" s="14">
        <v>46861259.520000003</v>
      </c>
      <c r="L25" s="39" t="str">
        <f>+A1</f>
        <v>Itausa PN</v>
      </c>
      <c r="M25" s="39" t="s">
        <v>52</v>
      </c>
      <c r="N25" s="18"/>
      <c r="O25" s="18"/>
      <c r="P25" s="31">
        <f t="shared" ref="P25:AR25" si="4">P24/P23</f>
        <v>0.88012560723826294</v>
      </c>
      <c r="Q25" s="31">
        <f t="shared" si="4"/>
        <v>0.77801337867697862</v>
      </c>
      <c r="R25" s="31">
        <f t="shared" si="4"/>
        <v>0.63041753824481506</v>
      </c>
      <c r="S25" s="31">
        <f t="shared" si="4"/>
        <v>1.5608904391769967</v>
      </c>
      <c r="T25" s="31">
        <f t="shared" si="4"/>
        <v>1.4763117118954499</v>
      </c>
      <c r="U25" s="31">
        <f t="shared" si="4"/>
        <v>1.3263741326085265</v>
      </c>
      <c r="V25" s="31">
        <f t="shared" si="4"/>
        <v>0.97200767808604982</v>
      </c>
      <c r="W25" s="31">
        <f t="shared" si="4"/>
        <v>1.2043450519800214</v>
      </c>
      <c r="X25" s="31">
        <f t="shared" si="4"/>
        <v>1.4636630913896735</v>
      </c>
      <c r="Y25" s="31">
        <f t="shared" si="4"/>
        <v>2.132699781265508</v>
      </c>
      <c r="Z25" s="31">
        <f t="shared" si="4"/>
        <v>2.7034957800228101</v>
      </c>
      <c r="AA25" s="31">
        <f t="shared" si="4"/>
        <v>3.0265010716795202</v>
      </c>
      <c r="AB25" s="31">
        <f t="shared" si="4"/>
        <v>2.1706488260874557</v>
      </c>
      <c r="AC25" s="31">
        <f t="shared" si="4"/>
        <v>2.8527730532168891</v>
      </c>
      <c r="AD25" s="31">
        <f t="shared" si="4"/>
        <v>2.3701719634092604</v>
      </c>
      <c r="AE25" s="31">
        <f t="shared" si="4"/>
        <v>2.0000189304293898</v>
      </c>
      <c r="AF25" s="31">
        <f t="shared" si="4"/>
        <v>2.0610720547688879</v>
      </c>
      <c r="AG25" s="31">
        <f t="shared" si="4"/>
        <v>1.9550700283516649</v>
      </c>
      <c r="AH25" s="31">
        <f t="shared" si="4"/>
        <v>1.7255375020231649</v>
      </c>
      <c r="AI25" s="31">
        <f t="shared" si="4"/>
        <v>1.2667378747787679</v>
      </c>
      <c r="AJ25" s="31">
        <f t="shared" si="4"/>
        <v>1.63756324855758</v>
      </c>
      <c r="AK25" s="31">
        <f t="shared" si="4"/>
        <v>2.0225188272321351</v>
      </c>
      <c r="AL25" s="31">
        <f t="shared" si="4"/>
        <v>2.7464445659544463</v>
      </c>
      <c r="AM25" s="31">
        <f t="shared" si="4"/>
        <v>3.1962037074158496</v>
      </c>
      <c r="AN25" s="31">
        <f t="shared" si="4"/>
        <v>2.7130978765371823</v>
      </c>
      <c r="AO25" s="31">
        <f t="shared" si="4"/>
        <v>2.0064745204942875</v>
      </c>
      <c r="AP25" s="31">
        <f t="shared" si="4"/>
        <v>2.0399805035395189</v>
      </c>
      <c r="AQ25" s="31">
        <f t="shared" si="4"/>
        <v>2.5134289545492252</v>
      </c>
      <c r="AR25" s="31">
        <f t="shared" si="4"/>
        <v>2.7366175924289879</v>
      </c>
    </row>
    <row r="26" spans="1:44" ht="15" customHeight="1" x14ac:dyDescent="0.25">
      <c r="A26" s="13" t="s">
        <v>53</v>
      </c>
      <c r="B26" s="14">
        <v>47729000</v>
      </c>
      <c r="C26" s="14">
        <v>8211000</v>
      </c>
      <c r="D26" s="14">
        <v>997000</v>
      </c>
      <c r="E26" s="14">
        <v>3742000</v>
      </c>
      <c r="F26" s="14">
        <v>45072000</v>
      </c>
      <c r="G26" s="14">
        <v>-2900000</v>
      </c>
      <c r="H26" s="20">
        <v>6.9916556872999998</v>
      </c>
      <c r="I26" s="14">
        <v>7403289</v>
      </c>
      <c r="J26" s="17">
        <v>4.1748352204000003</v>
      </c>
      <c r="K26" s="14">
        <v>60592204.920000002</v>
      </c>
    </row>
    <row r="27" spans="1:44" ht="15" customHeight="1" x14ac:dyDescent="0.25">
      <c r="A27" s="13" t="s">
        <v>54</v>
      </c>
      <c r="B27" s="14">
        <v>53229000</v>
      </c>
      <c r="C27" s="14">
        <v>8403000</v>
      </c>
      <c r="D27" s="14">
        <v>1119000</v>
      </c>
      <c r="E27" s="14">
        <v>3669000</v>
      </c>
      <c r="F27" s="14">
        <v>51777000</v>
      </c>
      <c r="G27" s="14">
        <v>-3190000</v>
      </c>
      <c r="H27" s="20">
        <v>4.3887245841000002</v>
      </c>
      <c r="I27" s="14">
        <v>7473630</v>
      </c>
      <c r="J27" s="17">
        <v>5.7490631791000002</v>
      </c>
      <c r="K27" s="14">
        <v>80017631.400000006</v>
      </c>
      <c r="S27" s="67"/>
    </row>
    <row r="28" spans="1:44" ht="15" customHeight="1" x14ac:dyDescent="0.25">
      <c r="A28" s="13" t="s">
        <v>55</v>
      </c>
      <c r="B28" s="14">
        <v>55143000</v>
      </c>
      <c r="C28" s="14">
        <v>9436000</v>
      </c>
      <c r="D28" s="14">
        <v>423000</v>
      </c>
      <c r="E28" s="14">
        <v>3338000</v>
      </c>
      <c r="F28" s="14">
        <v>52831000</v>
      </c>
      <c r="G28" s="14">
        <v>-6644000</v>
      </c>
      <c r="H28" s="20">
        <v>7.3588199879999996</v>
      </c>
      <c r="I28" s="14">
        <v>8410698</v>
      </c>
      <c r="J28" s="17">
        <v>7.6890876465</v>
      </c>
      <c r="K28" s="14">
        <v>105126836.64</v>
      </c>
    </row>
    <row r="29" spans="1:44" ht="15" customHeight="1" x14ac:dyDescent="0.25">
      <c r="A29" s="13" t="s">
        <v>56</v>
      </c>
      <c r="B29" s="14">
        <v>55232000</v>
      </c>
      <c r="C29" s="14">
        <v>10312000</v>
      </c>
      <c r="D29" s="14">
        <v>723000</v>
      </c>
      <c r="E29" s="14">
        <v>3669000</v>
      </c>
      <c r="F29" s="14">
        <v>53040000</v>
      </c>
      <c r="G29" s="14">
        <v>-10071000</v>
      </c>
      <c r="H29" s="20">
        <v>8.4510290986999994</v>
      </c>
      <c r="I29" s="14">
        <v>8410815</v>
      </c>
      <c r="J29" s="17">
        <v>9.8306135639000001</v>
      </c>
      <c r="K29" s="14">
        <v>118392789.83</v>
      </c>
    </row>
    <row r="30" spans="1:44" ht="15" customHeight="1" x14ac:dyDescent="0.25">
      <c r="A30" s="13" t="s">
        <v>57</v>
      </c>
      <c r="B30" s="14">
        <v>57343000</v>
      </c>
      <c r="C30" s="14">
        <v>7056000</v>
      </c>
      <c r="D30" s="14">
        <v>739000</v>
      </c>
      <c r="E30" s="14">
        <v>3616000</v>
      </c>
      <c r="F30" s="14">
        <v>57362000</v>
      </c>
      <c r="G30" s="14">
        <v>-4569000</v>
      </c>
      <c r="H30" s="20">
        <v>5.4991474851</v>
      </c>
      <c r="I30" s="14">
        <v>8410815</v>
      </c>
      <c r="J30" s="17">
        <v>8.6289415703000003</v>
      </c>
      <c r="K30" s="14">
        <v>100421661.13</v>
      </c>
    </row>
    <row r="31" spans="1:44" ht="15" customHeight="1" x14ac:dyDescent="0.25">
      <c r="A31" s="13" t="s">
        <v>58</v>
      </c>
      <c r="B31" s="14">
        <v>65886000</v>
      </c>
      <c r="C31" s="14">
        <v>12200000</v>
      </c>
      <c r="D31" s="14">
        <v>756000</v>
      </c>
      <c r="E31" s="14">
        <v>3736000</v>
      </c>
      <c r="F31" s="14">
        <v>67628000</v>
      </c>
      <c r="G31" s="14">
        <v>-3335000</v>
      </c>
      <c r="H31" s="20">
        <v>4.2037540660000001</v>
      </c>
      <c r="I31" s="14">
        <v>8822956</v>
      </c>
      <c r="J31" s="17">
        <v>7.1687829175999997</v>
      </c>
      <c r="K31" s="14">
        <v>79911699.180000007</v>
      </c>
    </row>
    <row r="32" spans="1:44" ht="15" customHeight="1" x14ac:dyDescent="0.25">
      <c r="A32" s="13" t="s">
        <v>59</v>
      </c>
      <c r="B32" s="14">
        <v>72797000</v>
      </c>
      <c r="C32" s="14">
        <v>13674000</v>
      </c>
      <c r="D32" s="14">
        <v>450000</v>
      </c>
      <c r="E32" s="14">
        <v>4620000</v>
      </c>
      <c r="F32" s="14">
        <v>75364000</v>
      </c>
      <c r="G32" s="14">
        <v>-3851000</v>
      </c>
      <c r="H32" s="20">
        <v>6.8378960581000001</v>
      </c>
      <c r="I32" s="14">
        <v>9701410</v>
      </c>
      <c r="J32" s="17">
        <v>8.0316862008999994</v>
      </c>
      <c r="K32" s="14">
        <v>60709452.850036599</v>
      </c>
    </row>
    <row r="33" spans="1:42" ht="15" customHeight="1" x14ac:dyDescent="0.25">
      <c r="A33" s="13" t="s">
        <v>60</v>
      </c>
      <c r="B33" s="14">
        <v>82952000</v>
      </c>
      <c r="C33" s="14">
        <v>13466000</v>
      </c>
      <c r="D33" s="14">
        <v>484000</v>
      </c>
      <c r="E33" s="14">
        <v>5105000</v>
      </c>
      <c r="F33" s="14"/>
      <c r="G33" s="14"/>
      <c r="H33" s="14"/>
      <c r="I33" s="14"/>
      <c r="J33" s="14"/>
      <c r="K33" s="14">
        <v>87400811.584384799</v>
      </c>
    </row>
    <row r="34" spans="1:42" ht="15" customHeight="1" x14ac:dyDescent="0.25">
      <c r="A34" s="13" t="s">
        <v>61</v>
      </c>
      <c r="B34" s="14">
        <v>90443000</v>
      </c>
      <c r="C34" s="14">
        <v>14778000</v>
      </c>
      <c r="D34" s="14">
        <v>453000</v>
      </c>
      <c r="E34" s="14">
        <v>5425000</v>
      </c>
      <c r="F34" s="14"/>
      <c r="G34" s="14"/>
      <c r="H34" s="14"/>
      <c r="I34" s="14"/>
      <c r="J34" s="14"/>
      <c r="K34" s="14">
        <v>87632203.743354499</v>
      </c>
    </row>
    <row r="46" spans="1:42" ht="15" customHeight="1" x14ac:dyDescent="0.25">
      <c r="M46" s="46" t="s">
        <v>62</v>
      </c>
      <c r="N46" s="1"/>
      <c r="O46" s="1"/>
      <c r="P46" s="35">
        <f>-G6/P17</f>
        <v>0.21128965717802531</v>
      </c>
      <c r="Q46" s="35">
        <f>-G7/Q17</f>
        <v>0.26071549757964407</v>
      </c>
      <c r="R46" s="35">
        <f>-G8/R17</f>
        <v>0.44473281270659087</v>
      </c>
      <c r="S46" s="35">
        <f>-G9/S17</f>
        <v>0.26354924009441649</v>
      </c>
      <c r="T46" s="35">
        <f>-G10/T17</f>
        <v>0.37754106441688245</v>
      </c>
      <c r="U46" s="35">
        <f>-G11/U17</f>
        <v>0</v>
      </c>
      <c r="V46" s="35">
        <f>-G12/V17</f>
        <v>0.26967456468114781</v>
      </c>
      <c r="W46" s="35">
        <f>-G13/W17</f>
        <v>0.27635894785183535</v>
      </c>
      <c r="X46" s="35">
        <f>-G14/X17</f>
        <v>0.32499419076310954</v>
      </c>
      <c r="Y46" s="35">
        <f>-G15/Y17</f>
        <v>0.68600231676064449</v>
      </c>
      <c r="Z46" s="35">
        <f>-G16/Z17</f>
        <v>0.41760768997717379</v>
      </c>
      <c r="AA46" s="35">
        <f>-G17/AA17</f>
        <v>0.66385005623693427</v>
      </c>
      <c r="AB46" s="35">
        <f>-G18/AB17</f>
        <v>1.0534137379244948</v>
      </c>
      <c r="AC46" s="35">
        <f>-G19/AC17</f>
        <v>1.0280776773928275</v>
      </c>
      <c r="AD46" s="35">
        <f>-G20/AD17</f>
        <v>0.40298845370160741</v>
      </c>
      <c r="AE46" s="35">
        <f>-G21/AE17</f>
        <v>0.42009510026876162</v>
      </c>
      <c r="AF46" s="35">
        <f>-G22/AF17</f>
        <v>0.34831460674157305</v>
      </c>
      <c r="AG46" s="35">
        <f>-G23/AG17</f>
        <v>0.28659178659178658</v>
      </c>
      <c r="AH46" s="35">
        <f>-G24/AH17</f>
        <v>0.23878144355960054</v>
      </c>
      <c r="AI46" s="35">
        <f>-G25/AI17</f>
        <v>0.2869869192602616</v>
      </c>
      <c r="AJ46" s="35">
        <f>-G26/AJ17</f>
        <v>0.35318475216173428</v>
      </c>
      <c r="AK46" s="35">
        <f>-G27/AK17</f>
        <v>0.37962632393192908</v>
      </c>
      <c r="AL46" s="35">
        <f>-G28/AL17</f>
        <v>0.70411191182704536</v>
      </c>
      <c r="AM46" s="35">
        <f>-G29/AM17</f>
        <v>0.97662916989914661</v>
      </c>
      <c r="AN46" s="35">
        <f>-G30/AN17</f>
        <v>0.64753401360544216</v>
      </c>
      <c r="AO46" s="35">
        <f>-G31/AO17</f>
        <v>0.27336065573770491</v>
      </c>
      <c r="AP46" s="35">
        <f>-G32/AP17</f>
        <v>0.2816293696065526</v>
      </c>
    </row>
    <row r="47" spans="1:42" ht="15" customHeight="1" x14ac:dyDescent="0.25">
      <c r="M47" s="39" t="s">
        <v>63</v>
      </c>
      <c r="N47" s="32"/>
      <c r="O47" s="32"/>
      <c r="P47" s="36">
        <f>-G6/P18</f>
        <v>0.17318493024279641</v>
      </c>
      <c r="Q47" s="36">
        <f>-G7/Q18</f>
        <v>0.27958783932956188</v>
      </c>
      <c r="R47" s="36">
        <f>-G8/R18</f>
        <v>0.53228132107185055</v>
      </c>
      <c r="S47" s="36">
        <f>-G9/S18</f>
        <v>0.29633254359293004</v>
      </c>
      <c r="T47" s="36">
        <f>-G10/T18</f>
        <v>0.47894520581968958</v>
      </c>
      <c r="U47" s="36">
        <f>-G11/U18</f>
        <v>0</v>
      </c>
      <c r="V47" s="36">
        <f>-G12/V18</f>
        <v>0.40342609701632187</v>
      </c>
      <c r="W47" s="36">
        <f>-G13/W18</f>
        <v>0.49496490215679934</v>
      </c>
      <c r="X47" s="36">
        <f>-G14/X18</f>
        <v>0.56723547524840157</v>
      </c>
      <c r="Y47" s="36">
        <f>-G15/Y18</f>
        <v>1.139165650720426</v>
      </c>
      <c r="Z47" s="36">
        <f>-G16/Z18</f>
        <v>0.52767260487870105</v>
      </c>
      <c r="AA47" s="36">
        <f>-G17/AA18</f>
        <v>0.9390813612339286</v>
      </c>
      <c r="AB47" s="36">
        <f>-G18/AB18</f>
        <v>2.1286916680188419</v>
      </c>
      <c r="AC47" s="36">
        <f>-G19/AC18</f>
        <v>1.5602447455999853</v>
      </c>
      <c r="AD47" s="36">
        <f>-G20/AD18</f>
        <v>0.67466081637206166</v>
      </c>
      <c r="AE47" s="36">
        <f>-G21/AE18</f>
        <v>0.78702755969318194</v>
      </c>
      <c r="AF47" s="36">
        <f>-G22/AF18</f>
        <v>0.78850093840682522</v>
      </c>
      <c r="AG47" s="36">
        <f>-G23/AG18</f>
        <v>0.55173616873438702</v>
      </c>
      <c r="AH47" s="36">
        <f>-G24/AH18</f>
        <v>0.40481596366874079</v>
      </c>
      <c r="AI47" s="36">
        <f>-G25/AI18</f>
        <v>0.76133848577674446</v>
      </c>
      <c r="AJ47" s="36">
        <f>-G26/AJ18</f>
        <v>0.85849291478354495</v>
      </c>
      <c r="AK47" s="36">
        <f>-G27/AK18</f>
        <v>0.69679052639147798</v>
      </c>
      <c r="AL47" s="36">
        <f>-G28/AL18</f>
        <v>1.2830490475494403</v>
      </c>
      <c r="AM47" s="36">
        <f>-G29/AM18</f>
        <v>1.2616983402440272</v>
      </c>
      <c r="AN47" s="36">
        <f>-G30/AN18</f>
        <v>1.1715378359534079</v>
      </c>
      <c r="AO47" s="36">
        <f>-G31/AO18</f>
        <v>0.82988625084047496</v>
      </c>
      <c r="AP47" s="36">
        <f>-G32/AP18</f>
        <v>0.57216304299263943</v>
      </c>
    </row>
    <row r="48" spans="1:42" ht="15" customHeight="1" x14ac:dyDescent="0.25">
      <c r="M48" s="39" t="s">
        <v>64</v>
      </c>
      <c r="N48" s="32"/>
      <c r="O48" s="32"/>
      <c r="P48" s="37">
        <v>2.3730770100999998</v>
      </c>
      <c r="Q48" s="37">
        <v>2.6839080313000001</v>
      </c>
      <c r="R48" s="37">
        <v>13.267163847999999</v>
      </c>
      <c r="S48" s="37">
        <v>4.5711229830000004</v>
      </c>
      <c r="T48" s="37">
        <v>4.2658032247</v>
      </c>
      <c r="U48" s="37">
        <v>2.8231866707000002</v>
      </c>
      <c r="V48" s="37">
        <v>9.5563830030000005</v>
      </c>
      <c r="W48" s="37">
        <v>6.5642228739000004</v>
      </c>
      <c r="X48" s="37">
        <v>4.4447826086999997</v>
      </c>
      <c r="Y48" s="37">
        <v>3.68</v>
      </c>
      <c r="Z48" s="37">
        <v>2.2985347985</v>
      </c>
      <c r="AA48" s="37">
        <v>2.4659961314999999</v>
      </c>
      <c r="AB48" s="37">
        <v>4.1539109291000003</v>
      </c>
      <c r="AC48" s="37">
        <v>3.2964259608000002</v>
      </c>
      <c r="AD48" s="37">
        <v>2.6238686454</v>
      </c>
      <c r="AE48" s="37">
        <v>4.6125886525000004</v>
      </c>
      <c r="AF48" s="37">
        <v>4.1176470588000003</v>
      </c>
      <c r="AG48" s="37">
        <v>3.7078651685000001</v>
      </c>
      <c r="AH48" s="37">
        <v>3.5866008325999998</v>
      </c>
      <c r="AI48" s="37">
        <v>7.3779069768000003</v>
      </c>
      <c r="AJ48" s="37">
        <v>6.9916556872999998</v>
      </c>
      <c r="AK48" s="37">
        <v>4.3887245841000002</v>
      </c>
      <c r="AL48" s="37">
        <v>7.3588199879999996</v>
      </c>
      <c r="AM48" s="37">
        <v>8.4510290986999994</v>
      </c>
      <c r="AN48" s="37">
        <v>5.4991474851</v>
      </c>
      <c r="AO48" s="37">
        <v>4.2037540660000001</v>
      </c>
      <c r="AP48" s="37">
        <v>6.8378960581000001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49"/>
  <sheetViews>
    <sheetView showGridLines="0" topLeftCell="L1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3.7109375" customWidth="1"/>
    <col min="17" max="20" width="12.5703125" customWidth="1"/>
    <col min="21" max="26" width="14.28515625" customWidth="1"/>
    <col min="27" max="27" width="15.28515625" customWidth="1"/>
    <col min="28" max="28" width="14.28515625" customWidth="1"/>
    <col min="29" max="30" width="15.28515625" customWidth="1"/>
    <col min="31" max="31" width="11" customWidth="1"/>
    <col min="32" max="39" width="15.28515625" customWidth="1"/>
    <col min="40" max="42" width="16.28515625" customWidth="1"/>
    <col min="43" max="43" width="13.5703125" customWidth="1"/>
    <col min="44" max="44" width="14.7109375" customWidth="1"/>
  </cols>
  <sheetData>
    <row r="1" spans="1:44" ht="15" customHeight="1" x14ac:dyDescent="0.25">
      <c r="A1" s="6" t="s">
        <v>85</v>
      </c>
      <c r="M1" t="s">
        <v>1</v>
      </c>
      <c r="N1" s="7">
        <v>7.5399999999999995E-2</v>
      </c>
    </row>
    <row r="2" spans="1:44" ht="15" customHeight="1" x14ac:dyDescent="0.25">
      <c r="A2" s="6"/>
    </row>
    <row r="3" spans="1:44" ht="15" customHeight="1" x14ac:dyDescent="0.25">
      <c r="M3" s="2" t="s">
        <v>86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4">
        <v>241534.30300000001</v>
      </c>
      <c r="C5" s="14">
        <v>29709.352999999999</v>
      </c>
      <c r="D5" s="15">
        <v>0</v>
      </c>
      <c r="E5" s="14">
        <v>128567.694</v>
      </c>
      <c r="F5" s="15">
        <v>0</v>
      </c>
      <c r="G5" s="16">
        <v>-7392</v>
      </c>
      <c r="H5" s="15">
        <v>0</v>
      </c>
      <c r="I5" s="14">
        <v>657469</v>
      </c>
      <c r="J5" s="17">
        <v>2.9146527185E-2</v>
      </c>
      <c r="K5" s="14">
        <v>297547.60220000002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4">
        <v>263772</v>
      </c>
      <c r="C6" s="14">
        <v>40660</v>
      </c>
      <c r="D6" s="15">
        <v>0</v>
      </c>
      <c r="E6" s="14">
        <v>164792</v>
      </c>
      <c r="F6" s="15">
        <v>0</v>
      </c>
      <c r="G6" s="16">
        <v>-11846</v>
      </c>
      <c r="H6" s="20">
        <v>1.8061224490000001</v>
      </c>
      <c r="I6" s="14">
        <v>657469</v>
      </c>
      <c r="J6" s="17">
        <v>2.7953508972E-2</v>
      </c>
      <c r="K6" s="14">
        <v>322159.81627000001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4">
        <v>295142</v>
      </c>
      <c r="C7" s="14">
        <v>58494</v>
      </c>
      <c r="D7" s="15">
        <v>0</v>
      </c>
      <c r="E7" s="14">
        <v>189509</v>
      </c>
      <c r="F7" s="15">
        <v>0</v>
      </c>
      <c r="G7" s="16">
        <v>-23475</v>
      </c>
      <c r="H7" s="20">
        <v>7.1570370371000003</v>
      </c>
      <c r="I7" s="14">
        <v>650254</v>
      </c>
      <c r="J7" s="17">
        <v>4.1610907773E-2</v>
      </c>
      <c r="K7" s="14">
        <v>431676.37258999998</v>
      </c>
      <c r="M7" s="1" t="s">
        <v>20</v>
      </c>
      <c r="N7" s="1"/>
      <c r="O7" s="5"/>
      <c r="P7" s="4">
        <f>((D5+E5)*P5)</f>
        <v>12291.0715464</v>
      </c>
      <c r="Q7" s="4">
        <f>((D6+E6+P7+P8)*Q5)</f>
        <v>9334.1217740810389</v>
      </c>
      <c r="R7" s="4">
        <f>((D7+E7+Q7+P7+P8+Q8)*R5)</f>
        <v>3544.2797588648646</v>
      </c>
      <c r="S7" s="4">
        <f>((D8+E8+R7+Q7+P7+SUM($P$8:R8))*S5)</f>
        <v>19889.690776989446</v>
      </c>
      <c r="T7" s="4">
        <f>((D9+E9+S7+R7+Q7+P7+SUM($P$8:S8))*T5)</f>
        <v>14195.658256873183</v>
      </c>
      <c r="U7" s="4">
        <f>((D10+E10+T7+S7+R7+Q7+P7+SUM($P$8:T8))*U5)</f>
        <v>19895.504355688656</v>
      </c>
      <c r="V7" s="4">
        <f>((D11+E11+U7+T7+S7+R7+Q7+P7+SUM($P$8:U8))*V5)</f>
        <v>39447.021386205852</v>
      </c>
      <c r="W7" s="4">
        <f>((D12+E12+V7+U7+T7+S7+R7+Q7+P7+SUM($P$8:V8))*W5)</f>
        <v>37606.654885916985</v>
      </c>
      <c r="X7" s="4">
        <f>((D13+E13+W7+V7+U7+T7+S7+R7+Q7+P7+SUM($P$8:W8))*X5)</f>
        <v>38297.407081154321</v>
      </c>
      <c r="Y7" s="4">
        <f>((D14+E14+X7+W7+V7+U7+T7+S7+R7+Q7+P7+SUM($P$8:X8))*Y5)</f>
        <v>39078.087789076628</v>
      </c>
      <c r="Z7" s="4">
        <f>((E14+F14+Y7+X7+W7+V7+U7+T7+S7+R7+Q7+P7+SUM($P$8:Y8))*Z5)</f>
        <v>22841.221734944793</v>
      </c>
      <c r="AA7" s="4">
        <f>((D16+E16+Z7+Y7+X7+W7+V7+U7+T7+S7+R7+P7+Q7+SUM($P$8:Z8))*AA5)</f>
        <v>36437.207276385612</v>
      </c>
      <c r="AB7" s="4">
        <f>((D17+E17+AA7+Z7+Y7+X7+W7+V7+U7+T7+S7+P7+Q7+R7+SUM($P$8:AA8))*AB5)</f>
        <v>62548.522839063495</v>
      </c>
      <c r="AC7" s="4">
        <f>((D18+E18+AB7+AA7+Z7+Y7+X7+W7+V7+U7+T7+S7+R7+Q7+P7+SUM($P$8:AB8))*AC5)</f>
        <v>61776.442434826975</v>
      </c>
      <c r="AD7" s="4">
        <f>((D19+E19+AC7+AB7+AA7+Z7+Y7+X7+W7+V7+U7+T7+S7+R7+Q7+P7+SUM($P$8:AC8))*AD5)</f>
        <v>89230.12056014534</v>
      </c>
      <c r="AE7" s="4">
        <f>((D20+E20+AD7+AC7+AB7+AA7+Z7+Y7+X7+W7+V7+U7+T7+S7+R7+Q7+P7+SUM($P$8:AD8))*AE5)</f>
        <v>205512.71579042211</v>
      </c>
      <c r="AF7" s="4">
        <f>((E20+F20+AE7+AD7+AC7+AB7+AA7+Z7+Y7+X7+W7+V7+U7+T7+S7+R7+Q7+P7+SUM($P$8:AE8))*AF5)</f>
        <v>186366.7337806322</v>
      </c>
      <c r="AG7" s="4">
        <f>((D22+E22+AF7+AE7+AD7+AC7+AB7+AA7+Z7+Y7+X7+W7+V7+U7+T7+R7+S7+Q7+P7+SUM($P$8:AF8))*AG5)</f>
        <v>239715.74237259923</v>
      </c>
      <c r="AH7" s="4">
        <f>((E22+F22+AG7+AF7+AE7+AD7+AC7+AB7+AA7+Z7+Y7+X7+W7+V7+U7+S7+T7+R7+Q7+P7+SUM($P$8:AG8))*AH5)</f>
        <v>242051.56948114527</v>
      </c>
      <c r="AI7" s="4">
        <f>((F22+G22+AH7+AG7+AF7+AE7+AD7+AC7+AB7+AA7+Z7+Y7+X7+W7+V7+T7+U7+S7+R7+Q7+P7+SUM($P$8:AH8))*AI5)</f>
        <v>125396.84832735166</v>
      </c>
      <c r="AJ7" s="4">
        <f>((G22+H22+AI7+AH7+AG7+AF7+AE7+AD7+AC7+AB7+AA7+Z7+Y7+X7+W7+U7+V7+T7+S7+R7+Q7+P7+SUM($P$8:AI8))*AJ5)</f>
        <v>83014.79724460328</v>
      </c>
      <c r="AK7" s="4">
        <f>((H22+I22+AJ7+AI7+AH7+AG7+AF7+AE7+AD7+AC7+AB7+AA7+Z7+Y7+X7+V7+W7+U7+T7+S7+R7+Q7+P7+SUM($P$8:AJ8))*AK5)</f>
        <v>69000.887601174793</v>
      </c>
      <c r="AL7" s="4">
        <f>((D27+E27+AK7+AJ7+AI7+AH7+AG7+AF7+AE7+AD7+AC7++AB7+AA7+Z7+Y7+X7+W7+V7+U7+T7+S7+R7+Q7+P7+SUM($P$8:AK8))*AL5)</f>
        <v>221865.33751805042</v>
      </c>
      <c r="AM7" s="4">
        <f>((E27+F27+AL7+AK7+AJ7+AI7+AH7+AG7+AF7+AE7+AD7++AC7+AB7+AA7+Z7+Y7+X7+W7+V7+U7+T7+S7+R7+Q7+P7+SUM($P$8:AL8))*AM5)</f>
        <v>223446.17812339898</v>
      </c>
      <c r="AN7" s="4">
        <f>((F27+G27+AM7+AL7+AK7+AJ7+AI7+AH7+AG7+AF7+AE7++AD7+AC7+AB7+AA7+Z7+Y7+X7+W7+V7+U7+T7+S7+R7+Q7+P7+SUM($P$8:AM8))*AN5)</f>
        <v>77328.775209190324</v>
      </c>
      <c r="AO7" s="4">
        <f>((G27+H27+AN7+AM7+AL7+AK7+AJ7+AI7+AH7+AG7+AF7++AE7+AD7+AC7+AB7+AA7+Z7+Y7+X7+W7+V7+U7+T7+S7+R7+Q7+P7+SUM($P$8:AN8))*AO5)</f>
        <v>182524.36780579051</v>
      </c>
      <c r="AP7" s="4">
        <f>((H27+I27+AO7+AN7+AM7+AL7+AK7+AJ7+AI7+AH7+AG7++AF7+AE7+AD7+AC7+AB7+AA7+Z7+Y7+X7+W7+V7+U7+T7+S7+R7+Q7+P7+SUM($P$8:AO8))*AP5)</f>
        <v>242469.3034488422</v>
      </c>
      <c r="AQ7" s="4">
        <f>((I27+J27+AP7+AO7+AN7+AM7+AL7+AK7+AJ7+AI7+AH7++AG7+AF7+AE7+AD7+AC7+AB7+AA7+Z7+Y7+X7+W7+V7+U7+T7+S7+R7+Q7+P7+SUM($P$8:AP8))*AQ5)</f>
        <v>203961.52166029083</v>
      </c>
      <c r="AR7" s="4">
        <f>((J27+K27+AQ7+AP7+AO7+AN7+AM7+AL7+AK7+AJ7+AI7++AH7+AG7+AF7+AE7+AD7+AC7+AB7+AA7+Z7+Y7+X7+W7+V7+U7+T7+S7+R7+Q7+P7+SUM($P$8:AQ8))*AR5)</f>
        <v>2022988.0183655589</v>
      </c>
    </row>
    <row r="8" spans="1:44" ht="15" customHeight="1" x14ac:dyDescent="0.25">
      <c r="A8" s="13" t="s">
        <v>21</v>
      </c>
      <c r="B8" s="14">
        <v>353278</v>
      </c>
      <c r="C8" s="14">
        <v>97531</v>
      </c>
      <c r="D8" s="15">
        <v>0</v>
      </c>
      <c r="E8" s="14">
        <v>194889</v>
      </c>
      <c r="F8" s="15">
        <v>0</v>
      </c>
      <c r="G8" s="16">
        <v>-1602</v>
      </c>
      <c r="H8" s="20">
        <v>9.2896184531999992</v>
      </c>
      <c r="I8" s="14">
        <v>640717</v>
      </c>
      <c r="J8" s="17">
        <v>3.7878734956999997E-2</v>
      </c>
      <c r="K8" s="14">
        <v>354163.16631</v>
      </c>
      <c r="M8" s="1" t="s">
        <v>22</v>
      </c>
      <c r="N8" s="1"/>
      <c r="O8" s="4"/>
      <c r="P8" s="4">
        <f>((D6+E6)-(D5+E5))*(P5^1/2)</f>
        <v>1731.5218267999999</v>
      </c>
      <c r="Q8" s="4">
        <f>((D7+E7)-(D6+E6))*(Q5^1/2)</f>
        <v>645.11369999999999</v>
      </c>
      <c r="R8" s="4">
        <f>((D8+E8)-(D7+E7))*(R5^1/2)</f>
        <v>44.654000000000003</v>
      </c>
      <c r="S8" s="4">
        <f>((D9+E9)-(D8+E8))*(S5^1/2)</f>
        <v>-196.23299999999998</v>
      </c>
      <c r="T8" s="4">
        <f>((D10+E10)-(D9+E9))*(T5^1/2)</f>
        <v>214.92000000000002</v>
      </c>
      <c r="U8" s="4">
        <f>((D11+E11)-(D10+E10))*(U5^1/2)</f>
        <v>1312.2986500000002</v>
      </c>
      <c r="V8" s="4">
        <f>((D12+E12)-(D11+E11))*(V5^1/2)</f>
        <v>2954.0101500000001</v>
      </c>
      <c r="W8" s="4">
        <f>((D13+E13)-(D12+E12))*(W5^1/2)</f>
        <v>2751.9630000000002</v>
      </c>
      <c r="X8" s="4">
        <f>((D14+E14)-(D13+E13))*(X5^1/2)</f>
        <v>5292.7159999999994</v>
      </c>
      <c r="Y8" s="4">
        <f>((D15+E15)-(D14+E14))*(Y5^1/2)</f>
        <v>1563.9818499999999</v>
      </c>
      <c r="Z8" s="4">
        <f>((E15+F15)-(E14+F14))*(Z5^1/2)</f>
        <v>863.07609999999988</v>
      </c>
      <c r="AA8" s="4">
        <f>((D17+E17)-(D16+E16))*(AA5^1/2)</f>
        <v>4509.5060000000003</v>
      </c>
      <c r="AB8" s="4">
        <f>((D18+E18)-(D17+E17))*(AB5^1/2)</f>
        <v>8901.1530000000002</v>
      </c>
      <c r="AC8" s="4">
        <f>((D19+E19)-(D18+E18))*(AC5^1/2)</f>
        <v>310.34154999999998</v>
      </c>
      <c r="AD8" s="4">
        <f>((D20+E20)-(D19+E19))*(AD5/2)</f>
        <v>44852.053800000002</v>
      </c>
      <c r="AE8" s="4">
        <f>((D21+E21)-(D20+E20))*(AE5^1/2)</f>
        <v>7358.39</v>
      </c>
      <c r="AF8" s="4">
        <f>((D22+E22)-(D21+E21))*(AF5^1/2)</f>
        <v>7624.0032000000001</v>
      </c>
      <c r="AG8" s="4">
        <f>((D23+E23)-(D22+E22))*(AG5^1/2)</f>
        <v>2697.8559</v>
      </c>
      <c r="AH8" s="4">
        <f>((D24+E24)-(D23+E23))*(AH5^1/2)</f>
        <v>12537.094650000001</v>
      </c>
      <c r="AI8" s="4">
        <f>((D25+E25)-(D24+E24))*(AI5^1/2)</f>
        <v>26785.06105</v>
      </c>
      <c r="AJ8" s="4">
        <f>((D26+E26)-(D25+E25))*(AJ5^1/2)</f>
        <v>-2118.7864999999997</v>
      </c>
      <c r="AK8" s="4">
        <f>((D27+E27)-(D26+E26))*(AK5/2)</f>
        <v>2093.9984999999997</v>
      </c>
      <c r="AL8" s="4">
        <f>((D28+E28)-(D27+E27))*(AL5^1/2)</f>
        <v>11920.74375</v>
      </c>
      <c r="AM8" s="4">
        <f>((D29+E29)-(D28+E28))*(AM5^1/2)</f>
        <v>11614.35095</v>
      </c>
      <c r="AN8" s="4">
        <f>((D30+E30)-(D29+E29))*(AN5^1/2)</f>
        <v>26481.662999999997</v>
      </c>
      <c r="AO8" s="4">
        <f>((D31+E31)-(D30+E30))*(AO5^1/2)</f>
        <v>29298.4925</v>
      </c>
      <c r="AP8" s="4">
        <f>((D32+E32)-(D31+E31))*(AP5^1/2)</f>
        <v>-15450.238649999999</v>
      </c>
      <c r="AQ8" s="4">
        <f>((D32+E32)-(D31+E31))*(AQ5^1/2)</f>
        <v>-12328.1697</v>
      </c>
      <c r="AR8" s="4">
        <f>((E32+F32)-(E31+F31))*(AR5^1/2)</f>
        <v>18780.7788</v>
      </c>
    </row>
    <row r="9" spans="1:44" ht="15" customHeight="1" x14ac:dyDescent="0.25">
      <c r="A9" s="13" t="s">
        <v>23</v>
      </c>
      <c r="B9" s="14">
        <v>408627</v>
      </c>
      <c r="C9" s="14">
        <v>81997</v>
      </c>
      <c r="D9" s="15">
        <v>0</v>
      </c>
      <c r="E9" s="14">
        <v>190499</v>
      </c>
      <c r="F9" s="15">
        <v>0</v>
      </c>
      <c r="G9" s="16"/>
      <c r="H9" s="20">
        <v>5.7444014412</v>
      </c>
      <c r="I9" s="14">
        <v>640717</v>
      </c>
      <c r="J9" s="17">
        <v>5.538433995E-2</v>
      </c>
      <c r="K9" s="14">
        <v>704788.71528</v>
      </c>
      <c r="M9" s="1" t="s">
        <v>24</v>
      </c>
      <c r="N9" s="1"/>
      <c r="O9" s="4"/>
      <c r="P9" s="4">
        <f>+B5*P5</f>
        <v>23090.679366800003</v>
      </c>
      <c r="Q9" s="4">
        <f>+(B6+P9+P10+P14)*Q5</f>
        <v>14500.87777408104</v>
      </c>
      <c r="R9" s="4">
        <f>+(B7+Q9+P9+P10+Q10+P14+Q14)*R5</f>
        <v>5279.3201454314576</v>
      </c>
      <c r="S9" s="4">
        <f>+(B8+R9+Q9+P9+P10+Q10+R10+P14+Q14+R14)*S5</f>
        <v>33780.71804865048</v>
      </c>
      <c r="T9" s="4">
        <f>+(B9+S9+R9+Q9+P9+P10+Q10+R10+S10+P14+Q14+R14+S14)*T5</f>
        <v>26897.396899291583</v>
      </c>
      <c r="U9" s="4">
        <f>+(B10+T9+S9+R9+Q9+P9+P10+Q10+R10+S10+T10+P14+Q14+R14+S14+T14)*U5</f>
        <v>39759.02700356258</v>
      </c>
      <c r="V9" s="4">
        <f>+(B11+U9+T9+S9+R9+Q9+P9+P10+Q10+R10+S10+T10+U10+P14+Q14+R14+S14+T14+U14)*V5</f>
        <v>80386.264540800214</v>
      </c>
      <c r="W9" s="4">
        <f>+(B12+V9+U9+T9+S9+R9+Q9+P9+P10+Q10+R10+S10+T10+U10+V10+P14+Q14+R14+S14+T14+U14+V14)*W5</f>
        <v>74018.854893127602</v>
      </c>
      <c r="X9" s="4">
        <f>+(B13+W9+V9+U9+T9+S9+R9+Q9+P9+P10+Q10+R10+S10+T10+U10+V10+W10+P14+Q14+R14+S14+T14+U14+V14+W14)*X5</f>
        <v>75372.183220871404</v>
      </c>
      <c r="Y9" s="4">
        <f>+(B14+X9+W9+V9+U9+T9+S9+R9+Q9+P9+P10+Q10+R10+S10+T10+U10+V10+W10+X10+P14+Q14+R14+S14+T14+U14+V14+W14+X14)*Y5</f>
        <v>75073.890518873886</v>
      </c>
      <c r="Z9" s="4">
        <f>+(B15+Y9+X9+W9+V9+U9+T9+S9+R9+Q9+P9+P10+Q10+R10+S10+T10+U10+V10+W10+X10+Y10+P14+Q14+R14+S14+T14+U14+V14+W14+X14+Y14)*Z5</f>
        <v>48625.598288500332</v>
      </c>
      <c r="AA9" s="4">
        <f>+(B16+Z9+Y9+X9+W9+V9+U9+T9+S9+R9+Q9+P9+P10+Q10+R10+S10+T10+U10+V10+W10+X10+Y10+Z10+P14+Q14+R14+S14+T14+U14+V14+W14+X14+Y14+Z14)*AA5</f>
        <v>77105.198408619253</v>
      </c>
      <c r="AB9" s="4">
        <f>+(B17+AA9+Z9+Y9+X9+W9+V9+U9+T9+S9+R9+Q9+P9+P10+Q10+R10+S10+T10+U10+V10+W10+X10+Y10+Z10+AA10+P14+Q14+R14+S14+T14+U14+V14+W14+X14+Y14+Z14+AA14)*AB5</f>
        <v>119091.94214755963</v>
      </c>
      <c r="AC9" s="4">
        <f>+(B18+AB9+AA9+Z9+Y9+X9+W9+V9+U9+T9+S9+R9+Q9+P9+P10+Q10+R10+S10+T10+U10+V10+W10+X10+Y10+Z10+AA10+AB10+P14+Q14+R14+S14+T14+U14+V14+W14+X14+Y14+Z14+AA14+AB14)*AC5</f>
        <v>103731.08407228722</v>
      </c>
      <c r="AD9" s="4">
        <f>+(B19+AC9+AB9+AA9+Z9+Y9+X9+W9+V9+U9+T9+S9+R9+Q9+P9+P10+Q10+R10+S10+T10+U10+V10+W10+X10+Y10+Z10+AA10+AB10+AC10+P14+Q14+R14+S14+T14+U14+V14+W14+X14+Y14+Z14+AA14+AB14+AC14)*AD5</f>
        <v>154452.70999541576</v>
      </c>
      <c r="AE9" s="4">
        <f>+(B20+AD9+AC9+AB9+AA9+Z9+Y9+X9+W9+V9+U9+T9+S9+R9+Q9+P9+P10+Q10+R10+S10+T10+U10+V10+W10+X10+Y10+Z10+AA10+AB10+AC10+AD10+P14+Q14+S14++R14+T14+U14+V14+W14+X14+Y14+Z14+AA14+AB14+AC14+AD14)*AE5</f>
        <v>246504.72276954527</v>
      </c>
      <c r="AF9" s="4">
        <f>+(B21+AE9+AD9+AC9+AB9+AA9+Z9+Y9+X9+W9+V9+U9+T9+S9+R9+Q9+P9+P10+Q10+R10+S10+T10+U10+V10+W10+X10+Y10+Z10+AA10+AB10+AC10+AD10+AE10+P14+Q14+R14+S14+T14+U14+V14+W14+X14+Y14+Z14+AA14+AB14+AC14+AD14+AE14)*AF5</f>
        <v>250536.22806558394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275579.94979212928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339806.66937777156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632395.19441518281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433357.82289234619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198227.15225810761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275708.72023412859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360759.36860443663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423609.52042689885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1212821.4280499653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811095.89620450337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699007.65827190666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843353.95414961688</v>
      </c>
    </row>
    <row r="10" spans="1:44" ht="15" customHeight="1" x14ac:dyDescent="0.25">
      <c r="A10" s="13" t="s">
        <v>25</v>
      </c>
      <c r="B10" s="14">
        <v>466119</v>
      </c>
      <c r="C10" s="14">
        <v>125426</v>
      </c>
      <c r="D10" s="15">
        <v>0</v>
      </c>
      <c r="E10" s="14">
        <v>197699</v>
      </c>
      <c r="F10" s="15">
        <v>0</v>
      </c>
      <c r="G10" s="16">
        <v>-6180</v>
      </c>
      <c r="H10" s="20">
        <v>5.6352465878000002</v>
      </c>
      <c r="I10" s="14">
        <v>617955</v>
      </c>
      <c r="J10" s="17">
        <v>8.6992955945999997E-2</v>
      </c>
      <c r="K10" s="14">
        <v>803341.47053000005</v>
      </c>
      <c r="M10" s="22" t="s">
        <v>26</v>
      </c>
      <c r="N10" s="22"/>
      <c r="O10" s="23"/>
      <c r="P10" s="23">
        <f>((B6-B5)*(P5^1/2))</f>
        <v>1062.9619165999993</v>
      </c>
      <c r="Q10" s="23">
        <f>((B7-B6)*(Q5^1/2))</f>
        <v>818.75700000000006</v>
      </c>
      <c r="R10" s="23">
        <f>((B8-B7)*(R5/2))</f>
        <v>482.52879999999999</v>
      </c>
      <c r="S10" s="23">
        <f>((B9-B8)*(S5/2))</f>
        <v>2474.1002999999996</v>
      </c>
      <c r="T10" s="23">
        <f>((B10-B9)*(T5^1/2))</f>
        <v>1716.1362000000001</v>
      </c>
      <c r="U10" s="23">
        <f>((B11-B10)*(U5^1/2))</f>
        <v>4123.7371499999999</v>
      </c>
      <c r="V10" s="23">
        <f>((B12-B11)*(V5^1/2))</f>
        <v>7518.1879499999995</v>
      </c>
      <c r="W10" s="23">
        <f>((B13-B12)*(W5/2))</f>
        <v>7801.5375000000004</v>
      </c>
      <c r="X10" s="23">
        <f>((B14-B13)*(X5/2))</f>
        <v>11421.887999999999</v>
      </c>
      <c r="Y10" s="23">
        <f>((B15-B14)*(Y5/2))</f>
        <v>5959.1654499999995</v>
      </c>
      <c r="Z10" s="23">
        <f>((B16-B15)*(Z5/2))</f>
        <v>2845.7976999999996</v>
      </c>
      <c r="AA10" s="23">
        <f>((B17-B16)*(AA5/2))</f>
        <v>6164.835</v>
      </c>
      <c r="AB10" s="23">
        <f>((B18-B17)*(AB5^1/2))</f>
        <v>10307.476999999999</v>
      </c>
      <c r="AC10" s="23">
        <f>((B19-B18)*(AC5^1/2))</f>
        <v>3969.6608499999998</v>
      </c>
      <c r="AD10" s="23">
        <f>((B20-B19)*(AD5/2))</f>
        <v>32263.280999999999</v>
      </c>
      <c r="AE10" s="23">
        <f>((B21-B20)*(AE5^1/2))</f>
        <v>11228.9125</v>
      </c>
      <c r="AF10" s="23">
        <f>((B22-B21)*(AF5^1/2))</f>
        <v>7598.9204</v>
      </c>
      <c r="AG10" s="23">
        <f>((B23-B22)*(AG5/2))</f>
        <v>14698.84965</v>
      </c>
      <c r="AH10" s="23">
        <f>((B24-B23)*(AH5/2))</f>
        <v>15980.54665</v>
      </c>
      <c r="AI10" s="23">
        <f>((B25-B24)*(AI5^1/2))</f>
        <v>51909.28325</v>
      </c>
      <c r="AJ10" s="23">
        <f>((B26-B25)*(AJ5/2))</f>
        <v>-2091.6136999999999</v>
      </c>
      <c r="AK10" s="23">
        <f>((B27-B26)*(AK5/2))</f>
        <v>11181.267</v>
      </c>
      <c r="AL10" s="23">
        <f>((B28-B27)*(AL5^1/2))</f>
        <v>18625.274999999998</v>
      </c>
      <c r="AM10" s="23">
        <f>((B29-B28)*(AM5/2))</f>
        <v>21614.068149999999</v>
      </c>
      <c r="AN10" s="23">
        <f>((B30-B29)*(AN5/2))</f>
        <v>64317.746799999994</v>
      </c>
      <c r="AO10" s="23">
        <f>((B31-B30)*(AO5/2))</f>
        <v>102702.84179999999</v>
      </c>
      <c r="AP10" s="23">
        <f>((B32-B31)*(AP5^1/2))</f>
        <v>35603.404799999997</v>
      </c>
      <c r="AQ10" s="23">
        <f>((C32-C31)*(AQ5/2))</f>
        <v>14371.3647</v>
      </c>
      <c r="AR10" s="23">
        <f>((D32-D31)*(AR5^1/2))</f>
        <v>-31674.367200000001</v>
      </c>
    </row>
    <row r="11" spans="1:44" ht="15" customHeight="1" x14ac:dyDescent="0.25">
      <c r="A11" s="13" t="s">
        <v>27</v>
      </c>
      <c r="B11" s="14">
        <v>573648</v>
      </c>
      <c r="C11" s="14">
        <v>175683</v>
      </c>
      <c r="D11" s="15">
        <v>0</v>
      </c>
      <c r="E11" s="14">
        <v>231918</v>
      </c>
      <c r="F11" s="15">
        <v>0</v>
      </c>
      <c r="G11" s="16"/>
      <c r="H11" s="20">
        <v>8.8139417236999993</v>
      </c>
      <c r="I11" s="14">
        <v>617955</v>
      </c>
      <c r="J11" s="17">
        <v>0.15846284951</v>
      </c>
      <c r="K11" s="14">
        <v>1182806.3655999999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4">
        <v>693651</v>
      </c>
      <c r="C12" s="14">
        <v>220326</v>
      </c>
      <c r="D12" s="15">
        <v>0</v>
      </c>
      <c r="E12" s="14">
        <v>279069</v>
      </c>
      <c r="F12" s="15">
        <v>0</v>
      </c>
      <c r="G12" s="16"/>
      <c r="H12" s="20">
        <v>2.1186440678</v>
      </c>
      <c r="I12" s="14">
        <v>612662</v>
      </c>
      <c r="J12" s="17">
        <v>0.20355069937</v>
      </c>
      <c r="K12" s="14">
        <v>1911505.3699</v>
      </c>
      <c r="M12" s="1" t="s">
        <v>30</v>
      </c>
      <c r="N12" s="1"/>
      <c r="O12" s="1"/>
      <c r="P12" s="4">
        <v>0</v>
      </c>
      <c r="Q12" s="24">
        <f>-($P$7+$P$8)*$N$1</f>
        <v>-1057.3035403392801</v>
      </c>
      <c r="R12" s="24">
        <f>-((($P$7+$P$8)*(1+Q5))+($Q$7+$Q$8))*N1</f>
        <v>-1864.9291398907008</v>
      </c>
      <c r="S12" s="24">
        <f>-((($P$7+$P$8)*(1+Q5)*(1+R5))+(($Q$7+$Q$8)*(1+R5))+((R7+R8)))*$N$1</f>
        <v>-2166.4925690312971</v>
      </c>
      <c r="T12" s="24">
        <f>-((($P$7+$P$8)*(1+R5)*(1+S5)*(1+Q5))+(($Q$7+$Q$8)*(1+S5)*(1+R5))+((R7+R8)*(1+S5))+((S7+S8)))*$N$1</f>
        <v>-3845.0637210876989</v>
      </c>
      <c r="U12" s="24">
        <f>-((($P$7+$P$8)*(1+T5)*(1+R5)*(1+S5)*(1+Q5))+(($Q$7+$Q$8)*(1+T5)*(1+S5)*(1+R5))+((R7+R8)*(1+S5)*(1+T5))+((S7+S8)*(1+T5))+(T7+T8))*$N$1</f>
        <v>-5161.1716258048727</v>
      </c>
      <c r="V12" s="24">
        <f>-((($P$7+$P$8)*(1+U5)*(1+S5)*(1+T5)*(1+R5)*(1+Q5))+(($Q$7+$Q$8)*(1+U5)*(1+T5)*(1+S5)*(1+R5))+(($R$7+$R$8)*(1+U5)*(1+T5)*(1+S5))+((S7+S8)*(1+T5)*(1+U5))+((T7+T8)*(1+U5))+(U7+U8))*$N$1</f>
        <v>-7156.1018361330316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-11249.799174030421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-15339.07028581339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-19791.534907854246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-23982.08529489753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-26522.426829912154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-30792.709247565708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-37996.784651437461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-44315.78958237038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-57044.648693443414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-76803.032235115068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-95915.230885985453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-119861.80634110115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-146740.93340305411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-173541.30392278457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-190848.79052947753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-201522.55061582456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-226659.43707352784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-254249.40355070567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-273435.54922762519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-317016.61097862787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-351954.5526285565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-344064.13568793604</v>
      </c>
    </row>
    <row r="13" spans="1:44" ht="15" customHeight="1" x14ac:dyDescent="0.25">
      <c r="A13" s="13" t="s">
        <v>31</v>
      </c>
      <c r="B13" s="14">
        <v>861426</v>
      </c>
      <c r="C13" s="14">
        <v>307809</v>
      </c>
      <c r="D13" s="15">
        <v>0</v>
      </c>
      <c r="E13" s="14">
        <v>338251</v>
      </c>
      <c r="F13" s="15">
        <v>0</v>
      </c>
      <c r="G13" s="16">
        <v>-107497</v>
      </c>
      <c r="H13" s="20">
        <v>3.6911767599999998</v>
      </c>
      <c r="I13" s="14">
        <v>607596</v>
      </c>
      <c r="J13" s="17">
        <v>0.46094752634000002</v>
      </c>
      <c r="K13" s="14">
        <v>2974060.8</v>
      </c>
      <c r="M13" t="s">
        <v>32</v>
      </c>
      <c r="P13">
        <v>0</v>
      </c>
      <c r="Q13" s="24">
        <f t="shared" ref="Q13:AR13" si="0">Q12*Q5</f>
        <v>-55.191244805710426</v>
      </c>
      <c r="R13" s="24">
        <f t="shared" si="0"/>
        <v>-30.957823722185633</v>
      </c>
      <c r="S13" s="24">
        <f t="shared" si="0"/>
        <v>-193.68443567139795</v>
      </c>
      <c r="T13" s="24">
        <f t="shared" si="0"/>
        <v>-229.55030414893562</v>
      </c>
      <c r="U13" s="24">
        <f t="shared" si="0"/>
        <v>-395.86186369923377</v>
      </c>
      <c r="V13" s="24">
        <f t="shared" si="0"/>
        <v>-896.65956006746887</v>
      </c>
      <c r="W13" s="24">
        <f t="shared" si="0"/>
        <v>-1046.2313231848291</v>
      </c>
      <c r="X13" s="24">
        <f t="shared" si="0"/>
        <v>-1165.7693417218177</v>
      </c>
      <c r="Y13" s="24">
        <f t="shared" si="0"/>
        <v>-1126.1383362569065</v>
      </c>
      <c r="Z13" s="24">
        <f t="shared" si="0"/>
        <v>-753.03747825978235</v>
      </c>
      <c r="AA13" s="24">
        <f t="shared" si="0"/>
        <v>-1182.9002366140821</v>
      </c>
      <c r="AB13" s="24">
        <f t="shared" si="0"/>
        <v>-1816.7698456063767</v>
      </c>
      <c r="AC13" s="24">
        <f t="shared" si="0"/>
        <v>-1637.6614184769546</v>
      </c>
      <c r="AD13" s="24">
        <f t="shared" si="0"/>
        <v>-2619.0631643180895</v>
      </c>
      <c r="AE13" s="24">
        <f t="shared" si="0"/>
        <v>-3707.9021650738218</v>
      </c>
      <c r="AF13" s="24">
        <f t="shared" si="0"/>
        <v>-4485.2970825307202</v>
      </c>
      <c r="AG13" s="24">
        <f t="shared" si="0"/>
        <v>-5668.5901453617398</v>
      </c>
      <c r="AH13" s="24">
        <f t="shared" si="0"/>
        <v>-7683.1417864645846</v>
      </c>
      <c r="AI13" s="24">
        <f t="shared" si="0"/>
        <v>-15657.257594105873</v>
      </c>
      <c r="AJ13" s="24">
        <f t="shared" si="0"/>
        <v>-10915.748016743149</v>
      </c>
      <c r="AK13" s="24">
        <f t="shared" si="0"/>
        <v>-5630.0393206195868</v>
      </c>
      <c r="AL13" s="24">
        <f t="shared" si="0"/>
        <v>-7557.0956480934201</v>
      </c>
      <c r="AM13" s="24">
        <f t="shared" si="0"/>
        <v>-9769.0217378690504</v>
      </c>
      <c r="AN13" s="24">
        <f t="shared" si="0"/>
        <v>-11492.073040491896</v>
      </c>
      <c r="AO13" s="24">
        <f t="shared" si="0"/>
        <v>-27507.616252299093</v>
      </c>
      <c r="AP13" s="24">
        <f t="shared" si="0"/>
        <v>-18355.261775662555</v>
      </c>
      <c r="AQ13" s="24">
        <f t="shared" si="0"/>
        <v>-16260.30033143931</v>
      </c>
      <c r="AR13" s="24">
        <f t="shared" si="0"/>
        <v>-16618.297753727311</v>
      </c>
    </row>
    <row r="14" spans="1:44" ht="15" customHeight="1" x14ac:dyDescent="0.25">
      <c r="A14" s="13" t="s">
        <v>33</v>
      </c>
      <c r="B14" s="14">
        <v>1162002</v>
      </c>
      <c r="C14" s="14">
        <v>402654</v>
      </c>
      <c r="D14" s="15">
        <v>0</v>
      </c>
      <c r="E14" s="14">
        <v>477533</v>
      </c>
      <c r="F14" s="15">
        <v>0</v>
      </c>
      <c r="G14" s="16">
        <v>-158462</v>
      </c>
      <c r="H14" s="20">
        <v>3.4953400537000001</v>
      </c>
      <c r="I14" s="14">
        <v>617627</v>
      </c>
      <c r="J14" s="17">
        <v>0.73616048404000001</v>
      </c>
      <c r="K14" s="14">
        <v>4409856.78</v>
      </c>
      <c r="M14" s="39" t="s">
        <v>34</v>
      </c>
      <c r="N14" s="39"/>
      <c r="O14" s="40"/>
      <c r="P14" s="40">
        <f t="shared" ref="P14:AR14" si="1">(P7+P8)-(P9+P10)+P12+P13</f>
        <v>-10131.047910199999</v>
      </c>
      <c r="Q14" s="40">
        <f t="shared" si="1"/>
        <v>-6452.8940851449915</v>
      </c>
      <c r="R14" s="40">
        <f t="shared" si="1"/>
        <v>-4068.8021501794797</v>
      </c>
      <c r="S14" s="40">
        <f t="shared" si="1"/>
        <v>-18921.537576363728</v>
      </c>
      <c r="T14" s="40">
        <f t="shared" si="1"/>
        <v>-18277.568867655034</v>
      </c>
      <c r="U14" s="40">
        <f t="shared" si="1"/>
        <v>-28231.994637378029</v>
      </c>
      <c r="V14" s="40">
        <f t="shared" si="1"/>
        <v>-53556.18235079485</v>
      </c>
      <c r="W14" s="40">
        <f t="shared" si="1"/>
        <v>-53757.805004425871</v>
      </c>
      <c r="X14" s="40">
        <f t="shared" si="1"/>
        <v>-59708.787767252295</v>
      </c>
      <c r="Y14" s="40">
        <f t="shared" si="1"/>
        <v>-61308.659573908415</v>
      </c>
      <c r="Z14" s="40">
        <f t="shared" si="1"/>
        <v>-52502.220926712849</v>
      </c>
      <c r="AA14" s="40">
        <f t="shared" si="1"/>
        <v>-70028.647198759878</v>
      </c>
      <c r="AB14" s="40">
        <f t="shared" si="1"/>
        <v>-90559.22240166823</v>
      </c>
      <c r="AC14" s="40">
        <f t="shared" si="1"/>
        <v>-85248.40700737467</v>
      </c>
      <c r="AD14" s="40">
        <f t="shared" si="1"/>
        <v>-99568.669381958869</v>
      </c>
      <c r="AE14" s="40">
        <f t="shared" si="1"/>
        <v>-105615.08033764041</v>
      </c>
      <c r="AF14" s="40">
        <f t="shared" si="1"/>
        <v>-145432.74080259752</v>
      </c>
      <c r="AG14" s="40">
        <f t="shared" si="1"/>
        <v>-149449.02220087723</v>
      </c>
      <c r="AH14" s="40">
        <f t="shared" si="1"/>
        <v>-228743.50002419198</v>
      </c>
      <c r="AI14" s="40">
        <f t="shared" si="1"/>
        <v>-694520.75928499119</v>
      </c>
      <c r="AJ14" s="40">
        <f t="shared" si="1"/>
        <v>-534827.25038727059</v>
      </c>
      <c r="AK14" s="40">
        <f t="shared" si="1"/>
        <v>-334792.36300702993</v>
      </c>
      <c r="AL14" s="40">
        <f t="shared" si="1"/>
        <v>-269627.56022999616</v>
      </c>
      <c r="AM14" s="40">
        <f t="shared" si="1"/>
        <v>-383741.36649243458</v>
      </c>
      <c r="AN14" s="40">
        <f t="shared" si="1"/>
        <v>-649858.30560890608</v>
      </c>
      <c r="AO14" s="40">
        <f t="shared" si="1"/>
        <v>-1404644.5750240991</v>
      </c>
      <c r="AP14" s="40">
        <f t="shared" si="1"/>
        <v>-955052.10895995155</v>
      </c>
      <c r="AQ14" s="40">
        <f t="shared" si="1"/>
        <v>-889960.52397161175</v>
      </c>
      <c r="AR14" s="40">
        <f t="shared" si="1"/>
        <v>869406.77677427861</v>
      </c>
    </row>
    <row r="15" spans="1:44" ht="15" customHeight="1" x14ac:dyDescent="0.25">
      <c r="A15" s="13" t="s">
        <v>35</v>
      </c>
      <c r="B15" s="14">
        <v>1371463</v>
      </c>
      <c r="C15" s="14">
        <v>374812</v>
      </c>
      <c r="D15" s="15">
        <v>0</v>
      </c>
      <c r="E15" s="14">
        <v>532506</v>
      </c>
      <c r="F15" s="15">
        <v>0</v>
      </c>
      <c r="G15" s="14">
        <v>-160709</v>
      </c>
      <c r="H15" s="20">
        <v>2.0201143037999998</v>
      </c>
      <c r="I15" s="14">
        <v>617627</v>
      </c>
      <c r="J15" s="17">
        <v>0.72554628885000005</v>
      </c>
      <c r="K15" s="14">
        <v>4693965.2</v>
      </c>
    </row>
    <row r="16" spans="1:44" ht="15" customHeight="1" x14ac:dyDescent="0.25">
      <c r="A16" s="13" t="s">
        <v>36</v>
      </c>
      <c r="B16" s="14">
        <v>1552724</v>
      </c>
      <c r="C16" s="14">
        <v>502831</v>
      </c>
      <c r="D16" s="15">
        <v>0</v>
      </c>
      <c r="E16" s="14">
        <v>543379</v>
      </c>
      <c r="F16" s="15">
        <v>0</v>
      </c>
      <c r="G16" s="14">
        <v>-278509</v>
      </c>
      <c r="H16" s="20">
        <v>2.4977355095</v>
      </c>
      <c r="I16" s="14">
        <v>617626.72900000005</v>
      </c>
      <c r="J16" s="17">
        <v>1.3262769289</v>
      </c>
      <c r="K16" s="14">
        <v>8764123.1146000009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1829174</v>
      </c>
      <c r="C17" s="14">
        <v>574984</v>
      </c>
      <c r="D17" s="15">
        <v>0</v>
      </c>
      <c r="E17" s="14">
        <v>745599</v>
      </c>
      <c r="F17" s="14">
        <v>48215</v>
      </c>
      <c r="G17" s="14">
        <v>-257970</v>
      </c>
      <c r="H17" s="20">
        <v>2.0627917817000001</v>
      </c>
      <c r="I17" s="14">
        <v>617626.72900000005</v>
      </c>
      <c r="J17" s="17">
        <v>2.6389085699999999</v>
      </c>
      <c r="K17" s="14">
        <v>15564193.57</v>
      </c>
      <c r="L17" s="41" t="str">
        <f>+L19</f>
        <v>Weg ON</v>
      </c>
      <c r="M17" s="2" t="s">
        <v>38</v>
      </c>
      <c r="N17" s="2"/>
      <c r="O17" s="28"/>
      <c r="P17" s="42">
        <f>+C6</f>
        <v>40660</v>
      </c>
      <c r="Q17" s="42">
        <f>C7</f>
        <v>58494</v>
      </c>
      <c r="R17" s="42">
        <f>C8</f>
        <v>97531</v>
      </c>
      <c r="S17" s="42">
        <f>C9</f>
        <v>81997</v>
      </c>
      <c r="T17" s="42">
        <f>C10</f>
        <v>125426</v>
      </c>
      <c r="U17" s="42">
        <f>C11</f>
        <v>175683</v>
      </c>
      <c r="V17" s="42">
        <f>C12</f>
        <v>220326</v>
      </c>
      <c r="W17" s="42">
        <f>C13</f>
        <v>307809</v>
      </c>
      <c r="X17" s="42">
        <f>C14</f>
        <v>402654</v>
      </c>
      <c r="Y17" s="42">
        <f>C15</f>
        <v>374812</v>
      </c>
      <c r="Z17" s="42">
        <f>C16</f>
        <v>502831</v>
      </c>
      <c r="AA17" s="42">
        <f>C17</f>
        <v>574984</v>
      </c>
      <c r="AB17" s="42">
        <f>C18</f>
        <v>560401</v>
      </c>
      <c r="AC17" s="42">
        <f>C19</f>
        <v>548392</v>
      </c>
      <c r="AD17" s="42">
        <f>C20</f>
        <v>519782</v>
      </c>
      <c r="AE17" s="42">
        <f>C21</f>
        <v>586936</v>
      </c>
      <c r="AF17" s="42">
        <f>C22</f>
        <v>655979</v>
      </c>
      <c r="AG17" s="42">
        <f>C23</f>
        <v>843467</v>
      </c>
      <c r="AH17" s="42">
        <f>C24</f>
        <v>954726</v>
      </c>
      <c r="AI17" s="42">
        <f>C25</f>
        <v>1156065</v>
      </c>
      <c r="AJ17" s="42">
        <f>C26</f>
        <v>1117624</v>
      </c>
      <c r="AK17" s="42">
        <f>C27</f>
        <v>1142149</v>
      </c>
      <c r="AL17" s="42">
        <f>C28</f>
        <v>1338319</v>
      </c>
      <c r="AM17" s="42">
        <f>C29</f>
        <v>1614581</v>
      </c>
      <c r="AN17" s="42">
        <f>C30</f>
        <v>2340873</v>
      </c>
      <c r="AO17" s="42">
        <f>C31</f>
        <v>3585947</v>
      </c>
      <c r="AP17" s="42">
        <f>C32</f>
        <v>4208084</v>
      </c>
      <c r="AQ17" s="42">
        <f>D32</f>
        <v>238820</v>
      </c>
      <c r="AR17" s="42">
        <f>E32</f>
        <v>6282653</v>
      </c>
    </row>
    <row r="18" spans="1:44" ht="15" customHeight="1" x14ac:dyDescent="0.25">
      <c r="A18" s="13" t="s">
        <v>39</v>
      </c>
      <c r="B18" s="14">
        <v>2178580</v>
      </c>
      <c r="C18" s="14">
        <v>560401</v>
      </c>
      <c r="D18" s="15">
        <v>0</v>
      </c>
      <c r="E18" s="14">
        <v>1047333</v>
      </c>
      <c r="F18" s="15">
        <v>0</v>
      </c>
      <c r="G18" s="14">
        <v>-297279</v>
      </c>
      <c r="H18" s="20">
        <v>3.804235104</v>
      </c>
      <c r="I18" s="14">
        <v>617626.72900000005</v>
      </c>
      <c r="J18" s="17">
        <v>1.3433384326</v>
      </c>
      <c r="K18" s="14">
        <v>7720334.1124999998</v>
      </c>
      <c r="L18" s="43" t="str">
        <f>+L19</f>
        <v>Weg ON</v>
      </c>
      <c r="M18" s="18" t="s">
        <v>40</v>
      </c>
      <c r="N18" s="18"/>
      <c r="O18" s="25"/>
      <c r="P18" s="44">
        <f t="shared" ref="P18:AR18" si="2">P14+P17</f>
        <v>30528.952089800001</v>
      </c>
      <c r="Q18" s="44">
        <f t="shared" si="2"/>
        <v>52041.105914855012</v>
      </c>
      <c r="R18" s="44">
        <f t="shared" si="2"/>
        <v>93462.197849820514</v>
      </c>
      <c r="S18" s="44">
        <f t="shared" si="2"/>
        <v>63075.462423636272</v>
      </c>
      <c r="T18" s="44">
        <f t="shared" si="2"/>
        <v>107148.43113234497</v>
      </c>
      <c r="U18" s="44">
        <f t="shared" si="2"/>
        <v>147451.00536262197</v>
      </c>
      <c r="V18" s="44">
        <f t="shared" si="2"/>
        <v>166769.81764920516</v>
      </c>
      <c r="W18" s="44">
        <f t="shared" si="2"/>
        <v>254051.19499557413</v>
      </c>
      <c r="X18" s="44">
        <f t="shared" si="2"/>
        <v>342945.2122327477</v>
      </c>
      <c r="Y18" s="44">
        <f t="shared" si="2"/>
        <v>313503.34042609157</v>
      </c>
      <c r="Z18" s="44">
        <f t="shared" si="2"/>
        <v>450328.77907328715</v>
      </c>
      <c r="AA18" s="44">
        <f t="shared" si="2"/>
        <v>504955.35280124011</v>
      </c>
      <c r="AB18" s="44">
        <f t="shared" si="2"/>
        <v>469841.7775983318</v>
      </c>
      <c r="AC18" s="44">
        <f t="shared" si="2"/>
        <v>463143.59299262532</v>
      </c>
      <c r="AD18" s="44">
        <f t="shared" si="2"/>
        <v>420213.3306180411</v>
      </c>
      <c r="AE18" s="44">
        <f t="shared" si="2"/>
        <v>481320.91966235958</v>
      </c>
      <c r="AF18" s="44">
        <f t="shared" si="2"/>
        <v>510546.25919740251</v>
      </c>
      <c r="AG18" s="44">
        <f t="shared" si="2"/>
        <v>694017.9777991228</v>
      </c>
      <c r="AH18" s="44">
        <f t="shared" si="2"/>
        <v>725982.49997580796</v>
      </c>
      <c r="AI18" s="44">
        <f t="shared" si="2"/>
        <v>461544.24071500881</v>
      </c>
      <c r="AJ18" s="44">
        <f t="shared" si="2"/>
        <v>582796.74961272941</v>
      </c>
      <c r="AK18" s="44">
        <f t="shared" si="2"/>
        <v>807356.63699297002</v>
      </c>
      <c r="AL18" s="44">
        <f t="shared" si="2"/>
        <v>1068691.4397700038</v>
      </c>
      <c r="AM18" s="44">
        <f t="shared" si="2"/>
        <v>1230839.6335075654</v>
      </c>
      <c r="AN18" s="44">
        <f t="shared" si="2"/>
        <v>1691014.6943910939</v>
      </c>
      <c r="AO18" s="44">
        <f t="shared" si="2"/>
        <v>2181302.4249759009</v>
      </c>
      <c r="AP18" s="44">
        <f t="shared" si="2"/>
        <v>3253031.8910400486</v>
      </c>
      <c r="AQ18" s="44">
        <f t="shared" si="2"/>
        <v>-651140.52397161175</v>
      </c>
      <c r="AR18" s="44">
        <f t="shared" si="2"/>
        <v>7152059.7767742788</v>
      </c>
    </row>
    <row r="19" spans="1:44" ht="15" customHeight="1" x14ac:dyDescent="0.25">
      <c r="A19" s="13" t="s">
        <v>41</v>
      </c>
      <c r="B19" s="14">
        <v>2362787</v>
      </c>
      <c r="C19" s="14">
        <v>548392</v>
      </c>
      <c r="D19" s="15">
        <v>0</v>
      </c>
      <c r="E19" s="14">
        <v>1061734</v>
      </c>
      <c r="F19" s="15">
        <v>0</v>
      </c>
      <c r="G19" s="14">
        <v>-260906</v>
      </c>
      <c r="H19" s="20">
        <v>2.2864450163000001</v>
      </c>
      <c r="I19" s="14">
        <v>620905.02899999998</v>
      </c>
      <c r="J19" s="17">
        <v>2.0403897864</v>
      </c>
      <c r="K19" s="14">
        <v>11424652.533</v>
      </c>
      <c r="L19" s="18" t="str">
        <f>+A1</f>
        <v>Weg ON</v>
      </c>
      <c r="M19" s="18" t="s">
        <v>42</v>
      </c>
      <c r="N19" s="18"/>
      <c r="O19" s="31"/>
      <c r="P19" s="45">
        <f t="shared" ref="P19:AR19" si="3">P18/P17</f>
        <v>0.75083502434333504</v>
      </c>
      <c r="Q19" s="45">
        <f t="shared" si="3"/>
        <v>0.88968280361840546</v>
      </c>
      <c r="R19" s="45">
        <f t="shared" si="3"/>
        <v>0.95828196009289879</v>
      </c>
      <c r="S19" s="45">
        <f t="shared" si="3"/>
        <v>0.76924109935285767</v>
      </c>
      <c r="T19" s="45">
        <f t="shared" si="3"/>
        <v>0.85427607619110046</v>
      </c>
      <c r="U19" s="45">
        <f t="shared" si="3"/>
        <v>0.83930149964778589</v>
      </c>
      <c r="V19" s="45">
        <f t="shared" si="3"/>
        <v>0.75692300340951657</v>
      </c>
      <c r="W19" s="45">
        <f t="shared" si="3"/>
        <v>0.82535336847062346</v>
      </c>
      <c r="X19" s="45">
        <f t="shared" si="3"/>
        <v>0.85171192197953505</v>
      </c>
      <c r="Y19" s="45">
        <f t="shared" si="3"/>
        <v>0.83642823715913994</v>
      </c>
      <c r="Z19" s="45">
        <f t="shared" si="3"/>
        <v>0.89558674599077459</v>
      </c>
      <c r="AA19" s="45">
        <f t="shared" si="3"/>
        <v>0.87820765934572109</v>
      </c>
      <c r="AB19" s="45">
        <f t="shared" si="3"/>
        <v>0.83840281797914673</v>
      </c>
      <c r="AC19" s="45">
        <f t="shared" si="3"/>
        <v>0.84454841243604084</v>
      </c>
      <c r="AD19" s="45">
        <f t="shared" si="3"/>
        <v>0.80844148242540359</v>
      </c>
      <c r="AE19" s="45">
        <f t="shared" si="3"/>
        <v>0.82005690511803597</v>
      </c>
      <c r="AF19" s="45">
        <f t="shared" si="3"/>
        <v>0.77829665156567895</v>
      </c>
      <c r="AG19" s="45">
        <f t="shared" si="3"/>
        <v>0.82281580405531318</v>
      </c>
      <c r="AH19" s="45">
        <f t="shared" si="3"/>
        <v>0.76040926923097096</v>
      </c>
      <c r="AI19" s="45">
        <f t="shared" si="3"/>
        <v>0.39923727533919701</v>
      </c>
      <c r="AJ19" s="45">
        <f t="shared" si="3"/>
        <v>0.52146048189080529</v>
      </c>
      <c r="AK19" s="45">
        <f t="shared" si="3"/>
        <v>0.70687505482469448</v>
      </c>
      <c r="AL19" s="45">
        <f t="shared" si="3"/>
        <v>0.7985326665540905</v>
      </c>
      <c r="AM19" s="45">
        <f t="shared" si="3"/>
        <v>0.76232758437487214</v>
      </c>
      <c r="AN19" s="45">
        <f t="shared" si="3"/>
        <v>0.72238634662841339</v>
      </c>
      <c r="AO19" s="45">
        <f t="shared" si="3"/>
        <v>0.60829187519388905</v>
      </c>
      <c r="AP19" s="45">
        <f t="shared" si="3"/>
        <v>0.77304347799142048</v>
      </c>
      <c r="AQ19" s="45">
        <f t="shared" si="3"/>
        <v>-2.72649076279881</v>
      </c>
      <c r="AR19" s="45">
        <f t="shared" si="3"/>
        <v>1.1383821097192983</v>
      </c>
    </row>
    <row r="20" spans="1:44" ht="15" customHeight="1" x14ac:dyDescent="0.25">
      <c r="A20" s="13" t="s">
        <v>43</v>
      </c>
      <c r="B20" s="14">
        <v>3454607</v>
      </c>
      <c r="C20" s="14">
        <v>519782</v>
      </c>
      <c r="D20" s="14">
        <v>183995</v>
      </c>
      <c r="E20" s="14">
        <v>2395575</v>
      </c>
      <c r="F20" s="14">
        <v>601</v>
      </c>
      <c r="G20" s="14">
        <v>-338872</v>
      </c>
      <c r="H20" s="20">
        <v>2.4565569358000001</v>
      </c>
      <c r="I20" s="14">
        <v>620905.02899999998</v>
      </c>
      <c r="J20" s="17">
        <v>2.4899191666</v>
      </c>
      <c r="K20" s="14">
        <v>13535729.631999999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3800112</v>
      </c>
      <c r="C21" s="14">
        <v>586936</v>
      </c>
      <c r="D21" s="14">
        <v>360222</v>
      </c>
      <c r="E21" s="14">
        <v>2445760</v>
      </c>
      <c r="F21" s="14">
        <v>349</v>
      </c>
      <c r="G21" s="14">
        <v>-299586</v>
      </c>
      <c r="H21" s="20">
        <v>3.032011491</v>
      </c>
      <c r="I21" s="14">
        <v>619905.02899999998</v>
      </c>
      <c r="J21" s="17">
        <v>2.2094727316</v>
      </c>
      <c r="K21" s="14">
        <v>11641816.444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4060349</v>
      </c>
      <c r="C22" s="14">
        <v>655979</v>
      </c>
      <c r="D22" s="14">
        <v>529984</v>
      </c>
      <c r="E22" s="14">
        <v>2537094</v>
      </c>
      <c r="F22" s="14">
        <v>7622</v>
      </c>
      <c r="G22" s="14">
        <v>-318422</v>
      </c>
      <c r="H22" s="20">
        <v>1.9956427037</v>
      </c>
      <c r="I22" s="14">
        <v>619905.02899999998</v>
      </c>
      <c r="J22" s="17">
        <v>3.2627325845000001</v>
      </c>
      <c r="K22" s="14">
        <v>16737435.783</v>
      </c>
      <c r="L22" s="47" t="str">
        <f>+L24</f>
        <v>Weg ON</v>
      </c>
      <c r="M22" s="39" t="s">
        <v>46</v>
      </c>
      <c r="N22" s="32"/>
      <c r="O22" s="32"/>
      <c r="P22" s="30">
        <v>263772</v>
      </c>
      <c r="Q22" s="30">
        <v>295142</v>
      </c>
      <c r="R22" s="30">
        <v>353278</v>
      </c>
      <c r="S22" s="30">
        <v>10502002</v>
      </c>
      <c r="T22" s="30">
        <v>10565590</v>
      </c>
      <c r="U22" s="30">
        <v>573648</v>
      </c>
      <c r="V22" s="30">
        <v>693651</v>
      </c>
      <c r="W22" s="30">
        <v>861426</v>
      </c>
      <c r="X22" s="30">
        <v>1162002</v>
      </c>
      <c r="Y22" s="30">
        <v>1371463</v>
      </c>
      <c r="Z22" s="30">
        <v>1552724</v>
      </c>
      <c r="AA22" s="30">
        <v>1829174</v>
      </c>
      <c r="AB22" s="30">
        <v>2178580</v>
      </c>
      <c r="AC22" s="30">
        <v>2362787</v>
      </c>
      <c r="AD22" s="30">
        <v>3454607</v>
      </c>
      <c r="AE22" s="30">
        <v>3800112</v>
      </c>
      <c r="AF22" s="30">
        <v>4060349</v>
      </c>
      <c r="AG22" s="30">
        <v>4557772</v>
      </c>
      <c r="AH22" s="30">
        <v>5056385</v>
      </c>
      <c r="AI22" s="30">
        <v>6029380</v>
      </c>
      <c r="AJ22" s="30">
        <v>5962874</v>
      </c>
      <c r="AK22" s="30">
        <v>6720926</v>
      </c>
      <c r="AL22" s="30">
        <v>7714274</v>
      </c>
      <c r="AM22" s="30">
        <v>8717247</v>
      </c>
      <c r="AN22" s="30">
        <v>11563165</v>
      </c>
      <c r="AO22" s="30">
        <v>13604971</v>
      </c>
      <c r="AP22" s="30">
        <v>14834795</v>
      </c>
      <c r="AQ22" s="30">
        <v>14834795</v>
      </c>
      <c r="AR22" s="30">
        <v>14834795</v>
      </c>
    </row>
    <row r="23" spans="1:44" ht="15" customHeight="1" x14ac:dyDescent="0.25">
      <c r="A23" s="13" t="s">
        <v>47</v>
      </c>
      <c r="B23" s="14">
        <v>4557772</v>
      </c>
      <c r="C23" s="14">
        <v>843467</v>
      </c>
      <c r="D23" s="14">
        <v>543820</v>
      </c>
      <c r="E23" s="14">
        <v>2614556</v>
      </c>
      <c r="F23" s="14">
        <v>7264</v>
      </c>
      <c r="G23" s="14">
        <v>-391987</v>
      </c>
      <c r="H23" s="20">
        <v>2.2062599166000001</v>
      </c>
      <c r="I23" s="14">
        <v>620431.51399999997</v>
      </c>
      <c r="J23" s="17">
        <v>3.8627216267</v>
      </c>
      <c r="K23" s="14">
        <v>19332645.976</v>
      </c>
      <c r="L23" s="47" t="str">
        <f>+L25</f>
        <v>Weg ON</v>
      </c>
      <c r="M23" s="39" t="s">
        <v>48</v>
      </c>
      <c r="N23" s="32"/>
      <c r="O23" s="32"/>
      <c r="P23" s="30">
        <f>P22+P9+P10+P14</f>
        <v>277794.59337319998</v>
      </c>
      <c r="Q23" s="33">
        <f>Q22+Q9+Q10+Q14+((P9+P10+P14)*(1+Q5))</f>
        <v>318763.31343621708</v>
      </c>
      <c r="R23" s="33">
        <f>R22+R9+R10+R14+((Q9+Q10+Q14)*(1+R5))+(((P9+P10+P14)*(1+R5)*(1+Q5)))</f>
        <v>378984.47403451026</v>
      </c>
      <c r="S23" s="33">
        <f>S22+S9+S10+S14+((R9+R10+R14)*(1+S5))+(((Q9+Q10+Q14)*(1+S5)*(1+R5)))+(((P9+P10+P14)*(1+S5)*(1+R5)*(1+Q5)))</f>
        <v>10547339.913585482</v>
      </c>
      <c r="T23" s="33">
        <f>T22+T9+T10+T14+((S9+S10+S14)*(1+T5))+(((R9+R10+R14)*(1+T5)*(1+S5)))+(((Q9+Q10+Q14)*(1+T5)*(1+S5)*(1+R5)))+(((P9+P10+P14)*(1+T5)*(1+S5)*(1+R5)*(1+Q5)))</f>
        <v>10623970.551258171</v>
      </c>
      <c r="U23" s="33">
        <f>U22+U9+U10+U14+((T9+T10+T14)*(1+U5))+((S9+S10+S14)*(1+U5)*(1+T5))+((R9+R10+R14)*(1+U5)*(1+T5)*(1+S5))+((Q9+Q10+Q14)*(1+U5)*(1+T5)*(1+S5)*(1+R5))+((P9+P10+P14)*(1+U5)*(1+T5)*(1+S5)*(1+R5)*(1+Q5))</f>
        <v>652157.10905585834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816345.57056056289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1023593.7530113967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1363579.7856938825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1604234.9580948292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1791774.1726407949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2092127.1965504335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2495887.6318927999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2716222.9287422919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3916078.3137444193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4443697.504069712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4854222.3051703684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5539392.9947471879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6227971.6165140625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7315758.6268763067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7226604.8013118999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7896552.91620168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8958693.3605633769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10013932.905265655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12756530.069801658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14829268.290649576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16021626.295822732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15899876.400690043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17632406.196067259</v>
      </c>
    </row>
    <row r="24" spans="1:44" ht="15" customHeight="1" x14ac:dyDescent="0.25">
      <c r="A24" s="13" t="s">
        <v>49</v>
      </c>
      <c r="B24" s="14">
        <v>5056385</v>
      </c>
      <c r="C24" s="14">
        <v>954726</v>
      </c>
      <c r="D24" s="14">
        <v>671607</v>
      </c>
      <c r="E24" s="14">
        <v>2877942</v>
      </c>
      <c r="F24" s="14">
        <v>8224</v>
      </c>
      <c r="G24" s="14">
        <v>-459516</v>
      </c>
      <c r="H24" s="20">
        <v>2.0940264037</v>
      </c>
      <c r="I24" s="14">
        <v>806632.33799999999</v>
      </c>
      <c r="J24" s="17">
        <v>5.0550421213999996</v>
      </c>
      <c r="K24" s="14">
        <v>24682949.543000001</v>
      </c>
      <c r="L24" s="47" t="str">
        <f>+L25</f>
        <v>Weg ON</v>
      </c>
      <c r="M24" s="39" t="s">
        <v>50</v>
      </c>
      <c r="N24" s="32"/>
      <c r="O24" s="32"/>
      <c r="P24" s="30">
        <v>322159.81627000001</v>
      </c>
      <c r="Q24" s="30">
        <v>431676.37258999998</v>
      </c>
      <c r="R24" s="30">
        <v>354163.16631</v>
      </c>
      <c r="S24" s="30">
        <v>17428087.655999999</v>
      </c>
      <c r="T24" s="30">
        <v>16748049.408</v>
      </c>
      <c r="U24" s="30">
        <v>1182806.3655999999</v>
      </c>
      <c r="V24" s="30">
        <v>1911505.3699</v>
      </c>
      <c r="W24" s="30">
        <v>2974060.8</v>
      </c>
      <c r="X24" s="30">
        <v>4409856.78</v>
      </c>
      <c r="Y24" s="30">
        <v>4693965.2</v>
      </c>
      <c r="Z24" s="30">
        <v>8764123.1146000009</v>
      </c>
      <c r="AA24" s="30">
        <v>15564193.57</v>
      </c>
      <c r="AB24" s="30">
        <v>7720334.1124999998</v>
      </c>
      <c r="AC24" s="30">
        <v>11424652.533</v>
      </c>
      <c r="AD24" s="30">
        <v>13535729.631999999</v>
      </c>
      <c r="AE24" s="30">
        <v>11641816.444</v>
      </c>
      <c r="AF24" s="30">
        <v>16737435.783</v>
      </c>
      <c r="AG24" s="30">
        <v>19332645.976</v>
      </c>
      <c r="AH24" s="30">
        <v>24682949.543000001</v>
      </c>
      <c r="AI24" s="30">
        <v>24112073.055</v>
      </c>
      <c r="AJ24" s="30">
        <v>25006171.778000001</v>
      </c>
      <c r="AK24" s="30">
        <v>38890468.056000002</v>
      </c>
      <c r="AL24" s="30">
        <v>36784269.119000003</v>
      </c>
      <c r="AM24" s="30">
        <v>72700765.202000007</v>
      </c>
      <c r="AN24" s="30">
        <v>158882831.46000001</v>
      </c>
      <c r="AO24" s="30">
        <v>138384464.22</v>
      </c>
      <c r="AP24" s="30">
        <v>161588553.28999999</v>
      </c>
      <c r="AQ24" s="30">
        <f>+K33</f>
        <v>149411041.32284501</v>
      </c>
      <c r="AR24" s="30">
        <f>+K34</f>
        <v>217445225.49279299</v>
      </c>
    </row>
    <row r="25" spans="1:44" ht="15" customHeight="1" x14ac:dyDescent="0.25">
      <c r="A25" s="13" t="s">
        <v>51</v>
      </c>
      <c r="B25" s="14">
        <v>6029380</v>
      </c>
      <c r="C25" s="14">
        <v>1156065</v>
      </c>
      <c r="D25" s="14">
        <v>786714</v>
      </c>
      <c r="E25" s="14">
        <v>3264898</v>
      </c>
      <c r="F25" s="14">
        <v>1379</v>
      </c>
      <c r="G25" s="14">
        <v>-519895</v>
      </c>
      <c r="H25" s="20">
        <v>2.6110501572000002</v>
      </c>
      <c r="I25" s="14">
        <v>1612847.696</v>
      </c>
      <c r="J25" s="17">
        <v>5.0553738137000002</v>
      </c>
      <c r="K25" s="14">
        <v>24112073.055</v>
      </c>
      <c r="L25" s="39" t="str">
        <f>+A1</f>
        <v>Weg ON</v>
      </c>
      <c r="M25" s="39" t="s">
        <v>52</v>
      </c>
      <c r="N25" s="18"/>
      <c r="O25" s="18"/>
      <c r="P25" s="31">
        <f t="shared" ref="P25:AR25" si="4">P24/P23</f>
        <v>1.1597051344955374</v>
      </c>
      <c r="Q25" s="31">
        <f t="shared" si="4"/>
        <v>1.354222253296963</v>
      </c>
      <c r="R25" s="31">
        <f t="shared" si="4"/>
        <v>0.9345057398782779</v>
      </c>
      <c r="S25" s="31">
        <f t="shared" si="4"/>
        <v>1.6523680661464017</v>
      </c>
      <c r="T25" s="31">
        <f t="shared" si="4"/>
        <v>1.5764397432386115</v>
      </c>
      <c r="U25" s="31">
        <f t="shared" si="4"/>
        <v>1.813683158820999</v>
      </c>
      <c r="V25" s="31">
        <f t="shared" si="4"/>
        <v>2.3415394642092808</v>
      </c>
      <c r="W25" s="31">
        <f t="shared" si="4"/>
        <v>2.9055089397042133</v>
      </c>
      <c r="X25" s="31">
        <f t="shared" si="4"/>
        <v>3.2340291534579797</v>
      </c>
      <c r="Y25" s="31">
        <f t="shared" si="4"/>
        <v>2.9259836137559918</v>
      </c>
      <c r="Z25" s="31">
        <f t="shared" si="4"/>
        <v>4.8913101039307056</v>
      </c>
      <c r="AA25" s="31">
        <f t="shared" si="4"/>
        <v>7.4394107565078942</v>
      </c>
      <c r="AB25" s="31">
        <f t="shared" si="4"/>
        <v>3.0932218317237101</v>
      </c>
      <c r="AC25" s="31">
        <f t="shared" si="4"/>
        <v>4.2060805879030045</v>
      </c>
      <c r="AD25" s="31">
        <f t="shared" si="4"/>
        <v>3.4564501901029656</v>
      </c>
      <c r="AE25" s="31">
        <f t="shared" si="4"/>
        <v>2.6198489958729119</v>
      </c>
      <c r="AF25" s="31">
        <f t="shared" si="4"/>
        <v>3.4480159190839874</v>
      </c>
      <c r="AG25" s="31">
        <f t="shared" si="4"/>
        <v>3.4900296827346371</v>
      </c>
      <c r="AH25" s="31">
        <f t="shared" si="4"/>
        <v>3.9632405320459072</v>
      </c>
      <c r="AI25" s="31">
        <f t="shared" si="4"/>
        <v>3.295908775122534</v>
      </c>
      <c r="AJ25" s="31">
        <f t="shared" si="4"/>
        <v>3.46029324496345</v>
      </c>
      <c r="AK25" s="31">
        <f t="shared" si="4"/>
        <v>4.9249930278067078</v>
      </c>
      <c r="AL25" s="31">
        <f t="shared" si="4"/>
        <v>4.1059859555999791</v>
      </c>
      <c r="AM25" s="31">
        <f t="shared" si="4"/>
        <v>7.2599612849184911</v>
      </c>
      <c r="AN25" s="31">
        <f t="shared" si="4"/>
        <v>12.455019553955424</v>
      </c>
      <c r="AO25" s="31">
        <f t="shared" si="4"/>
        <v>9.3318470950624537</v>
      </c>
      <c r="AP25" s="31">
        <f t="shared" si="4"/>
        <v>10.08565237426181</v>
      </c>
      <c r="AQ25" s="31">
        <f t="shared" si="4"/>
        <v>9.3969938858367907</v>
      </c>
      <c r="AR25" s="31">
        <f t="shared" si="4"/>
        <v>12.332135675350543</v>
      </c>
    </row>
    <row r="26" spans="1:44" ht="15" customHeight="1" x14ac:dyDescent="0.25">
      <c r="A26" s="13" t="s">
        <v>53</v>
      </c>
      <c r="B26" s="14">
        <v>5962874</v>
      </c>
      <c r="C26" s="14">
        <v>1117624</v>
      </c>
      <c r="D26" s="14">
        <v>951526</v>
      </c>
      <c r="E26" s="14">
        <v>3032716</v>
      </c>
      <c r="F26" s="14">
        <v>223</v>
      </c>
      <c r="G26" s="14">
        <v>-526730</v>
      </c>
      <c r="H26" s="20">
        <v>2.4264150838999998</v>
      </c>
      <c r="I26" s="14">
        <v>1613301.405</v>
      </c>
      <c r="J26" s="17">
        <v>5.3757344004999998</v>
      </c>
      <c r="K26" s="14">
        <v>25006171.778000001</v>
      </c>
    </row>
    <row r="27" spans="1:44" ht="15" customHeight="1" x14ac:dyDescent="0.25">
      <c r="A27" s="13" t="s">
        <v>54</v>
      </c>
      <c r="B27" s="14">
        <v>6720926</v>
      </c>
      <c r="C27" s="14">
        <v>1142149</v>
      </c>
      <c r="D27" s="14">
        <v>966097</v>
      </c>
      <c r="E27" s="14">
        <v>3160111</v>
      </c>
      <c r="F27" s="14">
        <v>268</v>
      </c>
      <c r="G27" s="14">
        <v>-548502</v>
      </c>
      <c r="H27" s="20">
        <v>1.4838287557000001</v>
      </c>
      <c r="I27" s="14">
        <v>1613043.0549999999</v>
      </c>
      <c r="J27" s="17">
        <v>8.5219519284</v>
      </c>
      <c r="K27" s="14">
        <v>38890468.056000002</v>
      </c>
      <c r="S27" s="67"/>
    </row>
    <row r="28" spans="1:44" ht="15" customHeight="1" x14ac:dyDescent="0.25">
      <c r="A28" s="13" t="s">
        <v>55</v>
      </c>
      <c r="B28" s="14">
        <v>7714274</v>
      </c>
      <c r="C28" s="14">
        <v>1338319</v>
      </c>
      <c r="D28" s="14">
        <v>1220027</v>
      </c>
      <c r="E28" s="14">
        <v>3541954</v>
      </c>
      <c r="F28" s="14">
        <v>20362</v>
      </c>
      <c r="G28" s="14">
        <v>-603957</v>
      </c>
      <c r="H28" s="20">
        <v>1.8004805179000001</v>
      </c>
      <c r="I28" s="14">
        <v>2097164.716</v>
      </c>
      <c r="J28" s="17">
        <v>8.2032993816000008</v>
      </c>
      <c r="K28" s="14">
        <v>36784269.119000003</v>
      </c>
    </row>
    <row r="29" spans="1:44" ht="15" customHeight="1" x14ac:dyDescent="0.25">
      <c r="A29" s="13" t="s">
        <v>56</v>
      </c>
      <c r="B29" s="14">
        <v>8717247</v>
      </c>
      <c r="C29" s="14">
        <v>1614581</v>
      </c>
      <c r="D29" s="14">
        <v>1319746</v>
      </c>
      <c r="E29" s="14">
        <v>3981184</v>
      </c>
      <c r="F29" s="14">
        <v>28012</v>
      </c>
      <c r="G29" s="14">
        <v>-680924</v>
      </c>
      <c r="H29" s="20">
        <v>0.98216936525999998</v>
      </c>
      <c r="I29" s="14">
        <v>2097540.8309999998</v>
      </c>
      <c r="J29" s="17">
        <v>16.464190993999999</v>
      </c>
      <c r="K29" s="14">
        <v>72700765.202000007</v>
      </c>
    </row>
    <row r="30" spans="1:44" ht="15" customHeight="1" x14ac:dyDescent="0.25">
      <c r="A30" s="13" t="s">
        <v>57</v>
      </c>
      <c r="B30" s="14">
        <v>11563165</v>
      </c>
      <c r="C30" s="14">
        <v>2340873</v>
      </c>
      <c r="D30" s="14">
        <v>1595475</v>
      </c>
      <c r="E30" s="14">
        <v>4877210</v>
      </c>
      <c r="F30" s="14">
        <v>1023</v>
      </c>
      <c r="G30" s="14">
        <v>-881332</v>
      </c>
      <c r="H30" s="20">
        <v>0.57352327700000005</v>
      </c>
      <c r="I30" s="14">
        <v>2097740.051</v>
      </c>
      <c r="J30" s="17">
        <v>36.267691773000003</v>
      </c>
      <c r="K30" s="14">
        <v>158882831.46000001</v>
      </c>
    </row>
    <row r="31" spans="1:44" ht="15" customHeight="1" x14ac:dyDescent="0.25">
      <c r="A31" s="13" t="s">
        <v>58</v>
      </c>
      <c r="B31" s="14">
        <v>13604971</v>
      </c>
      <c r="C31" s="14">
        <v>3585947</v>
      </c>
      <c r="D31" s="14">
        <v>1550388</v>
      </c>
      <c r="E31" s="14">
        <v>5504772</v>
      </c>
      <c r="F31" s="14">
        <v>1265</v>
      </c>
      <c r="G31" s="14">
        <v>-1657345</v>
      </c>
      <c r="H31" s="20">
        <v>1.2825982717</v>
      </c>
      <c r="I31" s="14">
        <v>4196011.6500000004</v>
      </c>
      <c r="J31" s="17">
        <v>31.947420003000001</v>
      </c>
      <c r="K31" s="14">
        <v>138384464.22</v>
      </c>
    </row>
    <row r="32" spans="1:44" ht="15" customHeight="1" x14ac:dyDescent="0.25">
      <c r="A32" s="13" t="s">
        <v>59</v>
      </c>
      <c r="B32" s="14">
        <v>14834795</v>
      </c>
      <c r="C32" s="14">
        <v>4208084</v>
      </c>
      <c r="D32" s="14">
        <v>238820</v>
      </c>
      <c r="E32" s="14">
        <v>6282653</v>
      </c>
      <c r="F32" s="14">
        <v>1056</v>
      </c>
      <c r="G32" s="14">
        <v>-1887512</v>
      </c>
      <c r="H32" s="20">
        <v>1.3390835887000001</v>
      </c>
      <c r="I32" s="14">
        <v>4196015.4060000004</v>
      </c>
      <c r="J32" s="17">
        <v>37.969679855000003</v>
      </c>
      <c r="K32" s="14">
        <v>153422630.39070201</v>
      </c>
    </row>
    <row r="33" spans="1:42" ht="15" customHeight="1" x14ac:dyDescent="0.25">
      <c r="A33" s="13" t="s">
        <v>60</v>
      </c>
      <c r="B33" s="14">
        <v>17342085</v>
      </c>
      <c r="C33" s="14">
        <v>5731670</v>
      </c>
      <c r="D33" s="14">
        <v>248559</v>
      </c>
      <c r="E33" s="14">
        <v>7294836</v>
      </c>
      <c r="F33" s="14"/>
      <c r="G33" s="14"/>
      <c r="H33" s="14"/>
      <c r="I33" s="14"/>
      <c r="J33" s="14"/>
      <c r="K33" s="14">
        <v>149411041.32284501</v>
      </c>
    </row>
    <row r="34" spans="1:42" ht="15" customHeight="1" x14ac:dyDescent="0.25">
      <c r="A34" s="13" t="s">
        <v>61</v>
      </c>
      <c r="B34" s="14">
        <v>22204221</v>
      </c>
      <c r="C34" s="14">
        <v>6042593</v>
      </c>
      <c r="D34" s="14">
        <v>755630</v>
      </c>
      <c r="E34" s="14">
        <v>9933659</v>
      </c>
      <c r="F34" s="14"/>
      <c r="G34" s="14"/>
      <c r="H34" s="14"/>
      <c r="I34" s="14"/>
      <c r="J34" s="14"/>
      <c r="K34" s="14">
        <v>217445225.49279299</v>
      </c>
    </row>
    <row r="46" spans="1:42" ht="15" customHeight="1" x14ac:dyDescent="0.25">
      <c r="M46" s="46" t="s">
        <v>62</v>
      </c>
      <c r="N46" s="1"/>
      <c r="O46" s="1"/>
      <c r="P46" s="35">
        <f>-G6/P17</f>
        <v>0.29134284308903097</v>
      </c>
      <c r="Q46" s="35">
        <f>-G7/Q17</f>
        <v>0.40132321263719356</v>
      </c>
      <c r="R46" s="35">
        <f>-G8/R17</f>
        <v>1.6425546749238705E-2</v>
      </c>
      <c r="S46" s="35">
        <f>-G9/S17</f>
        <v>0</v>
      </c>
      <c r="T46" s="35">
        <f>-G10/T17</f>
        <v>4.927208074880806E-2</v>
      </c>
      <c r="U46" s="35">
        <f>-G11/U17</f>
        <v>0</v>
      </c>
      <c r="V46" s="35">
        <f>-G12/V17</f>
        <v>0</v>
      </c>
      <c r="W46" s="35">
        <f>-G13/W17</f>
        <v>0.34923280345928809</v>
      </c>
      <c r="X46" s="35">
        <f>-G14/X17</f>
        <v>0.39354383664386794</v>
      </c>
      <c r="Y46" s="35">
        <f>-G15/Y17</f>
        <v>0.42877229117530924</v>
      </c>
      <c r="Z46" s="35">
        <f>-G16/Z17</f>
        <v>0.55388192056575669</v>
      </c>
      <c r="AA46" s="35">
        <f>-G17/AA17</f>
        <v>0.44865596260069845</v>
      </c>
      <c r="AB46" s="35">
        <f>-G18/AB17</f>
        <v>0.5304754987946132</v>
      </c>
      <c r="AC46" s="35">
        <f>-G19/AC17</f>
        <v>0.47576551080249163</v>
      </c>
      <c r="AD46" s="35">
        <f>-G20/AD17</f>
        <v>0.65195024067782259</v>
      </c>
      <c r="AE46" s="35">
        <f>-G21/AE17</f>
        <v>0.51042362370002858</v>
      </c>
      <c r="AF46" s="35">
        <f>-G22/AF17</f>
        <v>0.48541492944133885</v>
      </c>
      <c r="AG46" s="35">
        <f>-G23/AG17</f>
        <v>0.46473306009600851</v>
      </c>
      <c r="AH46" s="35">
        <f>-G24/AH17</f>
        <v>0.48130667856536852</v>
      </c>
      <c r="AI46" s="35">
        <f>-G25/AI17</f>
        <v>0.44971087265854426</v>
      </c>
      <c r="AJ46" s="35">
        <f>-G26/AJ17</f>
        <v>0.47129446039097228</v>
      </c>
      <c r="AK46" s="35">
        <f>-G27/AK17</f>
        <v>0.48023681673757102</v>
      </c>
      <c r="AL46" s="35">
        <f>-G28/AL17</f>
        <v>0.45128030013771009</v>
      </c>
      <c r="AM46" s="35">
        <f>-G29/AM17</f>
        <v>0.42173418366746546</v>
      </c>
      <c r="AN46" s="35">
        <f>-G30/AN17</f>
        <v>0.37649714444141141</v>
      </c>
      <c r="AO46" s="35">
        <f>-G31/AO17</f>
        <v>0.46217777340267441</v>
      </c>
      <c r="AP46" s="35">
        <f>-G32/AP17</f>
        <v>0.44854427810851683</v>
      </c>
    </row>
    <row r="47" spans="1:42" ht="15" customHeight="1" x14ac:dyDescent="0.25">
      <c r="M47" s="39" t="s">
        <v>63</v>
      </c>
      <c r="N47" s="32"/>
      <c r="O47" s="32"/>
      <c r="P47" s="36">
        <f>-G6/P18</f>
        <v>0.38802511023487951</v>
      </c>
      <c r="Q47" s="36">
        <f>-G7/Q18</f>
        <v>0.45108572516517403</v>
      </c>
      <c r="R47" s="36">
        <f>-G8/R18</f>
        <v>1.7140619810526708E-2</v>
      </c>
      <c r="S47" s="36">
        <f>-G9/S18</f>
        <v>0</v>
      </c>
      <c r="T47" s="36">
        <f>-G10/T18</f>
        <v>5.7676999417441206E-2</v>
      </c>
      <c r="U47" s="36">
        <f>-G11/U18</f>
        <v>0</v>
      </c>
      <c r="V47" s="36">
        <f>-G12/V18</f>
        <v>0</v>
      </c>
      <c r="W47" s="36">
        <f>-G13/W18</f>
        <v>0.42313125117113787</v>
      </c>
      <c r="X47" s="36">
        <f>-G14/X18</f>
        <v>0.46206214388686701</v>
      </c>
      <c r="Y47" s="36">
        <f>-G15/Y18</f>
        <v>0.51262292702073187</v>
      </c>
      <c r="Z47" s="36">
        <f>-G16/Z18</f>
        <v>0.61845703171165756</v>
      </c>
      <c r="AA47" s="36">
        <f>-G17/AA18</f>
        <v>0.51087684994111116</v>
      </c>
      <c r="AB47" s="36">
        <f>-G18/AB18</f>
        <v>0.63272151216434425</v>
      </c>
      <c r="AC47" s="36">
        <f>-G19/AC18</f>
        <v>0.56333716788381527</v>
      </c>
      <c r="AD47" s="36">
        <f>-G20/AD18</f>
        <v>0.80642848598257</v>
      </c>
      <c r="AE47" s="36">
        <f>-G21/AE18</f>
        <v>0.62242463969809525</v>
      </c>
      <c r="AF47" s="36">
        <f>-G22/AF18</f>
        <v>0.62368883184174362</v>
      </c>
      <c r="AG47" s="36">
        <f>-G23/AG18</f>
        <v>0.5648081354363087</v>
      </c>
      <c r="AH47" s="36">
        <f>-G24/AH18</f>
        <v>0.63295740601917061</v>
      </c>
      <c r="AI47" s="36">
        <f>-G25/AI18</f>
        <v>1.1264250620798477</v>
      </c>
      <c r="AJ47" s="36">
        <f>-G26/AJ18</f>
        <v>0.9037970790846277</v>
      </c>
      <c r="AK47" s="36">
        <f>-G27/AK18</f>
        <v>0.67938005940338364</v>
      </c>
      <c r="AL47" s="36">
        <f>-G28/AL18</f>
        <v>0.56513693057182091</v>
      </c>
      <c r="AM47" s="36">
        <f>-G29/AM18</f>
        <v>0.55321910463635937</v>
      </c>
      <c r="AN47" s="36">
        <f>-G30/AN18</f>
        <v>0.52118529952653836</v>
      </c>
      <c r="AO47" s="36">
        <f>-G31/AO18</f>
        <v>0.75979606542559563</v>
      </c>
      <c r="AP47" s="36">
        <f>-G32/AP18</f>
        <v>0.58023163105128084</v>
      </c>
    </row>
    <row r="48" spans="1:42" ht="15" customHeight="1" x14ac:dyDescent="0.25">
      <c r="M48" s="39" t="s">
        <v>64</v>
      </c>
      <c r="N48" s="32"/>
      <c r="O48" s="32"/>
      <c r="P48" s="37">
        <v>1.8061224490000001</v>
      </c>
      <c r="Q48" s="37">
        <v>7.1570370371000003</v>
      </c>
      <c r="R48" s="37">
        <v>9.2896184531999992</v>
      </c>
      <c r="S48" s="37">
        <v>5.7444014412</v>
      </c>
      <c r="T48" s="37">
        <v>5.6352465878000002</v>
      </c>
      <c r="U48" s="37">
        <v>8.8139417236999993</v>
      </c>
      <c r="V48" s="37">
        <v>2.1186440678</v>
      </c>
      <c r="W48" s="37">
        <v>3.6911767599999998</v>
      </c>
      <c r="X48" s="37">
        <v>3.4953400537000001</v>
      </c>
      <c r="Y48" s="37">
        <v>2.0201143037999998</v>
      </c>
      <c r="Z48" s="37">
        <v>2.4977355095</v>
      </c>
      <c r="AA48" s="37">
        <v>2.0627917817000001</v>
      </c>
      <c r="AB48" s="37">
        <v>3.804235104</v>
      </c>
      <c r="AC48" s="37">
        <v>2.2864450163000001</v>
      </c>
      <c r="AD48" s="37">
        <v>2.4565569358000001</v>
      </c>
      <c r="AE48" s="37">
        <v>3.032011491</v>
      </c>
      <c r="AF48" s="37">
        <v>1.9956427037</v>
      </c>
      <c r="AG48" s="37">
        <v>2.2062599166000001</v>
      </c>
      <c r="AH48" s="37">
        <v>2.0940264037</v>
      </c>
      <c r="AI48" s="37">
        <v>2.6110501572000002</v>
      </c>
      <c r="AJ48" s="37">
        <v>2.4264150838999998</v>
      </c>
      <c r="AK48" s="37">
        <v>1.4838287557000001</v>
      </c>
      <c r="AL48" s="37">
        <v>1.8004805179000001</v>
      </c>
      <c r="AM48" s="37">
        <v>0.98216936525999998</v>
      </c>
      <c r="AN48" s="37">
        <v>0.57352327700000005</v>
      </c>
      <c r="AO48" s="37">
        <v>1.2825982717</v>
      </c>
      <c r="AP48" s="37">
        <v>1.3390835887000001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R49"/>
  <sheetViews>
    <sheetView showGridLines="0" topLeftCell="G1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3.85546875" customWidth="1"/>
    <col min="17" max="25" width="9.140625" customWidth="1"/>
    <col min="26" max="29" width="11.28515625" customWidth="1"/>
    <col min="30" max="30" width="14.42578125" customWidth="1"/>
    <col min="31" max="31" width="10" customWidth="1"/>
    <col min="32" max="39" width="15.42578125" customWidth="1"/>
    <col min="40" max="42" width="16.42578125" customWidth="1"/>
    <col min="43" max="43" width="13.5703125" customWidth="1"/>
    <col min="44" max="44" width="14.7109375" customWidth="1"/>
  </cols>
  <sheetData>
    <row r="1" spans="1:44" ht="15" customHeight="1" x14ac:dyDescent="0.25">
      <c r="A1" s="6" t="s">
        <v>87</v>
      </c>
      <c r="M1" t="s">
        <v>1</v>
      </c>
      <c r="N1" s="7">
        <v>2.9600000000000001E-2</v>
      </c>
    </row>
    <row r="2" spans="1:44" ht="15" customHeight="1" x14ac:dyDescent="0.25">
      <c r="A2" s="6"/>
    </row>
    <row r="3" spans="1:44" ht="15" customHeight="1" x14ac:dyDescent="0.25">
      <c r="M3" s="2" t="str">
        <f t="array" aca="1" ref="M3" ca="1">INDEX(_xlfn.TEXTSPLIT(CELL("nome.arquivo"),,"]"),2)</f>
        <v>VALE3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88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M7" s="1" t="s">
        <v>20</v>
      </c>
      <c r="N7" s="1"/>
      <c r="O7" s="5"/>
      <c r="P7" s="4">
        <f>((D5+E5)*P5)</f>
        <v>0</v>
      </c>
      <c r="Q7" s="4">
        <f>((D6+E6+P7+P8)*Q5)</f>
        <v>0</v>
      </c>
      <c r="R7" s="4">
        <f>((D7+E7+Q7+P7+P8+Q8)*R5)</f>
        <v>0</v>
      </c>
      <c r="S7" s="4">
        <f>((D8+E8+R7+Q7+P7+SUM($P$8:R8))*S5)</f>
        <v>0</v>
      </c>
      <c r="T7" s="4">
        <f>((D9+E9+S7+R7+Q7+P7+SUM($P$8:S8))*T5)</f>
        <v>0</v>
      </c>
      <c r="U7" s="4">
        <f>((D10+E10+T7+S7+R7+Q7+P7+SUM($P$8:T8))*U5)</f>
        <v>0</v>
      </c>
      <c r="V7" s="4">
        <f>((D11+E11+U7+T7+S7+R7+Q7+P7+SUM($P$8:U8))*V5)</f>
        <v>0</v>
      </c>
      <c r="W7" s="4">
        <f>((D12+E12+V7+U7+T7+S7+R7+Q7+P7+SUM($P$8:V8))*W5)</f>
        <v>0</v>
      </c>
      <c r="X7" s="4">
        <f>((D13+E13+W7+V7+U7+T7+S7+R7+Q7+P7+SUM($P$8:W8))*X5)</f>
        <v>0</v>
      </c>
      <c r="Y7" s="4">
        <f>((D14+E14+X7+W7+V7+U7+T7+S7+R7+Q7+P7+SUM($P$8:X8))*Y5)</f>
        <v>0</v>
      </c>
      <c r="Z7" s="4">
        <f>((E14+F14+Y7+X7+W7+V7+U7+T7+S7+R7+Q7+P7+SUM($P$8:Y8))*Z5)</f>
        <v>0</v>
      </c>
      <c r="AA7" s="4">
        <f>((D16+E16+Z7+Y7+X7+W7+V7+U7+T7+S7+R7+P7+Q7+SUM($P$8:Z8))*AA5)</f>
        <v>732.59960000000001</v>
      </c>
      <c r="AB7" s="4">
        <f>((D17+E17+AA7+Z7+Y7+X7+W7+V7+U7+T7+S7+P7+Q7+R7+SUM($P$8:AA8))*AB5)</f>
        <v>1937.6605301</v>
      </c>
      <c r="AC7" s="4">
        <f>((D18+E18+AB7+AA7+Z7+Y7+X7+W7+V7+U7+T7+S7+R7+Q7+P7+SUM($P$8:AB8))*AC5)</f>
        <v>1538.03748293731</v>
      </c>
      <c r="AD7" s="4">
        <f>((D19+E19+AC7+AB7+AA7+Z7+Y7+X7+W7+V7+U7+T7+S7+R7+Q7+P7+SUM($P$8:AC8))*AD5)</f>
        <v>2071.3652840155055</v>
      </c>
      <c r="AE7" s="4">
        <f>((D20+E20+AD7+AC7+AB7+AA7+Z7+Y7+X7+W7+V7+U7+T7+S7+R7+Q7+P7+SUM($P$8:AD8))*AE5)</f>
        <v>370.50262255843296</v>
      </c>
      <c r="AF7" s="4">
        <f>((E20+F20+AE7+AD7+AC7+AB7+AA7+Z7+Y7+X7+W7+V7+U7+T7+S7+R7+Q7+P7+SUM($P$8:AE8))*AF5)</f>
        <v>465.3686034252969</v>
      </c>
      <c r="AG7" s="4">
        <f>((D22+E22+AF7+AE7+AD7+AC7+AB7+AA7+Z7+Y7+X7+W7+V7+U7+T7+R7+S7+Q7+P7+SUM($P$8:AF8))*AG5)</f>
        <v>6218.3799864564598</v>
      </c>
      <c r="AH7" s="4">
        <f>((E22+F22+AG7+AF7+AE7+AD7+AC7+AB7+AA7+Z7+Y7+X7+W7+V7+U7+S7+T7+R7+Q7+P7+SUM($P$8:AG8))*AH5)</f>
        <v>7182.9322070835015</v>
      </c>
      <c r="AI7" s="4">
        <f>((F22+G22+AH7+AG7+AF7+AE7+AD7+AC7+AB7+AA7+Z7+Y7+X7+W7+V7+T7+U7+S7+R7+Q7+P7+SUM($P$8:AH8))*AI5)</f>
        <v>-40265.217481106287</v>
      </c>
      <c r="AJ7" s="4">
        <f>((G22+H22+AI7+AH7+AG7+AF7+AE7+AD7+AC7+AB7+AA7+Z7+Y7+X7+W7+U7+V7+T7+S7+R7+Q7+P7+SUM($P$8:AI8))*AJ5)</f>
        <v>-24255.361834993921</v>
      </c>
      <c r="AK7" s="4">
        <f>((H22+I22+AJ7+AI7+AH7+AG7+AF7+AE7+AD7+AC7+AB7+AA7+Z7+Y7+X7+V7+W7+U7+T7+S7+R7+Q7+P7+SUM($P$8:AJ8))*AK5)</f>
        <v>79246.639107314011</v>
      </c>
      <c r="AL7" s="4">
        <f>((D27+E27+AK7+AJ7+AI7+AH7+AG7+AF7+AE7+AD7+AC7++AB7+AA7+Z7+Y7+X7+W7+V7+U7+T7+S7+R7+Q7+P7+SUM($P$8:AK8))*AL5)</f>
        <v>4998.2538002921347</v>
      </c>
      <c r="AM7" s="4">
        <f>((E27+F27+AL7+AK7+AJ7+AI7+AH7+AG7+AF7+AE7+AD7++AC7+AB7+AA7+Z7+Y7+X7+W7+V7+U7+T7+S7+R7+Q7+P7+SUM($P$8:AL8))*AM5)</f>
        <v>5957.5299568033524</v>
      </c>
      <c r="AN7" s="4">
        <f>((F27+G27+AM7+AL7+AK7+AJ7+AI7+AH7+AG7+AF7+AE7++AD7+AC7+AB7+AA7+Z7+Y7+X7+W7+V7+U7+T7+S7+R7+Q7+P7+SUM($P$8:AM8))*AN5)</f>
        <v>-65238.864306007148</v>
      </c>
      <c r="AO7" s="4">
        <f>((G27+H27+AN7+AM7+AL7+AK7+AJ7+AI7+AH7+AG7+AF7++AE7+AD7+AC7+AB7+AA7+Z7+Y7+X7+W7+V7+U7+T7+S7+R7+Q7+P7+SUM($P$8:AN8))*AO5)</f>
        <v>-151616.29930194677</v>
      </c>
      <c r="AP7" s="4">
        <f>((H27+I27+AO7+AN7+AM7+AL7+AK7+AJ7+AI7+AH7+AG7++AF7+AE7+AD7+AC7+AB7+AA7+Z7+Y7+X7+W7+V7+U7+T7+S7+R7+Q7+P7+SUM($P$8:AO8))*AP5)</f>
        <v>146040.34388320131</v>
      </c>
      <c r="AQ7" s="4">
        <f>((I27+J27+AP7+AO7+AN7+AM7+AL7+AK7+AJ7+AI7+AH7++AG7+AF7+AE7+AD7+AC7+AB7+AA7+Z7+Y7+X7+W7+V7+U7+T7+S7+R7+Q7+P7+SUM($P$8:AP8))*AQ5)</f>
        <v>129781.24109968139</v>
      </c>
      <c r="AR7" s="4">
        <f>((J27+K27+AQ7+AP7+AO7+AN7+AM7+AL7+AK7+AJ7+AI7++AH7+AG7+AF7+AE7+AD7+AC7+AB7+AA7+Z7+Y7+X7+W7+V7+U7+T7+S7+R7+Q7+P7+SUM($P$8:AQ8))*AR5)</f>
        <v>980566.65636585886</v>
      </c>
    </row>
    <row r="8" spans="1:44" ht="15" customHeight="1" x14ac:dyDescent="0.25">
      <c r="A8" s="13" t="s">
        <v>21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M8" s="1" t="s">
        <v>22</v>
      </c>
      <c r="N8" s="1"/>
      <c r="O8" s="4"/>
      <c r="P8" s="4">
        <f>((D6+E6)-(D5+E5))*(P5^1/2)</f>
        <v>0</v>
      </c>
      <c r="Q8" s="4">
        <f>((D7+E7)-(D6+E6))*(Q5^1/2)</f>
        <v>0</v>
      </c>
      <c r="R8" s="4">
        <f>((D8+E8)-(D7+E7))*(R5^1/2)</f>
        <v>0</v>
      </c>
      <c r="S8" s="4">
        <f>((D9+E9)-(D8+E8))*(S5^1/2)</f>
        <v>0</v>
      </c>
      <c r="T8" s="4">
        <f>((D10+E10)-(D9+E9))*(T5^1/2)</f>
        <v>0</v>
      </c>
      <c r="U8" s="4">
        <f>((D11+E11)-(D10+E10))*(U5^1/2)</f>
        <v>0</v>
      </c>
      <c r="V8" s="4">
        <f>((D12+E12)-(D11+E11))*(V5^1/2)</f>
        <v>0</v>
      </c>
      <c r="W8" s="4">
        <f>((D13+E13)-(D12+E12))*(W5^1/2)</f>
        <v>0</v>
      </c>
      <c r="X8" s="4">
        <f>((D14+E14)-(D13+E13))*(X5^1/2)</f>
        <v>0</v>
      </c>
      <c r="Y8" s="4">
        <f>((D15+E15)-(D14+E14))*(Y5^1/2)</f>
        <v>0</v>
      </c>
      <c r="Z8" s="4">
        <f>((E15+F15)-(E14+F14))*(Z5^1/2)</f>
        <v>0</v>
      </c>
      <c r="AA8" s="4">
        <f>((D17+E17)-(D16+E16))*(AA5^1/2)</f>
        <v>342.10430000000002</v>
      </c>
      <c r="AB8" s="4">
        <f>((D18+E18)-(D17+E17))*(AB5^1/2)</f>
        <v>25.959999999999997</v>
      </c>
      <c r="AC8" s="4">
        <f>((D19+E19)-(D18+E18))*(AC5^1/2)</f>
        <v>-45.879950000000001</v>
      </c>
      <c r="AD8" s="4">
        <f>((D20+E20)-(D19+E19))*(AD5/2)</f>
        <v>-901.80690000000004</v>
      </c>
      <c r="AE8" s="4">
        <f>((D21+E21)-(D20+E20))*(AE5^1/2)</f>
        <v>1898.0975000000001</v>
      </c>
      <c r="AF8" s="4">
        <f>((D22+E22)-(D21+E21))*(AF5^1/2)</f>
        <v>1088.9264000000001</v>
      </c>
      <c r="AG8" s="4">
        <f>((D23+E23)-(D22+E22))*(AG5^1/2)</f>
        <v>621.90930000000003</v>
      </c>
      <c r="AH8" s="4">
        <f>((D24+E24)-(D23+E23))*(AH5^1/2)</f>
        <v>695.35680000000002</v>
      </c>
      <c r="AI8" s="4">
        <f>((D25+E25)-(D24+E24))*(AI5^1/2)</f>
        <v>32015.8685</v>
      </c>
      <c r="AJ8" s="4">
        <f>((D26+E26)-(D25+E25))*(AJ5^1/2)</f>
        <v>-20312.26555</v>
      </c>
      <c r="AK8" s="4">
        <f>((D27+E27)-(D26+E26))*(AK5/2)</f>
        <v>-146.4085</v>
      </c>
      <c r="AL8" s="4">
        <f>((D28+E28)-(D27+E27))*(AL5^1/2)</f>
        <v>-59.268749999999997</v>
      </c>
      <c r="AM8" s="4">
        <f>((D29+E29)-(D28+E28))*(AM5^1/2)</f>
        <v>-30.988900000000001</v>
      </c>
      <c r="AN8" s="4">
        <f>((D30+E30)-(D29+E29))*(AN5^1/2)</f>
        <v>1456.2987999999998</v>
      </c>
      <c r="AO8" s="4">
        <f>((D31+E31)-(D30+E30))*(AO5^1/2)</f>
        <v>10375.330699999999</v>
      </c>
      <c r="AP8" s="4">
        <f>((D32+E32)-(D31+E31))*(AP5^1/2)</f>
        <v>140787.75825000001</v>
      </c>
      <c r="AQ8" s="4">
        <f>((D32+E32)-(D31+E31))*(AQ5^1/2)</f>
        <v>112338.4185</v>
      </c>
      <c r="AR8" s="4">
        <f>((E32+F32)-(E31+F31))*(AR5^1/2)</f>
        <v>3857.9142000000002</v>
      </c>
    </row>
    <row r="9" spans="1:44" ht="15" customHeight="1" x14ac:dyDescent="0.25">
      <c r="A9" s="13" t="s">
        <v>23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M9" s="1" t="s">
        <v>24</v>
      </c>
      <c r="N9" s="1"/>
      <c r="O9" s="4"/>
      <c r="P9" s="4">
        <f>+B5*P5</f>
        <v>0</v>
      </c>
      <c r="Q9" s="4">
        <f>+(B6+P9+P10+P14)*Q5</f>
        <v>0</v>
      </c>
      <c r="R9" s="4">
        <f>+(B7+Q9+P9+P10+Q10+P14+Q14)*R5</f>
        <v>0</v>
      </c>
      <c r="S9" s="4">
        <f>+(B8+R9+Q9+P9+P10+Q10+R10+P14+Q14+R14)*S5</f>
        <v>0</v>
      </c>
      <c r="T9" s="4">
        <f>+(B9+S9+R9+Q9+P9+P10+Q10+R10+S10+P14+Q14+R14+S14)*T5</f>
        <v>0</v>
      </c>
      <c r="U9" s="4">
        <f>+(B10+T9+S9+R9+Q9+P9+P10+Q10+R10+S10+T10+P14+Q14+R14+S14+T14)*U5</f>
        <v>0</v>
      </c>
      <c r="V9" s="4">
        <f>+(B11+U9+T9+S9+R9+Q9+P9+P10+Q10+R10+S10+T10+U10+P14+Q14+R14+S14+T14+U14)*V5</f>
        <v>0</v>
      </c>
      <c r="W9" s="4">
        <f>+(B12+V9+U9+T9+S9+R9+Q9+P9+P10+Q10+R10+S10+T10+U10+V10+P14+Q14+R14+S14+T14+U14+V14)*W5</f>
        <v>0</v>
      </c>
      <c r="X9" s="4">
        <f>+(B13+W9+V9+U9+T9+S9+R9+Q9+P9+P10+Q10+R10+S10+T10+U10+V10+W10+P14+Q14+R14+S14+T14+U14+V14+W14)*X5</f>
        <v>0</v>
      </c>
      <c r="Y9" s="4">
        <f>+(B14+X9+W9+V9+U9+T9+S9+R9+Q9+P9+P10+Q10+R10+S10+T10+U10+V10+W10+X10+P14+Q14+R14+S14+T14+U14+V14+W14+X14)*Y5</f>
        <v>0</v>
      </c>
      <c r="Z9" s="4">
        <f>+(B15+Y9+X9+W9+V9+U9+T9+S9+R9+Q9+P9+P10+Q10+R10+S10+T10+U10+V10+W10+X10+Y10+P14+Q14+R14+S14+T14+U14+V14+W14+X14+Y14)*Z5</f>
        <v>0</v>
      </c>
      <c r="AA9" s="4">
        <f>+(B16+Z9+Y9+X9+W9+V9+U9+T9+S9+R9+Q9+P9+P10+Q10+R10+S10+T10+U10+V10+W10+X10+Y10+Z10+P14+Q14+R14+S14+T14+U14+V14+W14+X14+Y14+Z14)*AA5</f>
        <v>53541.452600000004</v>
      </c>
      <c r="AB9" s="4">
        <f>+(B17+AA9+Z9+Y9+X9+W9+V9+U9+T9+S9+R9+Q9+P9+P10+Q10+R10+S10+T10+U10+V10+W10+X10+Y10+Z10+AA10+P14+Q14+R14+S14+T14+U14+V14+W14+X14+Y14+Z14+AA14)*AB5</f>
        <v>225986.56153010001</v>
      </c>
      <c r="AC9" s="4">
        <f>+(B18+AB9+AA9+Z9+Y9+X9+W9+V9+U9+T9+S9+R9+Q9+P9+P10+Q10+R10+S10+T10+U10+V10+W10+X10+Y10+Z10+AA10+AB10+P14+Q14+R14+S14+T14+U14+V14+W14+X14+Y14+Z14+AA14+AB14)*AC5</f>
        <v>166720.26632589928</v>
      </c>
      <c r="AD9" s="4">
        <f>+(B19+AC9+AB9+AA9+Z9+Y9+X9+W9+V9+U9+T9+S9+R9+Q9+P9+P10+Q10+R10+S10+T10+U10+V10+W10+X10+Y10+Z10+AA10+AB10+AC10+P14+Q14+R14+S14+T14+U14+V14+W14+X14+Y14+Z14+AA14+AB14+AC14)*AD5</f>
        <v>192010.05060900736</v>
      </c>
      <c r="AE9" s="4">
        <f>+(B20+AD9+AC9+AB9+AA9+Z9+Y9+X9+W9+V9+U9+T9+S9+R9+Q9+P9+P10+Q10+R10+S10+T10+U10+V10+W10+X10+Y10+Z10+AA10+AB10+AC10+AD10+P14+Q14+S14++R14+T14+U14+V14+W14+X14+Y14+Z14+AA14+AB14+AC14+AD14)*AE5</f>
        <v>360301.78453707573</v>
      </c>
      <c r="AF9" s="4">
        <f>+(B21+AE9+AD9+AC9+AB9+AA9+Z9+Y9+X9+W9+V9+U9+T9+S9+R9+Q9+P9+P10+Q10+R10+S10+T10+U10+V10+W10+X10+Y10+Z10+AA10+AB10+AC10+AD10+AE10+P14+Q14+R14+S14+T14+U14+V14+W14+X14+Y14+Z14+AA14+AB14+AC14+AD14+AE14)*AF5</f>
        <v>370679.88288719393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597515.2083171641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778372.41787939041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1574454.2188566756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1240808.4965154498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522013.5894185701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696589.16593890043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814417.89708173776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969162.20568770566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2682963.0690595801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2155446.0689253486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1963956.3821344669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2403278.6126416251</v>
      </c>
    </row>
    <row r="10" spans="1:44" ht="15" customHeight="1" x14ac:dyDescent="0.25">
      <c r="A10" s="13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M10" s="22" t="s">
        <v>26</v>
      </c>
      <c r="N10" s="22"/>
      <c r="O10" s="23"/>
      <c r="P10" s="23">
        <f>((B6-B5)*(P5^1/2))</f>
        <v>0</v>
      </c>
      <c r="Q10" s="23">
        <f>((B7-B6)*(Q5^1/2))</f>
        <v>0</v>
      </c>
      <c r="R10" s="23">
        <f>((B8-B7)*(R5/2))</f>
        <v>0</v>
      </c>
      <c r="S10" s="23"/>
      <c r="T10" s="23">
        <f>((B10-B9)*(T5^1/2))</f>
        <v>0</v>
      </c>
      <c r="U10" s="23">
        <f>((B11-B10)*(U5^1/2))</f>
        <v>0</v>
      </c>
      <c r="V10" s="23">
        <f>((B12-B11)*(V5^1/2))</f>
        <v>0</v>
      </c>
      <c r="W10" s="23"/>
      <c r="X10" s="23"/>
      <c r="Y10" s="23">
        <f>((B15-B14)*(Y5/2))</f>
        <v>0</v>
      </c>
      <c r="Z10" s="23"/>
      <c r="AA10" s="23"/>
      <c r="AB10" s="23">
        <f>((B18-B17)*(AB5^1/2))</f>
        <v>1062.2655</v>
      </c>
      <c r="AC10" s="23">
        <f>((B19-B18)*(AC5^1/2))</f>
        <v>-13376.40825</v>
      </c>
      <c r="AD10" s="23"/>
      <c r="AE10" s="23">
        <f>((B21-B20)*(AE5^1/2))</f>
        <v>26067.600000000002</v>
      </c>
      <c r="AF10" s="23">
        <f>((B22-B21)*(AF5^1/2))</f>
        <v>109841.78600000001</v>
      </c>
      <c r="AG10" s="23">
        <f>((B23-B22)*(AG5/2))</f>
        <v>59878.849349999997</v>
      </c>
      <c r="AH10" s="23">
        <f>((B24-B23)*(AH5/2))</f>
        <v>83506.371150000006</v>
      </c>
      <c r="AI10" s="23">
        <f>((B25-B24)*(AI5^1/2))</f>
        <v>265679.63894999999</v>
      </c>
      <c r="AJ10" s="23">
        <f>((B26-B25)*(AJ5/2))</f>
        <v>-62461.115249999995</v>
      </c>
      <c r="AK10" s="23">
        <f>((B27-B26)*(AK5/2))</f>
        <v>11808.761499999999</v>
      </c>
      <c r="AL10" s="23">
        <f>((B28-B27)*(AL5^1/2))</f>
        <v>5946.0187500000002</v>
      </c>
      <c r="AM10" s="23">
        <f>((B29-B28)*(AM5/2))</f>
        <v>54773.65655</v>
      </c>
      <c r="AN10" s="23">
        <f>((B30-B29)*(AN5/2))</f>
        <v>119644.852</v>
      </c>
      <c r="AO10" s="23">
        <f>((B31-B30)*(AO5/2))</f>
        <v>538164.32759999996</v>
      </c>
      <c r="AP10" s="23">
        <f>((B32-B31)*(AP5^1/2))</f>
        <v>144518.97899999999</v>
      </c>
      <c r="AQ10" s="23">
        <f>((C32-C31)*(AQ5/2))</f>
        <v>34642.654199999997</v>
      </c>
      <c r="AR10" s="23">
        <f>((D32-D31)*(AR5^1/2))</f>
        <v>113586.79605</v>
      </c>
    </row>
    <row r="11" spans="1:44" ht="15" customHeight="1" x14ac:dyDescent="0.25">
      <c r="A11" s="13" t="s">
        <v>27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M12" s="1" t="s">
        <v>30</v>
      </c>
      <c r="N12" s="1"/>
      <c r="O12" s="1"/>
      <c r="P12" s="4">
        <v>0</v>
      </c>
      <c r="Q12" s="24">
        <f>-($P$7+$P$8)*$N$1</f>
        <v>0</v>
      </c>
      <c r="R12" s="24">
        <f>-((($P$7+$P$8)*(1+Q5))+($Q$7+$Q$8))*N1</f>
        <v>0</v>
      </c>
      <c r="S12" s="24">
        <f>-((($P$7+$P$8)*(1+Q5)*(1+R5))+(($Q$7+$Q$8)*(1+R5))+((R7+R8)))*$N$1</f>
        <v>0</v>
      </c>
      <c r="T12" s="24">
        <f>-((($P$7+$P$8)*(1+R5)*(1+S5)*(1+Q5))+(($Q$7+$Q$8)*(1+S5)*(1+R5))+((R7+R8)*(1+S5))+((S7+S8)))*$N$1</f>
        <v>0</v>
      </c>
      <c r="U12" s="24">
        <f>-((($P$7+$P$8)*(1+T5)*(1+R5)*(1+S5)*(1+Q5))+(($Q$7+$Q$8)*(1+T5)*(1+S5)*(1+R5))+((R7+R8)*(1+S5)*(1+T5))+((S7+S8)*(1+T5))+(T7+T8))*$N$1</f>
        <v>0</v>
      </c>
      <c r="V12" s="24">
        <f>-((($P$7+$P$8)*(1+U5)*(1+S5)*(1+T5)*(1+R5)*(1+Q5))+(($Q$7+$Q$8)*(1+U5)*(1+T5)*(1+S5)*(1+R5))+(($R$7+$R$8)*(1+U5)*(1+T5)*(1+S5))+((S7+S8)*(1+T5)*(1+U5))+((T7+T8)*(1+U5))+(U7+U8))*$N$1</f>
        <v>0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0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0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0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0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0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-31.811235440000001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-91.811266021919991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-139.93619456240913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-182.82535182790645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-261.85956332444999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-323.1592939239867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-544.73057107400541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-812.8451552895209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-655.39500351816673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622.58242135636078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-1700.4182231901214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-1910.3778640483984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-2168.1407652702633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-378.17678888266806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3764.5112967733626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-4507.6353222862208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-3313.4499724587245</v>
      </c>
    </row>
    <row r="13" spans="1:44" ht="15" customHeight="1" x14ac:dyDescent="0.25">
      <c r="A13" s="13" t="s">
        <v>31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M13" t="s">
        <v>32</v>
      </c>
      <c r="P13">
        <v>0</v>
      </c>
      <c r="Q13" s="24">
        <f t="shared" ref="Q13:AR13" si="0">Q12*Q5</f>
        <v>0</v>
      </c>
      <c r="R13" s="24">
        <f t="shared" si="0"/>
        <v>0</v>
      </c>
      <c r="S13" s="24">
        <f t="shared" si="0"/>
        <v>0</v>
      </c>
      <c r="T13" s="24">
        <f t="shared" si="0"/>
        <v>0</v>
      </c>
      <c r="U13" s="24">
        <f t="shared" si="0"/>
        <v>0</v>
      </c>
      <c r="V13" s="24">
        <f t="shared" si="0"/>
        <v>0</v>
      </c>
      <c r="W13" s="24">
        <f t="shared" si="0"/>
        <v>0</v>
      </c>
      <c r="X13" s="24">
        <f t="shared" si="0"/>
        <v>0</v>
      </c>
      <c r="Y13" s="24">
        <f t="shared" si="0"/>
        <v>0</v>
      </c>
      <c r="Z13" s="24">
        <f t="shared" si="0"/>
        <v>0</v>
      </c>
      <c r="AA13" s="24">
        <f t="shared" si="0"/>
        <v>0</v>
      </c>
      <c r="AB13" s="24">
        <f t="shared" si="0"/>
        <v>-1.87686289096</v>
      </c>
      <c r="AC13" s="24">
        <f t="shared" si="0"/>
        <v>-3.9570655655447515</v>
      </c>
      <c r="AD13" s="24">
        <f t="shared" si="0"/>
        <v>-8.2702290986383797</v>
      </c>
      <c r="AE13" s="24">
        <f t="shared" si="0"/>
        <v>-11.88364786881392</v>
      </c>
      <c r="AF13" s="24">
        <f t="shared" si="0"/>
        <v>-15.29259849814788</v>
      </c>
      <c r="AG13" s="24">
        <f t="shared" si="0"/>
        <v>-19.098714270907614</v>
      </c>
      <c r="AH13" s="24">
        <f t="shared" si="0"/>
        <v>-34.917229605843751</v>
      </c>
      <c r="AI13" s="24">
        <f t="shared" si="0"/>
        <v>-86.730578069391882</v>
      </c>
      <c r="AJ13" s="24">
        <f t="shared" si="0"/>
        <v>-41.224345721292686</v>
      </c>
      <c r="AK13" s="24">
        <f t="shared" si="0"/>
        <v>18.366181430012642</v>
      </c>
      <c r="AL13" s="24">
        <f t="shared" si="0"/>
        <v>-63.765683369629549</v>
      </c>
      <c r="AM13" s="24">
        <f t="shared" si="0"/>
        <v>-82.33728594048597</v>
      </c>
      <c r="AN13" s="24">
        <f t="shared" si="0"/>
        <v>-97.999962590215887</v>
      </c>
      <c r="AO13" s="24">
        <f t="shared" si="0"/>
        <v>-38.044584961596406</v>
      </c>
      <c r="AP13" s="24">
        <f t="shared" si="0"/>
        <v>217.9652040831777</v>
      </c>
      <c r="AQ13" s="24">
        <f t="shared" si="0"/>
        <v>-208.2527518896234</v>
      </c>
      <c r="AR13" s="24">
        <f t="shared" si="0"/>
        <v>-160.0396336697564</v>
      </c>
    </row>
    <row r="14" spans="1:44" ht="15" customHeight="1" x14ac:dyDescent="0.25">
      <c r="A14" s="13" t="s">
        <v>33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M14" s="39" t="s">
        <v>34</v>
      </c>
      <c r="N14" s="39"/>
      <c r="O14" s="40"/>
      <c r="P14" s="40">
        <f t="shared" ref="P14:AR14" si="1">(P7+P8)-(P9+P10)+P12+P13</f>
        <v>0</v>
      </c>
      <c r="Q14" s="40">
        <f t="shared" si="1"/>
        <v>0</v>
      </c>
      <c r="R14" s="40">
        <f t="shared" si="1"/>
        <v>0</v>
      </c>
      <c r="S14" s="40">
        <f t="shared" si="1"/>
        <v>0</v>
      </c>
      <c r="T14" s="40">
        <f t="shared" si="1"/>
        <v>0</v>
      </c>
      <c r="U14" s="40">
        <f t="shared" si="1"/>
        <v>0</v>
      </c>
      <c r="V14" s="40">
        <f t="shared" si="1"/>
        <v>0</v>
      </c>
      <c r="W14" s="40">
        <f t="shared" si="1"/>
        <v>0</v>
      </c>
      <c r="X14" s="40">
        <f t="shared" si="1"/>
        <v>0</v>
      </c>
      <c r="Y14" s="40">
        <f t="shared" si="1"/>
        <v>0</v>
      </c>
      <c r="Z14" s="40">
        <f t="shared" si="1"/>
        <v>0</v>
      </c>
      <c r="AA14" s="40">
        <f t="shared" si="1"/>
        <v>-52466.748700000004</v>
      </c>
      <c r="AB14" s="40">
        <f t="shared" si="1"/>
        <v>-225118.89459833098</v>
      </c>
      <c r="AC14" s="40">
        <f t="shared" si="1"/>
        <v>-151947.46887454943</v>
      </c>
      <c r="AD14" s="40">
        <f t="shared" si="1"/>
        <v>-190988.69864865291</v>
      </c>
      <c r="AE14" s="40">
        <f t="shared" si="1"/>
        <v>-384295.493414214</v>
      </c>
      <c r="AF14" s="40">
        <f t="shared" si="1"/>
        <v>-479244.52604559128</v>
      </c>
      <c r="AG14" s="40">
        <f t="shared" si="1"/>
        <v>-650896.02638890257</v>
      </c>
      <c r="AH14" s="40">
        <f t="shared" si="1"/>
        <v>-854580.14782298682</v>
      </c>
      <c r="AI14" s="40">
        <f t="shared" si="1"/>
        <v>-1849282.7825211408</v>
      </c>
      <c r="AJ14" s="40">
        <f t="shared" si="1"/>
        <v>-1223611.6279996831</v>
      </c>
      <c r="AK14" s="40">
        <f t="shared" si="1"/>
        <v>-454081.17170846969</v>
      </c>
      <c r="AL14" s="40">
        <f t="shared" si="1"/>
        <v>-699360.38354516809</v>
      </c>
      <c r="AM14" s="40">
        <f t="shared" si="1"/>
        <v>-865257.72772492329</v>
      </c>
      <c r="AN14" s="40">
        <f t="shared" si="1"/>
        <v>-1154855.7639215731</v>
      </c>
      <c r="AO14" s="40">
        <f t="shared" si="1"/>
        <v>-3362784.5866353712</v>
      </c>
      <c r="AP14" s="40">
        <f t="shared" si="1"/>
        <v>-2009154.4692912905</v>
      </c>
      <c r="AQ14" s="40">
        <f t="shared" si="1"/>
        <v>-1761195.2648089614</v>
      </c>
      <c r="AR14" s="40">
        <f t="shared" si="1"/>
        <v>-1535914.3277318946</v>
      </c>
    </row>
    <row r="15" spans="1:44" ht="15" customHeight="1" x14ac:dyDescent="0.25">
      <c r="A15" s="13" t="s">
        <v>35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</row>
    <row r="16" spans="1:44" ht="15" customHeight="1" x14ac:dyDescent="0.25">
      <c r="A16" s="13" t="s">
        <v>36</v>
      </c>
      <c r="B16" s="16">
        <v>1200481</v>
      </c>
      <c r="C16" s="16">
        <v>685283</v>
      </c>
      <c r="D16" s="15">
        <v>0</v>
      </c>
      <c r="E16" s="16">
        <v>16426</v>
      </c>
      <c r="F16" s="15">
        <v>0</v>
      </c>
      <c r="G16" s="16">
        <v>-112646</v>
      </c>
      <c r="H16" s="15">
        <v>0</v>
      </c>
      <c r="I16" s="15">
        <v>0</v>
      </c>
      <c r="J16" s="15">
        <v>0</v>
      </c>
      <c r="K16" s="15">
        <v>0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6">
        <v>3829206</v>
      </c>
      <c r="C17" s="16">
        <v>2648963</v>
      </c>
      <c r="D17" s="15">
        <v>0</v>
      </c>
      <c r="E17" s="16">
        <v>31767</v>
      </c>
      <c r="F17" s="15">
        <v>0</v>
      </c>
      <c r="G17" s="16">
        <v>-290734</v>
      </c>
      <c r="H17" s="15">
        <v>0</v>
      </c>
      <c r="I17" s="15">
        <v>0</v>
      </c>
      <c r="J17" s="15">
        <v>0</v>
      </c>
      <c r="K17" s="15">
        <v>0</v>
      </c>
      <c r="L17" s="41" t="str">
        <f>+L19</f>
        <v>Btgp Banco UNT</v>
      </c>
      <c r="M17" s="2" t="s">
        <v>38</v>
      </c>
      <c r="N17" s="2"/>
      <c r="O17" s="28"/>
      <c r="P17" s="42">
        <f>+C6</f>
        <v>0</v>
      </c>
      <c r="Q17" s="42">
        <f>C7</f>
        <v>0</v>
      </c>
      <c r="R17" s="42">
        <f>C8</f>
        <v>0</v>
      </c>
      <c r="S17" s="42">
        <f>C9</f>
        <v>0</v>
      </c>
      <c r="T17" s="42">
        <f>C10</f>
        <v>0</v>
      </c>
      <c r="U17" s="42">
        <f>C11</f>
        <v>0</v>
      </c>
      <c r="V17" s="42"/>
      <c r="W17" s="42"/>
      <c r="X17" s="42"/>
      <c r="Y17" s="42"/>
      <c r="Z17" s="42"/>
      <c r="AA17" s="42"/>
      <c r="AB17" s="42"/>
      <c r="AC17" s="42"/>
      <c r="AD17" s="42"/>
      <c r="AE17" s="42">
        <f>C21</f>
        <v>1477020</v>
      </c>
      <c r="AF17" s="42">
        <f>C22</f>
        <v>2061237</v>
      </c>
      <c r="AG17" s="42">
        <f>C23</f>
        <v>2669689</v>
      </c>
      <c r="AH17" s="42">
        <f>C24</f>
        <v>3369246</v>
      </c>
      <c r="AI17" s="42">
        <f>C25</f>
        <v>5623498</v>
      </c>
      <c r="AJ17" s="42">
        <f>C26</f>
        <v>3408583</v>
      </c>
      <c r="AK17" s="42">
        <f>C27</f>
        <v>2383863</v>
      </c>
      <c r="AL17" s="42">
        <f>C28</f>
        <v>2360784</v>
      </c>
      <c r="AM17" s="42">
        <f>C29</f>
        <v>3828312</v>
      </c>
      <c r="AN17" s="42">
        <f>C30</f>
        <v>3976382</v>
      </c>
      <c r="AO17" s="42">
        <f>C31</f>
        <v>6342155</v>
      </c>
      <c r="AP17" s="42">
        <f>C32</f>
        <v>7841837</v>
      </c>
      <c r="AQ17" s="42">
        <f>D32</f>
        <v>4703387</v>
      </c>
      <c r="AR17" s="42">
        <f>E32</f>
        <v>508618</v>
      </c>
    </row>
    <row r="18" spans="1:44" ht="15" customHeight="1" x14ac:dyDescent="0.25">
      <c r="A18" s="13" t="s">
        <v>39</v>
      </c>
      <c r="B18" s="16">
        <v>3865215</v>
      </c>
      <c r="C18" s="16">
        <v>838817</v>
      </c>
      <c r="D18" s="15">
        <v>0</v>
      </c>
      <c r="E18" s="16">
        <v>32647</v>
      </c>
      <c r="F18" s="15">
        <v>0</v>
      </c>
      <c r="G18" s="16">
        <v>-803040</v>
      </c>
      <c r="H18" s="15">
        <v>0</v>
      </c>
      <c r="I18" s="15">
        <v>0</v>
      </c>
      <c r="J18" s="15">
        <v>0</v>
      </c>
      <c r="K18" s="15">
        <v>0</v>
      </c>
      <c r="L18" s="43" t="str">
        <f>+L19</f>
        <v>Btgp Banco UNT</v>
      </c>
      <c r="M18" s="18" t="s">
        <v>40</v>
      </c>
      <c r="N18" s="18"/>
      <c r="O18" s="25"/>
      <c r="P18" s="44">
        <f t="shared" ref="P18:V18" si="2">P14+P17</f>
        <v>0</v>
      </c>
      <c r="Q18" s="44">
        <f t="shared" si="2"/>
        <v>0</v>
      </c>
      <c r="R18" s="44">
        <f t="shared" si="2"/>
        <v>0</v>
      </c>
      <c r="S18" s="44">
        <f t="shared" si="2"/>
        <v>0</v>
      </c>
      <c r="T18" s="44">
        <f t="shared" si="2"/>
        <v>0</v>
      </c>
      <c r="U18" s="44">
        <f t="shared" si="2"/>
        <v>0</v>
      </c>
      <c r="V18" s="44">
        <f t="shared" si="2"/>
        <v>0</v>
      </c>
      <c r="W18" s="44"/>
      <c r="X18" s="44">
        <f t="shared" ref="X18:AR18" si="3">X14+X17</f>
        <v>0</v>
      </c>
      <c r="Y18" s="44">
        <f t="shared" si="3"/>
        <v>0</v>
      </c>
      <c r="Z18" s="44">
        <f t="shared" si="3"/>
        <v>0</v>
      </c>
      <c r="AA18" s="44">
        <f t="shared" si="3"/>
        <v>-52466.748700000004</v>
      </c>
      <c r="AB18" s="44">
        <f t="shared" si="3"/>
        <v>-225118.89459833098</v>
      </c>
      <c r="AC18" s="44">
        <f t="shared" si="3"/>
        <v>-151947.46887454943</v>
      </c>
      <c r="AD18" s="44">
        <f t="shared" si="3"/>
        <v>-190988.69864865291</v>
      </c>
      <c r="AE18" s="44">
        <f t="shared" si="3"/>
        <v>1092724.5065857861</v>
      </c>
      <c r="AF18" s="44">
        <f t="shared" si="3"/>
        <v>1581992.4739544087</v>
      </c>
      <c r="AG18" s="44">
        <f t="shared" si="3"/>
        <v>2018792.9736110973</v>
      </c>
      <c r="AH18" s="44">
        <f t="shared" si="3"/>
        <v>2514665.8521770132</v>
      </c>
      <c r="AI18" s="44">
        <f t="shared" si="3"/>
        <v>3774215.2174788592</v>
      </c>
      <c r="AJ18" s="44">
        <f t="shared" si="3"/>
        <v>2184971.3720003171</v>
      </c>
      <c r="AK18" s="44">
        <f t="shared" si="3"/>
        <v>1929781.8282915303</v>
      </c>
      <c r="AL18" s="44">
        <f t="shared" si="3"/>
        <v>1661423.6164548318</v>
      </c>
      <c r="AM18" s="44">
        <f t="shared" si="3"/>
        <v>2963054.2722750767</v>
      </c>
      <c r="AN18" s="44">
        <f t="shared" si="3"/>
        <v>2821526.2360784272</v>
      </c>
      <c r="AO18" s="44">
        <f t="shared" si="3"/>
        <v>2979370.4133646288</v>
      </c>
      <c r="AP18" s="44">
        <f t="shared" si="3"/>
        <v>5832682.5307087097</v>
      </c>
      <c r="AQ18" s="44">
        <f t="shared" si="3"/>
        <v>2942191.7351910388</v>
      </c>
      <c r="AR18" s="44">
        <f t="shared" si="3"/>
        <v>-1027296.3277318946</v>
      </c>
    </row>
    <row r="19" spans="1:44" ht="15" customHeight="1" x14ac:dyDescent="0.25">
      <c r="A19" s="13" t="s">
        <v>41</v>
      </c>
      <c r="B19" s="16">
        <v>3244500</v>
      </c>
      <c r="C19" s="16">
        <v>629285</v>
      </c>
      <c r="D19" s="15">
        <v>0</v>
      </c>
      <c r="E19" s="16">
        <v>30518</v>
      </c>
      <c r="F19" s="15">
        <v>0</v>
      </c>
      <c r="G19" s="16">
        <v>-1250000</v>
      </c>
      <c r="H19" s="15">
        <v>0</v>
      </c>
      <c r="I19" s="15">
        <v>0</v>
      </c>
      <c r="J19" s="15">
        <v>0</v>
      </c>
      <c r="K19" s="15">
        <v>0</v>
      </c>
      <c r="L19" s="18" t="str">
        <f>+A1</f>
        <v>Btgp Banco UNT</v>
      </c>
      <c r="M19" s="18" t="s">
        <v>42</v>
      </c>
      <c r="N19" s="18"/>
      <c r="O19" s="31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>
        <f t="shared" ref="AE19:AR19" si="4">AE18/AE17</f>
        <v>0.7398170008434457</v>
      </c>
      <c r="AF19" s="45">
        <f t="shared" si="4"/>
        <v>0.76749664107252524</v>
      </c>
      <c r="AG19" s="45">
        <f t="shared" si="4"/>
        <v>0.7561903179026086</v>
      </c>
      <c r="AH19" s="45">
        <f t="shared" si="4"/>
        <v>0.74635863697011529</v>
      </c>
      <c r="AI19" s="45">
        <f t="shared" si="4"/>
        <v>0.67115080639823455</v>
      </c>
      <c r="AJ19" s="45">
        <f t="shared" si="4"/>
        <v>0.64102043928527397</v>
      </c>
      <c r="AK19" s="45">
        <f t="shared" si="4"/>
        <v>0.80951876357472319</v>
      </c>
      <c r="AL19" s="45">
        <f t="shared" si="4"/>
        <v>0.70375926660585286</v>
      </c>
      <c r="AM19" s="45">
        <f t="shared" si="4"/>
        <v>0.77398453215805729</v>
      </c>
      <c r="AN19" s="45">
        <f t="shared" si="4"/>
        <v>0.70957122230168712</v>
      </c>
      <c r="AO19" s="45">
        <f t="shared" si="4"/>
        <v>0.46977256364195275</v>
      </c>
      <c r="AP19" s="45">
        <f t="shared" si="4"/>
        <v>0.7437903300857579</v>
      </c>
      <c r="AQ19" s="45">
        <f t="shared" si="4"/>
        <v>0.6255474480817842</v>
      </c>
      <c r="AR19" s="45">
        <f t="shared" si="4"/>
        <v>-2.0197797320029856</v>
      </c>
    </row>
    <row r="20" spans="1:44" ht="15" customHeight="1" x14ac:dyDescent="0.25">
      <c r="A20" s="13" t="s">
        <v>43</v>
      </c>
      <c r="B20" s="16">
        <v>5537682</v>
      </c>
      <c r="C20" s="16">
        <v>815550</v>
      </c>
      <c r="D20" s="15">
        <v>0</v>
      </c>
      <c r="E20" s="16">
        <v>0</v>
      </c>
      <c r="F20" s="15">
        <v>0</v>
      </c>
      <c r="G20" s="16">
        <v>-846637</v>
      </c>
      <c r="H20" s="15">
        <v>0</v>
      </c>
      <c r="I20" s="14">
        <v>2400000</v>
      </c>
      <c r="J20" s="15">
        <v>0</v>
      </c>
      <c r="K20" s="15">
        <v>0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6339762</v>
      </c>
      <c r="C21" s="14">
        <v>1477020</v>
      </c>
      <c r="D21" s="15">
        <v>0</v>
      </c>
      <c r="E21" s="14">
        <v>58403</v>
      </c>
      <c r="F21" s="15">
        <v>0</v>
      </c>
      <c r="G21" s="14">
        <v>-1011000</v>
      </c>
      <c r="H21" s="15">
        <v>0</v>
      </c>
      <c r="I21" s="14">
        <v>2400000</v>
      </c>
      <c r="J21" s="15">
        <v>0</v>
      </c>
      <c r="K21" s="15">
        <v>0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10101467</v>
      </c>
      <c r="C22" s="14">
        <v>2061237</v>
      </c>
      <c r="D22" s="15">
        <v>0</v>
      </c>
      <c r="E22" s="14">
        <v>95695</v>
      </c>
      <c r="F22" s="15">
        <v>0</v>
      </c>
      <c r="G22" s="14">
        <v>-401610</v>
      </c>
      <c r="H22" s="15">
        <v>0</v>
      </c>
      <c r="I22" s="14">
        <v>2714902.2119999998</v>
      </c>
      <c r="J22" s="15">
        <v>0</v>
      </c>
      <c r="K22" s="15">
        <v>0</v>
      </c>
      <c r="L22" s="47" t="str">
        <f>+L24</f>
        <v>Btgp Banco UNT</v>
      </c>
      <c r="M22" s="39" t="s">
        <v>46</v>
      </c>
      <c r="N22" s="32"/>
      <c r="O22" s="32"/>
      <c r="P22" s="30">
        <v>0</v>
      </c>
      <c r="Q22" s="30">
        <v>0</v>
      </c>
      <c r="R22" s="30">
        <v>0</v>
      </c>
      <c r="S22" s="30">
        <v>10502002</v>
      </c>
      <c r="T22" s="30">
        <v>10565590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1200481</v>
      </c>
      <c r="AA22" s="30">
        <v>3829206</v>
      </c>
      <c r="AB22" s="30">
        <v>3865215</v>
      </c>
      <c r="AC22" s="30">
        <v>3244500</v>
      </c>
      <c r="AD22" s="30">
        <v>5537682</v>
      </c>
      <c r="AE22" s="30">
        <v>6339762</v>
      </c>
      <c r="AF22" s="30">
        <v>10101467</v>
      </c>
      <c r="AG22" s="30">
        <v>12127824</v>
      </c>
      <c r="AH22" s="30">
        <v>14733327</v>
      </c>
      <c r="AI22" s="30">
        <v>19713264</v>
      </c>
      <c r="AJ22" s="30">
        <v>17727219</v>
      </c>
      <c r="AK22" s="30">
        <v>18527813</v>
      </c>
      <c r="AL22" s="30">
        <v>18844934</v>
      </c>
      <c r="AM22" s="30">
        <v>21386635</v>
      </c>
      <c r="AN22" s="30">
        <v>26680655</v>
      </c>
      <c r="AO22" s="30">
        <v>37379747</v>
      </c>
      <c r="AP22" s="30">
        <v>42371767</v>
      </c>
      <c r="AQ22" s="30">
        <v>42371767</v>
      </c>
      <c r="AR22" s="30">
        <v>42371767</v>
      </c>
    </row>
    <row r="23" spans="1:44" ht="15" customHeight="1" x14ac:dyDescent="0.25">
      <c r="A23" s="13" t="s">
        <v>47</v>
      </c>
      <c r="B23" s="14">
        <v>12127824</v>
      </c>
      <c r="C23" s="14">
        <v>2669689</v>
      </c>
      <c r="D23" s="15">
        <v>0</v>
      </c>
      <c r="E23" s="14">
        <v>116741</v>
      </c>
      <c r="F23" s="15">
        <v>0</v>
      </c>
      <c r="G23" s="14">
        <v>-727750</v>
      </c>
      <c r="H23" s="15">
        <v>0</v>
      </c>
      <c r="I23" s="14">
        <v>2714902.2119999998</v>
      </c>
      <c r="J23" s="15">
        <v>0</v>
      </c>
      <c r="K23" s="15">
        <v>0</v>
      </c>
      <c r="L23" s="47" t="str">
        <f>+L25</f>
        <v>Btgp Banco UNT</v>
      </c>
      <c r="M23" s="39" t="s">
        <v>48</v>
      </c>
      <c r="N23" s="32"/>
      <c r="O23" s="32"/>
      <c r="P23" s="30">
        <f>P22+P9+P10+P14</f>
        <v>0</v>
      </c>
      <c r="Q23" s="33">
        <f>Q22+Q9+Q10+Q14+((P9+P10+P14)*(1+Q5))</f>
        <v>0</v>
      </c>
      <c r="R23" s="33">
        <f>R22+R9+R10+R14+((Q9+Q10+Q14)*(1+R5))+(((P9+P10+P14)*(1+R5)*(1+Q5)))</f>
        <v>0</v>
      </c>
      <c r="S23" s="33">
        <f>S22+S9+S10+S14+((R9+R10+R14)*(1+S5))+(((Q9+Q10+Q14)*(1+S5)*(1+R5)))+(((P9+P10+P14)*(1+S5)*(1+R5)*(1+Q5)))</f>
        <v>10502002</v>
      </c>
      <c r="T23" s="33">
        <f>T22+T9+T10+T14+((S9+S10+S14)*(1+T5))+(((R9+R10+R14)*(1+T5)*(1+S5)))+(((Q9+Q10+Q14)*(1+T5)*(1+S5)*(1+R5)))+(((P9+P10+P14)*(1+T5)*(1+S5)*(1+R5)*(1+Q5)))</f>
        <v>10565590</v>
      </c>
      <c r="U23" s="33">
        <f>U22+U9+U10+U14+((T9+T10+T14)*(1+U5))+((S9+S10+S14)*(1+U5)*(1+T5))+((R9+R10+R14)*(1+U5)*(1+T5)*(1+S5))+((Q9+Q10+Q14)*(1+U5)*(1+T5)*(1+S5)*(1+R5))+((P9+P10+P14)*(1+U5)*(1+T5)*(1+S5)*(1+R5)*(1+Q5))</f>
        <v>0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0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0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0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0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1200481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3830280.7039000001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3868283.0438618697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3249096.6657536654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5543571.6806600615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6348108.401025828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10111577.973687338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12145030.563510522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14758935.14543795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19732455.609841712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17702353.515366532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18581955.162779946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18904281.295027919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21452473.989350431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26683421.205435213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37241134.295726188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42515939.198782817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42760003.725892082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43759706.640712388</v>
      </c>
    </row>
    <row r="24" spans="1:44" ht="15" customHeight="1" x14ac:dyDescent="0.25">
      <c r="A24" s="13" t="s">
        <v>49</v>
      </c>
      <c r="B24" s="14">
        <v>14733327</v>
      </c>
      <c r="C24" s="14">
        <v>3369246</v>
      </c>
      <c r="D24" s="15">
        <v>0</v>
      </c>
      <c r="E24" s="14">
        <v>138437</v>
      </c>
      <c r="F24" s="15">
        <v>0</v>
      </c>
      <c r="G24" s="14">
        <v>-827530</v>
      </c>
      <c r="H24" s="15">
        <v>0</v>
      </c>
      <c r="I24" s="14">
        <v>2714902.2119999998</v>
      </c>
      <c r="J24" s="15">
        <v>0</v>
      </c>
      <c r="K24" s="15">
        <v>0</v>
      </c>
      <c r="L24" s="47" t="str">
        <f>+L25</f>
        <v>Btgp Banco UNT</v>
      </c>
      <c r="M24" s="39" t="s">
        <v>50</v>
      </c>
      <c r="N24" s="32"/>
      <c r="O24" s="32"/>
      <c r="P24" s="30">
        <v>0</v>
      </c>
      <c r="Q24" s="30">
        <v>0</v>
      </c>
      <c r="R24" s="30">
        <v>0</v>
      </c>
      <c r="S24" s="30">
        <v>17428087.655999999</v>
      </c>
      <c r="T24" s="30">
        <v>16748049.408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19916268.627999999</v>
      </c>
      <c r="AL24" s="30">
        <v>21130685.302000001</v>
      </c>
      <c r="AM24" s="30">
        <v>90296461.743000001</v>
      </c>
      <c r="AN24" s="30">
        <v>105092856.16</v>
      </c>
      <c r="AO24" s="30">
        <v>117620172.55</v>
      </c>
      <c r="AP24" s="30">
        <v>120658235.91</v>
      </c>
      <c r="AQ24" s="30">
        <f>+K33</f>
        <v>120798903.10678101</v>
      </c>
      <c r="AR24" s="30">
        <f>+K34</f>
        <v>89792482.459875003</v>
      </c>
    </row>
    <row r="25" spans="1:44" ht="15" customHeight="1" x14ac:dyDescent="0.25">
      <c r="A25" s="13" t="s">
        <v>51</v>
      </c>
      <c r="B25" s="14">
        <v>19713264</v>
      </c>
      <c r="C25" s="14">
        <v>5623498</v>
      </c>
      <c r="D25" s="15">
        <v>0</v>
      </c>
      <c r="E25" s="14">
        <v>738547</v>
      </c>
      <c r="F25" s="15">
        <v>0</v>
      </c>
      <c r="G25" s="14">
        <v>-873654</v>
      </c>
      <c r="H25" s="15">
        <v>0</v>
      </c>
      <c r="I25" s="14">
        <v>2719884.8160000001</v>
      </c>
      <c r="J25" s="15">
        <v>0</v>
      </c>
      <c r="K25" s="15">
        <v>0</v>
      </c>
      <c r="L25" s="39" t="str">
        <f>+A1</f>
        <v>Btgp Banco UNT</v>
      </c>
      <c r="M25" s="39" t="s">
        <v>52</v>
      </c>
      <c r="N25" s="18"/>
      <c r="O25" s="18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>
        <f t="shared" ref="Z25:AR25" si="5">Z24/Z23</f>
        <v>0</v>
      </c>
      <c r="AA25" s="31">
        <f t="shared" si="5"/>
        <v>0</v>
      </c>
      <c r="AB25" s="31">
        <f t="shared" si="5"/>
        <v>0</v>
      </c>
      <c r="AC25" s="31">
        <f t="shared" si="5"/>
        <v>0</v>
      </c>
      <c r="AD25" s="31">
        <f t="shared" si="5"/>
        <v>0</v>
      </c>
      <c r="AE25" s="31">
        <f t="shared" si="5"/>
        <v>0</v>
      </c>
      <c r="AF25" s="31">
        <f t="shared" si="5"/>
        <v>0</v>
      </c>
      <c r="AG25" s="31">
        <f t="shared" si="5"/>
        <v>0</v>
      </c>
      <c r="AH25" s="31">
        <f t="shared" si="5"/>
        <v>0</v>
      </c>
      <c r="AI25" s="31">
        <f t="shared" si="5"/>
        <v>0</v>
      </c>
      <c r="AJ25" s="31">
        <f t="shared" si="5"/>
        <v>0</v>
      </c>
      <c r="AK25" s="31">
        <f t="shared" si="5"/>
        <v>1.0718069467680511</v>
      </c>
      <c r="AL25" s="31">
        <f t="shared" si="5"/>
        <v>1.1177724755692064</v>
      </c>
      <c r="AM25" s="31">
        <f t="shared" si="5"/>
        <v>4.2091397844288512</v>
      </c>
      <c r="AN25" s="31">
        <f t="shared" si="5"/>
        <v>3.9385075605894708</v>
      </c>
      <c r="AO25" s="31">
        <f t="shared" si="5"/>
        <v>3.1583402271261685</v>
      </c>
      <c r="AP25" s="31">
        <f t="shared" si="5"/>
        <v>2.8379529697289225</v>
      </c>
      <c r="AQ25" s="31">
        <f t="shared" si="5"/>
        <v>2.8250442605465613</v>
      </c>
      <c r="AR25" s="31">
        <f t="shared" si="5"/>
        <v>2.0519443422487535</v>
      </c>
    </row>
    <row r="26" spans="1:44" ht="15" customHeight="1" x14ac:dyDescent="0.25">
      <c r="A26" s="13" t="s">
        <v>53</v>
      </c>
      <c r="B26" s="14">
        <v>17727219</v>
      </c>
      <c r="C26" s="14">
        <v>3408583</v>
      </c>
      <c r="D26" s="15">
        <v>0</v>
      </c>
      <c r="E26" s="14">
        <v>92688</v>
      </c>
      <c r="F26" s="15">
        <v>0</v>
      </c>
      <c r="G26" s="14">
        <v>-992774</v>
      </c>
      <c r="H26" s="15">
        <v>0</v>
      </c>
      <c r="I26" s="14">
        <v>3411721.9750000001</v>
      </c>
      <c r="J26" s="15">
        <v>0</v>
      </c>
      <c r="K26" s="15">
        <v>0</v>
      </c>
    </row>
    <row r="27" spans="1:44" ht="15" customHeight="1" x14ac:dyDescent="0.25">
      <c r="A27" s="13" t="s">
        <v>54</v>
      </c>
      <c r="B27" s="14">
        <v>18527813</v>
      </c>
      <c r="C27" s="14">
        <v>2383863</v>
      </c>
      <c r="D27" s="15">
        <v>0</v>
      </c>
      <c r="E27" s="14">
        <v>82762</v>
      </c>
      <c r="F27" s="15">
        <v>0</v>
      </c>
      <c r="G27" s="14">
        <v>-1504728</v>
      </c>
      <c r="H27" s="15">
        <v>0</v>
      </c>
      <c r="I27" s="14">
        <v>2665918.9720000001</v>
      </c>
      <c r="J27" s="17">
        <v>3.9385802437000001</v>
      </c>
      <c r="K27" s="14">
        <v>19916268.627999999</v>
      </c>
      <c r="S27" s="67"/>
    </row>
    <row r="28" spans="1:44" ht="15" customHeight="1" x14ac:dyDescent="0.25">
      <c r="A28" s="13" t="s">
        <v>55</v>
      </c>
      <c r="B28" s="14">
        <v>18844934</v>
      </c>
      <c r="C28" s="14">
        <v>2360784</v>
      </c>
      <c r="D28" s="15">
        <v>0</v>
      </c>
      <c r="E28" s="14">
        <v>79601</v>
      </c>
      <c r="F28" s="15">
        <v>0</v>
      </c>
      <c r="G28" s="14">
        <v>-1201475</v>
      </c>
      <c r="H28" s="20">
        <v>5.7695980254999997</v>
      </c>
      <c r="I28" s="14">
        <v>2618160.1719999998</v>
      </c>
      <c r="J28" s="17">
        <v>5.2385484875000001</v>
      </c>
      <c r="K28" s="14">
        <v>21130685.302000001</v>
      </c>
    </row>
    <row r="29" spans="1:44" ht="15" customHeight="1" x14ac:dyDescent="0.25">
      <c r="A29" s="13" t="s">
        <v>56</v>
      </c>
      <c r="B29" s="14">
        <v>21386635</v>
      </c>
      <c r="C29" s="14">
        <v>3828312</v>
      </c>
      <c r="D29" s="15">
        <v>0</v>
      </c>
      <c r="E29" s="14">
        <v>78163</v>
      </c>
      <c r="F29" s="15">
        <v>0</v>
      </c>
      <c r="G29" s="14">
        <v>-624000</v>
      </c>
      <c r="H29" s="20">
        <v>1.8490317746</v>
      </c>
      <c r="I29" s="14">
        <v>2615968.6719999998</v>
      </c>
      <c r="J29" s="17">
        <v>17.567381688000001</v>
      </c>
      <c r="K29" s="14">
        <v>90296461.743000001</v>
      </c>
    </row>
    <row r="30" spans="1:44" ht="15" customHeight="1" x14ac:dyDescent="0.25">
      <c r="A30" s="13" t="s">
        <v>57</v>
      </c>
      <c r="B30" s="14">
        <v>26680655</v>
      </c>
      <c r="C30" s="14">
        <v>3976382</v>
      </c>
      <c r="D30" s="15">
        <v>0</v>
      </c>
      <c r="E30" s="14">
        <v>142601</v>
      </c>
      <c r="F30" s="15">
        <v>0</v>
      </c>
      <c r="G30" s="14">
        <v>-541000</v>
      </c>
      <c r="H30" s="20">
        <v>1.2870940277</v>
      </c>
      <c r="I30" s="14">
        <v>2712706.9720000001</v>
      </c>
      <c r="J30" s="17">
        <v>22.01630394</v>
      </c>
      <c r="K30" s="14">
        <v>105092856.16</v>
      </c>
    </row>
    <row r="31" spans="1:44" ht="15" customHeight="1" x14ac:dyDescent="0.25">
      <c r="A31" s="13" t="s">
        <v>58</v>
      </c>
      <c r="B31" s="14">
        <v>37379747</v>
      </c>
      <c r="C31" s="14">
        <v>6342155</v>
      </c>
      <c r="D31" s="15">
        <v>0</v>
      </c>
      <c r="E31" s="14">
        <v>348870</v>
      </c>
      <c r="F31" s="15">
        <v>0</v>
      </c>
      <c r="G31" s="14">
        <v>-1746000</v>
      </c>
      <c r="H31" s="20">
        <v>1.8731027713999999</v>
      </c>
      <c r="I31" s="14">
        <v>11506119.927999999</v>
      </c>
      <c r="J31" s="17">
        <v>19.991093233000001</v>
      </c>
      <c r="K31" s="14">
        <v>117620172.55</v>
      </c>
    </row>
    <row r="32" spans="1:44" ht="15" customHeight="1" x14ac:dyDescent="0.25">
      <c r="A32" s="13" t="s">
        <v>59</v>
      </c>
      <c r="B32" s="14">
        <v>42371767</v>
      </c>
      <c r="C32" s="14">
        <v>7841837</v>
      </c>
      <c r="D32" s="15">
        <v>4703387</v>
      </c>
      <c r="E32" s="14">
        <v>508618</v>
      </c>
      <c r="F32" s="15">
        <v>0</v>
      </c>
      <c r="G32" s="14">
        <v>-2025000</v>
      </c>
      <c r="H32" s="20">
        <v>2.7427761779000002</v>
      </c>
      <c r="I32" s="14">
        <v>11496119.927999999</v>
      </c>
      <c r="J32" s="17">
        <v>23.488840548999999</v>
      </c>
      <c r="K32" s="14">
        <v>74305568.108593807</v>
      </c>
    </row>
    <row r="33" spans="1:42" ht="15" customHeight="1" x14ac:dyDescent="0.25">
      <c r="A33" s="13" t="s">
        <v>60</v>
      </c>
      <c r="B33" s="14">
        <v>49381806</v>
      </c>
      <c r="C33" s="14">
        <v>9924566</v>
      </c>
      <c r="D33" s="14">
        <v>4240909</v>
      </c>
      <c r="E33" s="14">
        <v>515092</v>
      </c>
      <c r="F33" s="14"/>
      <c r="G33" s="14"/>
      <c r="H33" s="14"/>
      <c r="I33" s="14"/>
      <c r="J33" s="14"/>
      <c r="K33" s="14">
        <v>120798903.10678101</v>
      </c>
    </row>
    <row r="34" spans="1:42" ht="15" customHeight="1" x14ac:dyDescent="0.25">
      <c r="A34" s="13" t="s">
        <v>61</v>
      </c>
      <c r="B34" s="14">
        <v>57466518</v>
      </c>
      <c r="C34" s="14">
        <v>11789387</v>
      </c>
      <c r="D34" s="14">
        <v>4157330</v>
      </c>
      <c r="E34" s="14">
        <v>647908</v>
      </c>
      <c r="F34" s="14"/>
      <c r="G34" s="14"/>
      <c r="H34" s="14"/>
      <c r="I34" s="14"/>
      <c r="J34" s="14"/>
      <c r="K34" s="14">
        <v>89792482.459875003</v>
      </c>
    </row>
    <row r="46" spans="1:42" ht="15" customHeight="1" x14ac:dyDescent="0.25">
      <c r="M46" s="46" t="s">
        <v>62</v>
      </c>
      <c r="N46" s="1"/>
      <c r="O46" s="1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>
        <f>-G21/AE17</f>
        <v>0.68448633058455544</v>
      </c>
      <c r="AF46" s="35">
        <f>-G22/AF17</f>
        <v>0.19483931250991515</v>
      </c>
      <c r="AG46" s="35">
        <f>-G23/AG17</f>
        <v>0.27259729504073321</v>
      </c>
      <c r="AH46" s="35">
        <f>-G24/AH17</f>
        <v>0.24561281663612572</v>
      </c>
      <c r="AI46" s="35">
        <f>-G25/AI17</f>
        <v>0.15535775063848159</v>
      </c>
      <c r="AJ46" s="35">
        <f>-G26/AJ17</f>
        <v>0.29125710009115224</v>
      </c>
      <c r="AK46" s="35">
        <f>-G27/AK17</f>
        <v>0.63121412597955506</v>
      </c>
      <c r="AL46" s="35">
        <f>-G28/AL17</f>
        <v>0.50893050783129667</v>
      </c>
      <c r="AM46" s="35">
        <f>-G29/AM17</f>
        <v>0.16299611943854106</v>
      </c>
      <c r="AN46" s="35">
        <f>-G30/AN17</f>
        <v>0.13605332686849503</v>
      </c>
      <c r="AO46" s="35">
        <f>-G31/AO17</f>
        <v>0.27530074556676715</v>
      </c>
      <c r="AP46" s="35">
        <f>-G32/AP17</f>
        <v>0.25823031006637859</v>
      </c>
    </row>
    <row r="47" spans="1:42" ht="15" customHeight="1" x14ac:dyDescent="0.25">
      <c r="M47" s="39" t="s">
        <v>63</v>
      </c>
      <c r="N47" s="32"/>
      <c r="O47" s="32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>
        <f>-G21/AE18</f>
        <v>0.92521032877615783</v>
      </c>
      <c r="AF47" s="36">
        <f>-G22/AF18</f>
        <v>0.25386340745106095</v>
      </c>
      <c r="AG47" s="36">
        <f>-G23/AG18</f>
        <v>0.36048768225017341</v>
      </c>
      <c r="AH47" s="36">
        <f>-G24/AH18</f>
        <v>0.32908149577152973</v>
      </c>
      <c r="AI47" s="36">
        <f>-G25/AI18</f>
        <v>0.23147964534560717</v>
      </c>
      <c r="AJ47" s="36">
        <f>-G26/AJ18</f>
        <v>0.45436476318274432</v>
      </c>
      <c r="AK47" s="36">
        <f>-G27/AK18</f>
        <v>0.77973995709772126</v>
      </c>
      <c r="AL47" s="36">
        <f>-G28/AL18</f>
        <v>0.72315993832068159</v>
      </c>
      <c r="AM47" s="36">
        <f>-G29/AM18</f>
        <v>0.21059351016236486</v>
      </c>
      <c r="AN47" s="36">
        <f>-G30/AN18</f>
        <v>0.19174019829492112</v>
      </c>
      <c r="AO47" s="36">
        <f>-G31/AO18</f>
        <v>0.58602985119538298</v>
      </c>
      <c r="AP47" s="36">
        <f>-G32/AP18</f>
        <v>0.34718159086123773</v>
      </c>
    </row>
    <row r="48" spans="1:42" ht="15" customHeight="1" x14ac:dyDescent="0.25">
      <c r="M48" s="39" t="s">
        <v>64</v>
      </c>
      <c r="N48" s="32"/>
      <c r="O48" s="32"/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50">
        <v>0</v>
      </c>
      <c r="AH48" s="50">
        <v>0</v>
      </c>
      <c r="AI48" s="50">
        <v>0</v>
      </c>
      <c r="AJ48" s="50">
        <v>0</v>
      </c>
      <c r="AK48" s="50">
        <v>0</v>
      </c>
      <c r="AL48" s="37">
        <v>5.7695980254999997</v>
      </c>
      <c r="AM48" s="37">
        <v>1.8490317746</v>
      </c>
      <c r="AN48" s="37">
        <v>1.2870940277</v>
      </c>
      <c r="AO48" s="37">
        <v>1.8731027713999999</v>
      </c>
      <c r="AP48" s="37">
        <v>2.7427761779000002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R49"/>
  <sheetViews>
    <sheetView showGridLines="0" topLeftCell="K1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3.85546875" customWidth="1"/>
    <col min="17" max="23" width="9.140625" customWidth="1"/>
    <col min="24" max="24" width="10.140625" customWidth="1"/>
    <col min="25" max="25" width="12.7109375" customWidth="1"/>
    <col min="26" max="30" width="14.42578125" customWidth="1"/>
    <col min="31" max="31" width="10" customWidth="1"/>
    <col min="32" max="35" width="14.42578125" customWidth="1"/>
    <col min="36" max="42" width="15.42578125" customWidth="1"/>
    <col min="43" max="43" width="14.5703125" customWidth="1"/>
    <col min="44" max="44" width="14.7109375" customWidth="1"/>
  </cols>
  <sheetData>
    <row r="1" spans="1:44" ht="15" customHeight="1" x14ac:dyDescent="0.25">
      <c r="A1" s="6" t="s">
        <v>89</v>
      </c>
      <c r="M1" t="s">
        <v>1</v>
      </c>
      <c r="N1" s="7">
        <v>5.9900000000000002E-2</v>
      </c>
    </row>
    <row r="2" spans="1:44" ht="15" customHeight="1" x14ac:dyDescent="0.25">
      <c r="A2" s="6"/>
    </row>
    <row r="3" spans="1:44" ht="15" customHeight="1" x14ac:dyDescent="0.25">
      <c r="M3" s="2" t="s">
        <v>90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M7" s="1" t="s">
        <v>20</v>
      </c>
      <c r="N7" s="1"/>
      <c r="O7" s="5"/>
      <c r="P7" s="4">
        <f>((D5+E5)*P5)</f>
        <v>0</v>
      </c>
      <c r="Q7" s="4">
        <f>((D6+E6+P7+P8)*Q5)</f>
        <v>0</v>
      </c>
      <c r="R7" s="4">
        <f>((D7+E7+Q7+P7+P8+Q8)*R5)</f>
        <v>0</v>
      </c>
      <c r="S7" s="4">
        <f>((D8+E8+R7+Q7+P7+SUM($P$8:R8))*S5)</f>
        <v>0</v>
      </c>
      <c r="T7" s="4">
        <f>((D9+E9+S7+R7+Q7+P7+SUM($P$8:S8))*T5)</f>
        <v>0</v>
      </c>
      <c r="U7" s="4">
        <f>((D10+E10+T7+S7+R7+Q7+P7+SUM($P$8:T8))*U5)</f>
        <v>0</v>
      </c>
      <c r="V7" s="4">
        <f>((D11+E11+U7+T7+S7+R7+Q7+P7+SUM($P$8:U8))*V5)</f>
        <v>0</v>
      </c>
      <c r="W7" s="4">
        <f>((D12+E12+V7+U7+T7+S7+R7+Q7+P7+SUM($P$8:V8))*W5)</f>
        <v>0</v>
      </c>
      <c r="X7" s="4">
        <f>((D13+E13+W7+V7+U7+T7+S7+R7+Q7+P7+SUM($P$8:W8))*X5)</f>
        <v>43635.056556000003</v>
      </c>
      <c r="Y7" s="4">
        <f>((D14+E14+X7+W7+V7+U7+T7+S7+R7+Q7+P7+SUM($P$8:X8))*Y5)</f>
        <v>32503.895098736404</v>
      </c>
      <c r="Z7" s="4">
        <f>((E14+F14+Y7+X7+W7+V7+U7+T7+S7+R7+Q7+P7+SUM($P$8:Y8))*Z5)</f>
        <v>19069.36076634872</v>
      </c>
      <c r="AA7" s="4">
        <f>((D16+E16+Z7+Y7+X7+W7+V7+U7+T7+S7+R7+P7+Q7+SUM($P$8:Z8))*AA5)</f>
        <v>37887.452419650392</v>
      </c>
      <c r="AB7" s="4">
        <f>((D17+E17+AA7+Z7+Y7+X7+W7+V7+U7+T7+S7+P7+Q7+R7+SUM($P$8:AA8))*AB5)</f>
        <v>61199.321688653399</v>
      </c>
      <c r="AC7" s="4">
        <f>((D18+E18+AB7+AA7+Z7+Y7+X7+W7+V7+U7+T7+S7+R7+Q7+P7+SUM($P$8:AB8))*AC5)</f>
        <v>102643.60897411166</v>
      </c>
      <c r="AD7" s="4">
        <f>((D19+E19+AC7+AB7+AA7+Z7+Y7+X7+W7+V7+U7+T7+S7+R7+Q7+P7+SUM($P$8:AC8))*AD5)</f>
        <v>165889.4238847169</v>
      </c>
      <c r="AE7" s="4">
        <f>((D20+E20+AD7+AC7+AB7+AA7+Z7+Y7+X7+W7+V7+U7+T7+S7+R7+Q7+P7+SUM($P$8:AD8))*AE5)</f>
        <v>147392.73040298416</v>
      </c>
      <c r="AF7" s="4">
        <f>((E20+F20+AE7+AD7+AC7+AB7+AA7+Z7+Y7+X7+W7+V7+U7+T7+S7+R7+Q7+P7+SUM($P$8:AE8))*AF5)</f>
        <v>47562.688239446186</v>
      </c>
      <c r="AG7" s="4">
        <f>((D22+E22+AF7+AE7+AD7+AC7+AB7+AA7+Z7+Y7+X7+W7+V7+U7+T7+R7+S7+Q7+P7+SUM($P$8:AF8))*AG5)</f>
        <v>300056.66818871623</v>
      </c>
      <c r="AH7" s="4">
        <f>((E22+F22+AG7+AF7+AE7+AD7+AC7+AB7+AA7+Z7+Y7+X7+W7+V7+U7+S7+T7+R7+Q7+P7+SUM($P$8:AG8))*AH5)</f>
        <v>78702.605094826242</v>
      </c>
      <c r="AI7" s="4">
        <f>((F22+G22+AH7+AG7+AF7+AE7+AD7+AC7+AB7+AA7+Z7+Y7+X7+W7+V7+T7+U7+S7+R7+Q7+P7+SUM($P$8:AH8))*AI5)</f>
        <v>116534.96238177911</v>
      </c>
      <c r="AJ7" s="4">
        <f>((G22+H22+AI7+AH7+AG7+AF7+AE7+AD7+AC7+AB7+AA7+Z7+Y7+X7+W7+U7+V7+T7+S7+R7+Q7+P7+SUM($P$8:AI8))*AJ5)</f>
        <v>75104.584400586202</v>
      </c>
      <c r="AK7" s="4">
        <f>((H22+I22+AJ7+AI7+AH7+AG7+AF7+AE7+AD7+AC7+AB7+AA7+Z7+Y7+X7+V7+W7+U7+T7+S7+R7+Q7+P7+SUM($P$8:AJ8))*AK5)</f>
        <v>45844.873270637378</v>
      </c>
      <c r="AL7" s="4">
        <f>((D27+E27+AK7+AJ7+AI7+AH7+AG7+AF7+AE7+AD7+AC7++AB7+AA7+Z7+Y7+X7+W7+V7+U7+T7+S7+R7+Q7+P7+SUM($P$8:AK8))*AL5)</f>
        <v>238513.48699751968</v>
      </c>
      <c r="AM7" s="4">
        <f>((E27+F27+AL7+AK7+AJ7+AI7+AH7+AG7+AF7+AE7+AD7++AC7+AB7+AA7+Z7+Y7+X7+W7+V7+U7+T7+S7+R7+Q7+P7+SUM($P$8:AL8))*AM5)</f>
        <v>90989.901917909097</v>
      </c>
      <c r="AN7" s="4">
        <f>((F27+G27+AM7+AL7+AK7+AJ7+AI7+AH7+AG7+AF7+AE7++AD7+AC7+AB7+AA7+Z7+Y7+X7+W7+V7+U7+T7+S7+R7+Q7+P7+SUM($P$8:AM8))*AN5)</f>
        <v>90007.007143774492</v>
      </c>
      <c r="AO7" s="4">
        <f>((G27+H27+AN7+AM7+AL7+AK7+AJ7+AI7+AH7+AG7+AF7++AE7+AD7+AC7+AB7+AA7+Z7+Y7+X7+W7+V7+U7+T7+S7+R7+Q7+P7+SUM($P$8:AN8))*AO5)</f>
        <v>166772.76827801552</v>
      </c>
      <c r="AP7" s="4">
        <f>((H27+I27+AO7+AN7+AM7+AL7+AK7+AJ7+AI7+AH7+AG7++AF7+AE7+AD7+AC7+AB7+AA7+Z7+Y7+X7+W7+V7+U7+T7+S7+R7+Q7+P7+SUM($P$8:AO8))*AP5)</f>
        <v>153284.08473141998</v>
      </c>
      <c r="AQ7" s="4">
        <f>((I27+J27+AP7+AO7+AN7+AM7+AL7+AK7+AJ7+AI7+AH7++AG7+AF7+AE7+AD7+AC7+AB7+AA7+Z7+Y7+X7+W7+V7+U7+T7+S7+R7+Q7+P7+SUM($P$8:AP8))*AQ5)</f>
        <v>153823.05815836127</v>
      </c>
      <c r="AR7" s="4">
        <f>((J27+K27+AQ7+AP7+AO7+AN7+AM7+AL7+AK7+AJ7+AI7++AH7+AG7+AF7+AE7+AD7+AC7+AB7+AA7+Z7+Y7+X7+W7+V7+U7+T7+S7+R7+Q7+P7+SUM($P$8:AQ8))*AR5)</f>
        <v>809220.49848588661</v>
      </c>
    </row>
    <row r="8" spans="1:44" ht="15" customHeight="1" x14ac:dyDescent="0.25">
      <c r="A8" s="13" t="s">
        <v>21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M8" s="1" t="s">
        <v>22</v>
      </c>
      <c r="N8" s="1"/>
      <c r="O8" s="4"/>
      <c r="P8" s="4">
        <f>((D6+E6)-(D5+E5))*(P5^1/2)</f>
        <v>0</v>
      </c>
      <c r="Q8" s="4">
        <f>((D7+E7)-(D6+E6))*(Q5^1/2)</f>
        <v>0</v>
      </c>
      <c r="R8" s="4">
        <f>((D8+E8)-(D7+E7))*(R5^1/2)</f>
        <v>0</v>
      </c>
      <c r="S8" s="4">
        <f>((D9+E9)-(D8+E8))*(S5^1/2)</f>
        <v>0</v>
      </c>
      <c r="T8" s="4">
        <f>((D10+E10)-(D9+E9))*(T5^1/2)</f>
        <v>0</v>
      </c>
      <c r="U8" s="4">
        <f>((D11+E11)-(D10+E10))*(U5^1/2)</f>
        <v>0</v>
      </c>
      <c r="V8" s="4">
        <f>((D12+E12)-(D11+E11))*(V5^1/2)</f>
        <v>0</v>
      </c>
      <c r="W8" s="4">
        <f>((D13+E13)-(D12+E12))*(W5^1/2)</f>
        <v>25511.481</v>
      </c>
      <c r="X8" s="4">
        <f>((D14+E14)-(D13+E13))*(X5^1/2)</f>
        <v>-1703.578</v>
      </c>
      <c r="Y8" s="4">
        <f>((D15+E15)-(D14+E14))*(Y5^1/2)</f>
        <v>3554.62835</v>
      </c>
      <c r="Z8" s="4">
        <f>((E15+F15)-(E14+F14))*(Z5^1/2)</f>
        <v>1961.6050999999998</v>
      </c>
      <c r="AA8" s="4">
        <f>((D17+E17)-(D16+E16))*(AA5^1/2)</f>
        <v>3269.7375000000002</v>
      </c>
      <c r="AB8" s="4">
        <f>((D18+E18)-(D17+E17))*(AB5^1/2)</f>
        <v>36765.289499999999</v>
      </c>
      <c r="AC8" s="4">
        <f>((D19+E19)-(D18+E18))*(AC5^1/2)</f>
        <v>6808.7871500000001</v>
      </c>
      <c r="AD8" s="4">
        <f>((D20+E20)-(D19+E19))*(AD5/2)</f>
        <v>-20241.60225</v>
      </c>
      <c r="AE8" s="4">
        <f>((D21+E21)-(D20+E20))*(AE5^1/2)</f>
        <v>5816.3950000000004</v>
      </c>
      <c r="AF8" s="4">
        <f>((D22+E22)-(D21+E21))*(AF5^1/2)</f>
        <v>68936.703200000004</v>
      </c>
      <c r="AG8" s="4">
        <f>((D23+E23)-(D22+E22))*(AG5^1/2)</f>
        <v>-5058.9008999999996</v>
      </c>
      <c r="AH8" s="4">
        <f>((D24+E24)-(D23+E23))*(AH5^1/2)</f>
        <v>3314.6110000000003</v>
      </c>
      <c r="AI8" s="4">
        <f>((D25+E25)-(D24+E24))*(AI5^1/2)</f>
        <v>-4943.8378000000002</v>
      </c>
      <c r="AJ8" s="4">
        <f>((D26+E26)-(D25+E25))*(AJ5^1/2)</f>
        <v>16643.465799999998</v>
      </c>
      <c r="AK8" s="4">
        <f>((D27+E27)-(D26+E26))*(AK5/2)</f>
        <v>4190.6372499999998</v>
      </c>
      <c r="AL8" s="4">
        <f>((D28+E28)-(D27+E27))*(AL5^1/2)</f>
        <v>21044.474999999999</v>
      </c>
      <c r="AM8" s="4">
        <f>((D29+E29)-(D28+E28))*(AM5^1/2)</f>
        <v>63758.950599999996</v>
      </c>
      <c r="AN8" s="4">
        <f>((D30+E30)-(D29+E29))*(AN5^1/2)</f>
        <v>-1469.3616</v>
      </c>
      <c r="AO8" s="4">
        <f>((D31+E31)-(D30+E30))*(AO5^1/2)</f>
        <v>360179.28659999999</v>
      </c>
      <c r="AP8" s="4">
        <f>((D32+E32)-(D31+E31))*(AP5^1/2)</f>
        <v>528814.94339999999</v>
      </c>
      <c r="AQ8" s="4">
        <f>((D32+E32)-(D31+E31))*(AQ5^1/2)</f>
        <v>421955.96519999998</v>
      </c>
      <c r="AR8" s="4">
        <f>((E32+F32)-(E31+F31))*(AR5^1/2)</f>
        <v>113835.87915000001</v>
      </c>
    </row>
    <row r="9" spans="1:44" ht="15" customHeight="1" x14ac:dyDescent="0.25">
      <c r="A9" s="13" t="s">
        <v>23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M9" s="1" t="s">
        <v>24</v>
      </c>
      <c r="N9" s="1"/>
      <c r="O9" s="4"/>
      <c r="P9" s="4">
        <f>+B5*P5</f>
        <v>0</v>
      </c>
      <c r="Q9" s="4">
        <f>+(B6+P9+P10+P14)*Q5</f>
        <v>0</v>
      </c>
      <c r="R9" s="4">
        <f>+(B7+Q9+P9+P10+Q10+P14+Q14)*R5</f>
        <v>0</v>
      </c>
      <c r="S9" s="4">
        <f>+(B8+R9+Q9+P9+P10+Q10+R10+P14+Q14+R14)*S5</f>
        <v>0</v>
      </c>
      <c r="T9" s="4">
        <f>+(B9+S9+R9+Q9+P9+P10+Q10+R10+S10+P14+Q14+R14+S14)*T5</f>
        <v>0</v>
      </c>
      <c r="U9" s="4">
        <f>+(B10+T9+S9+R9+Q9+P9+P10+Q10+R10+S10+T10+P14+Q14+R14+S14+T14)*U5</f>
        <v>0</v>
      </c>
      <c r="V9" s="4">
        <f>+(B11+U9+T9+S9+R9+Q9+P9+P10+Q10+R10+S10+T10+U10+P14+Q14+R14+S14+T14+U14)*V5</f>
        <v>0</v>
      </c>
      <c r="W9" s="4">
        <f>+(B12+V9+U9+T9+S9+R9+Q9+P9+P10+Q10+R10+S10+T10+U10+V10+P14+Q14+R14+S14+T14+U14+V14)*W5</f>
        <v>0</v>
      </c>
      <c r="X9" s="4">
        <f>+(B13+W9+V9+U9+T9+S9+R9+Q9+P9+P10+Q10+R10+S10+T10+U10+V10+W10+P14+Q14+R14+S14+T14+U14+V14+W14)*X5</f>
        <v>10520.792556</v>
      </c>
      <c r="Y9" s="4">
        <f>+(B14+X9+W9+V9+U9+T9+S9+R9+Q9+P9+P10+Q10+R10+S10+T10+U10+V10+W10+X10+P14+Q14+R14+S14+T14+U14+V14+W14+X14)*Y5</f>
        <v>22830.594884207949</v>
      </c>
      <c r="Z9" s="4">
        <f>+(B15+Y9+X9+W9+V9+U9+T9+S9+R9+Q9+P9+P10+Q10+R10+S10+T10+U10+V10+W10+X10+Y10+P14+Q14+R14+S14+T14+U14+V14+W14+X14+Y14)*Z5</f>
        <v>19546.52387313795</v>
      </c>
      <c r="AA9" s="4">
        <f>+(B16+Z9+Y9+X9+W9+V9+U9+T9+S9+R9+Q9+P9+P10+Q10+R10+S10+T10+U10+V10+W10+X10+Y10+Z10+P14+Q14+R14+S14+T14+U14+V14+W14+X14+Y14+Z14)*AA5</f>
        <v>37297.848507430106</v>
      </c>
      <c r="AB9" s="4">
        <f>+(B17+AA9+Z9+Y9+X9+W9+V9+U9+T9+S9+R9+Q9+P9+P10+Q10+R10+S10+T10+U10+V10+W10+X10+Y10+Z10+AA10+P14+Q14+R14+S14+T14+U14+V14+W14+X14+Y14+Z14+AA14)*AB5</f>
        <v>51408.787017857489</v>
      </c>
      <c r="AC9" s="4">
        <f>+(B18+AB9+AA9+Z9+Y9+X9+W9+V9+U9+T9+S9+R9+Q9+P9+P10+Q10+R10+S10+T10+U10+V10+W10+X10+Y10+Z10+AA10+AB10+P14+Q14+R14+S14+T14+U14+V14+W14+X14+Y14+Z14+AA14+AB14)*AC5</f>
        <v>57414.786482125739</v>
      </c>
      <c r="AD9" s="4">
        <f>+(B19+AC9+AB9+AA9+Z9+Y9+X9+W9+V9+U9+T9+S9+R9+Q9+P9+P10+Q10+R10+S10+T10+U10+V10+W10+X10+Y10+Z10+AA10+AB10+AC10+P14+Q14+R14+S14+T14+U14+V14+W14+X14+Y14+Z14+AA14+AB14+AC14)*AD5</f>
        <v>88880.540054694851</v>
      </c>
      <c r="AE9" s="4">
        <f>+(B20+AD9+AC9+AB9+AA9+Z9+Y9+X9+W9+V9+U9+T9+S9+R9+Q9+P9+P10+Q10+R10+S10+T10+U10+V10+W10+X10+Y10+Z10+AA10+AB10+AC10+AD10+P14+Q14+S14++R14+T14+U14+V14+W14+X14+Y14+Z14+AA14+AB14+AC14+AD14)*AE5</f>
        <v>111332.99771015377</v>
      </c>
      <c r="AF9" s="4">
        <f>+(B21+AE9+AD9+AC9+AB9+AA9+Z9+Y9+X9+W9+V9+U9+T9+S9+R9+Q9+P9+P10+Q10+R10+S10+T10+U10+V10+W10+X10+Y10+Z10+AA10+AB10+AC10+AD10+AE10+P14+Q14+R14+S14+T14+U14+V14+W14+X14+Y14+Z14+AA14+AB14+AC14+AD14+AE14)*AF5</f>
        <v>106086.67566729221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186345.64263778253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206109.67363813697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394553.78329839034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274006.59787535697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144072.30488990687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209175.95452382974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281105.13592969906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408826.62157524208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1138948.5786703813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808108.75609859522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843956.6908655701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1112805.0520825686</v>
      </c>
    </row>
    <row r="10" spans="1:44" ht="15" customHeight="1" x14ac:dyDescent="0.25">
      <c r="A10" s="13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M10" s="22" t="s">
        <v>26</v>
      </c>
      <c r="N10" s="22"/>
      <c r="O10" s="23"/>
      <c r="P10" s="23">
        <f>((B6-B5)*(P5^1/2))</f>
        <v>0</v>
      </c>
      <c r="Q10" s="23">
        <f>((B7-B6)*(Q5^1/2))</f>
        <v>0</v>
      </c>
      <c r="R10" s="23">
        <f>((B8-B7)*(R5/2))</f>
        <v>0</v>
      </c>
      <c r="S10" s="23"/>
      <c r="T10" s="23">
        <f>((B10-B9)*(T5^1/2))</f>
        <v>0</v>
      </c>
      <c r="U10" s="23">
        <f>((B11-B10)*(U5^1/2))</f>
        <v>0</v>
      </c>
      <c r="V10" s="23">
        <f>((B12-B11)*(V5^1/2))</f>
        <v>0</v>
      </c>
      <c r="W10" s="23"/>
      <c r="X10" s="23"/>
      <c r="Y10" s="23">
        <f>((B15-B14)*(Y5/2))</f>
        <v>5393.9493000000002</v>
      </c>
      <c r="Z10" s="23">
        <f>((B16-B15)*(Z5/2))</f>
        <v>3132.1656999999996</v>
      </c>
      <c r="AA10" s="23">
        <f>((B17-B16)*(AA5/2))</f>
        <v>50.8217</v>
      </c>
      <c r="AB10" s="23">
        <f>((B18-B17)*(AB5^1/2))</f>
        <v>11042.144999999999</v>
      </c>
      <c r="AC10" s="23">
        <f>((B19-B18)*(AC5^1/2))</f>
        <v>1732.94325</v>
      </c>
      <c r="AD10" s="23">
        <f>((B20-B19)*(AD5/2))</f>
        <v>2641.0608000000002</v>
      </c>
      <c r="AE10" s="23">
        <f>((B21-B20)*(AE5^1/2))</f>
        <v>-402.15500000000003</v>
      </c>
      <c r="AF10" s="23">
        <f>((B22-B21)*(AF5^1/2))</f>
        <v>37054.274400000002</v>
      </c>
      <c r="AG10" s="23">
        <f>((B23-B22)*(AG5/2))</f>
        <v>-5122.5515999999998</v>
      </c>
      <c r="AH10" s="23">
        <f>((B24-B23)*(AH5/2))</f>
        <v>15454.317700000001</v>
      </c>
      <c r="AI10" s="23">
        <f>((B25-B24)*(AI5^1/2))</f>
        <v>34297.914750000004</v>
      </c>
      <c r="AJ10" s="23">
        <f>((B26-B25)*(AJ5/2))</f>
        <v>17132.261699999999</v>
      </c>
      <c r="AK10" s="23">
        <f>((B27-B26)*(AK5/2))</f>
        <v>11240.783249999999</v>
      </c>
      <c r="AL10" s="23">
        <f>((B28-B27)*(AL5^1/2))</f>
        <v>15186.506249999999</v>
      </c>
      <c r="AM10" s="23">
        <f>((B29-B28)*(AM5/2))</f>
        <v>54194.909749999999</v>
      </c>
      <c r="AN10" s="23">
        <f>((B30-B29)*(AN5/2))</f>
        <v>53144.193799999994</v>
      </c>
      <c r="AO10" s="23">
        <f>((B31-B30)*(AO5/2))</f>
        <v>115386.74129999999</v>
      </c>
      <c r="AP10" s="23">
        <f>((B32-B31)*(AP5^1/2))</f>
        <v>111688.86840000001</v>
      </c>
      <c r="AQ10" s="23">
        <f>((C32-C31)*(AQ5/2))</f>
        <v>-53605.605899999995</v>
      </c>
      <c r="AR10" s="23">
        <f>((D32-D31)*(AR5^1/2))</f>
        <v>323833.2426</v>
      </c>
    </row>
    <row r="11" spans="1:44" ht="15" customHeight="1" x14ac:dyDescent="0.25">
      <c r="A11" s="13" t="s">
        <v>27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M12" s="1" t="s">
        <v>30</v>
      </c>
      <c r="N12" s="1"/>
      <c r="O12" s="1"/>
      <c r="P12" s="4">
        <v>0</v>
      </c>
      <c r="Q12" s="24">
        <f>-($P$7+$P$8)*$N$1</f>
        <v>0</v>
      </c>
      <c r="R12" s="24">
        <f>-((($P$7+$P$8)*(1+Q5))+($Q$7+$Q$8))*N1</f>
        <v>0</v>
      </c>
      <c r="S12" s="24">
        <f>-((($P$7+$P$8)*(1+Q5)*(1+R5))+(($Q$7+$Q$8)*(1+R5))+((R7+R8)))*$N$1</f>
        <v>0</v>
      </c>
      <c r="T12" s="24">
        <f>-((($P$7+$P$8)*(1+R5)*(1+S5)*(1+Q5))+(($Q$7+$Q$8)*(1+S5)*(1+R5))+((R7+R8)*(1+S5))+((S7+S8)))*$N$1</f>
        <v>0</v>
      </c>
      <c r="U12" s="24">
        <f>-((($P$7+$P$8)*(1+T5)*(1+R5)*(1+S5)*(1+Q5))+(($Q$7+$Q$8)*(1+T5)*(1+S5)*(1+R5))+((R7+R8)*(1+S5)*(1+T5))+((S7+S8)*(1+T5))+(T7+T8))*$N$1</f>
        <v>0</v>
      </c>
      <c r="V12" s="24">
        <f>-((($P$7+$P$8)*(1+U5)*(1+S5)*(1+T5)*(1+R5)*(1+Q5))+(($Q$7+$Q$8)*(1+U5)*(1+T5)*(1+S5)*(1+R5))+(($R$7+$R$8)*(1+U5)*(1+T5)*(1+S5))+((S7+S8)*(1+T5)*(1+U5))+((T7+T8)*(1+U5))+(U7+U8))*$N$1</f>
        <v>0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0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-1528.1377119000001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-4155.9717435088005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-6552.3520902937616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-8017.8508013232768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-10840.762623249351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-17348.4478282214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-24652.364457452033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-34833.623712806984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-46275.035865778191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-55955.811507562474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-76933.166228253496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-86777.413427564665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-102467.61329272488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-114525.49973037028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-120838.06219101576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-140847.49156057794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-156267.65981846364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-168550.03439718668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-217037.07526373406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-270204.35146396316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-261394.84869311252</v>
      </c>
    </row>
    <row r="13" spans="1:44" ht="15" customHeight="1" x14ac:dyDescent="0.25">
      <c r="A13" s="13" t="s">
        <v>31</v>
      </c>
      <c r="B13" s="16">
        <v>112920</v>
      </c>
      <c r="C13" s="16">
        <v>-57219</v>
      </c>
      <c r="D13" s="15">
        <v>0</v>
      </c>
      <c r="E13" s="16">
        <v>548634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M13" t="s">
        <v>32</v>
      </c>
      <c r="P13">
        <v>0</v>
      </c>
      <c r="Q13" s="24">
        <f t="shared" ref="Q13:AR13" si="0">Q12*Q5</f>
        <v>0</v>
      </c>
      <c r="R13" s="24">
        <f t="shared" si="0"/>
        <v>0</v>
      </c>
      <c r="S13" s="24">
        <f t="shared" si="0"/>
        <v>0</v>
      </c>
      <c r="T13" s="24">
        <f t="shared" si="0"/>
        <v>0</v>
      </c>
      <c r="U13" s="24">
        <f t="shared" si="0"/>
        <v>0</v>
      </c>
      <c r="V13" s="24">
        <f t="shared" si="0"/>
        <v>0</v>
      </c>
      <c r="W13" s="24">
        <f t="shared" si="0"/>
        <v>0</v>
      </c>
      <c r="X13" s="24">
        <f t="shared" si="0"/>
        <v>-116.13846610440001</v>
      </c>
      <c r="Y13" s="24">
        <f t="shared" si="0"/>
        <v>-236.47479220565074</v>
      </c>
      <c r="Z13" s="24">
        <f t="shared" si="0"/>
        <v>-205.74385563522409</v>
      </c>
      <c r="AA13" s="24">
        <f t="shared" si="0"/>
        <v>-357.59614573901814</v>
      </c>
      <c r="AB13" s="24">
        <f t="shared" si="0"/>
        <v>-639.60499477171174</v>
      </c>
      <c r="AC13" s="24">
        <f t="shared" si="0"/>
        <v>-747.71810139634238</v>
      </c>
      <c r="AD13" s="24">
        <f t="shared" si="0"/>
        <v>-1456.9547394354151</v>
      </c>
      <c r="AE13" s="24">
        <f t="shared" si="0"/>
        <v>-2264.1855413324542</v>
      </c>
      <c r="AF13" s="24">
        <f t="shared" si="0"/>
        <v>-2702.4620945614465</v>
      </c>
      <c r="AG13" s="24">
        <f t="shared" si="0"/>
        <v>-3306.9884600969422</v>
      </c>
      <c r="AH13" s="24">
        <f t="shared" si="0"/>
        <v>-4931.4159552310493</v>
      </c>
      <c r="AI13" s="24">
        <f t="shared" si="0"/>
        <v>-9259.1500127211493</v>
      </c>
      <c r="AJ13" s="24">
        <f t="shared" si="0"/>
        <v>-6445.212876112395</v>
      </c>
      <c r="AK13" s="24">
        <f t="shared" si="0"/>
        <v>-3378.5022420459231</v>
      </c>
      <c r="AL13" s="24">
        <f t="shared" si="0"/>
        <v>-4531.4273321630908</v>
      </c>
      <c r="AM13" s="24">
        <f t="shared" si="0"/>
        <v>-6070.5268862609091</v>
      </c>
      <c r="AN13" s="24">
        <f t="shared" si="0"/>
        <v>-7063.2982237945562</v>
      </c>
      <c r="AO13" s="24">
        <f t="shared" si="0"/>
        <v>-16956.133460356978</v>
      </c>
      <c r="AP13" s="24">
        <f t="shared" si="0"/>
        <v>-12566.446657770202</v>
      </c>
      <c r="AQ13" s="24">
        <f t="shared" si="0"/>
        <v>-12483.441037635097</v>
      </c>
      <c r="AR13" s="24">
        <f t="shared" si="0"/>
        <v>-12625.371191877335</v>
      </c>
    </row>
    <row r="14" spans="1:44" ht="15" customHeight="1" x14ac:dyDescent="0.25">
      <c r="A14" s="13" t="s">
        <v>33</v>
      </c>
      <c r="B14" s="16">
        <v>335442</v>
      </c>
      <c r="C14" s="16">
        <v>122928</v>
      </c>
      <c r="D14" s="15">
        <v>0</v>
      </c>
      <c r="E14" s="16">
        <v>503803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M14" s="39" t="s">
        <v>34</v>
      </c>
      <c r="N14" s="39"/>
      <c r="O14" s="40"/>
      <c r="P14" s="40">
        <f t="shared" ref="P14:AR14" si="1">(P7+P8)-(P9+P10)+P12+P13</f>
        <v>0</v>
      </c>
      <c r="Q14" s="40">
        <f t="shared" si="1"/>
        <v>0</v>
      </c>
      <c r="R14" s="40">
        <f t="shared" si="1"/>
        <v>0</v>
      </c>
      <c r="S14" s="40">
        <f t="shared" si="1"/>
        <v>0</v>
      </c>
      <c r="T14" s="40">
        <f t="shared" si="1"/>
        <v>0</v>
      </c>
      <c r="U14" s="40">
        <f t="shared" si="1"/>
        <v>0</v>
      </c>
      <c r="V14" s="40">
        <f t="shared" si="1"/>
        <v>0</v>
      </c>
      <c r="W14" s="40">
        <f t="shared" si="1"/>
        <v>25511.481</v>
      </c>
      <c r="X14" s="40">
        <f t="shared" si="1"/>
        <v>29766.409821995603</v>
      </c>
      <c r="Y14" s="40">
        <f t="shared" si="1"/>
        <v>3441.5327288140065</v>
      </c>
      <c r="Z14" s="40">
        <f t="shared" si="1"/>
        <v>-8405.8196527182135</v>
      </c>
      <c r="AA14" s="40">
        <f t="shared" si="1"/>
        <v>-4566.9272348420072</v>
      </c>
      <c r="AB14" s="40">
        <f t="shared" si="1"/>
        <v>24033.311552774845</v>
      </c>
      <c r="AC14" s="40">
        <f t="shared" si="1"/>
        <v>32208.500462368189</v>
      </c>
      <c r="AD14" s="40">
        <f t="shared" si="1"/>
        <v>28016.901583134601</v>
      </c>
      <c r="AE14" s="40">
        <f t="shared" si="1"/>
        <v>5180.4734386909458</v>
      </c>
      <c r="AF14" s="40">
        <f t="shared" si="1"/>
        <v>-75619.056588185646</v>
      </c>
      <c r="AG14" s="40">
        <f t="shared" si="1"/>
        <v>54511.87628327428</v>
      </c>
      <c r="AH14" s="40">
        <f t="shared" si="1"/>
        <v>-221411.35742679529</v>
      </c>
      <c r="AI14" s="40">
        <f t="shared" si="1"/>
        <v>-413297.13690689701</v>
      </c>
      <c r="AJ14" s="40">
        <f t="shared" si="1"/>
        <v>-308303.63554360799</v>
      </c>
      <c r="AK14" s="40">
        <f t="shared" si="1"/>
        <v>-223181.5795916857</v>
      </c>
      <c r="AL14" s="40">
        <f t="shared" si="1"/>
        <v>-90173.988299488919</v>
      </c>
      <c r="AM14" s="40">
        <f t="shared" si="1"/>
        <v>-327469.2116086288</v>
      </c>
      <c r="AN14" s="40">
        <f t="shared" si="1"/>
        <v>-536764.12787372584</v>
      </c>
      <c r="AO14" s="40">
        <f t="shared" si="1"/>
        <v>-912889.43294990959</v>
      </c>
      <c r="AP14" s="40">
        <f t="shared" si="1"/>
        <v>-467302.11828867951</v>
      </c>
      <c r="AQ14" s="40">
        <f t="shared" si="1"/>
        <v>-497259.85410880717</v>
      </c>
      <c r="AR14" s="40">
        <f t="shared" si="1"/>
        <v>-787602.13693167176</v>
      </c>
    </row>
    <row r="15" spans="1:44" ht="15" customHeight="1" x14ac:dyDescent="0.25">
      <c r="A15" s="13" t="s">
        <v>35</v>
      </c>
      <c r="B15" s="14">
        <v>525036</v>
      </c>
      <c r="C15" s="14">
        <v>228844</v>
      </c>
      <c r="D15" s="15">
        <v>0</v>
      </c>
      <c r="E15" s="14">
        <v>628746</v>
      </c>
      <c r="F15" s="15">
        <v>0</v>
      </c>
      <c r="G15" s="15">
        <v>0</v>
      </c>
      <c r="H15" s="15">
        <v>0</v>
      </c>
      <c r="I15" s="14">
        <v>566861</v>
      </c>
      <c r="J15" s="15">
        <v>0</v>
      </c>
      <c r="K15" s="15">
        <v>0</v>
      </c>
    </row>
    <row r="16" spans="1:44" ht="15" customHeight="1" x14ac:dyDescent="0.25">
      <c r="A16" s="13" t="s">
        <v>36</v>
      </c>
      <c r="B16" s="14">
        <v>724537</v>
      </c>
      <c r="C16" s="14">
        <v>125410</v>
      </c>
      <c r="D16" s="15">
        <v>0</v>
      </c>
      <c r="E16" s="14">
        <v>724962</v>
      </c>
      <c r="F16" s="15">
        <v>0</v>
      </c>
      <c r="G16" s="15">
        <v>0</v>
      </c>
      <c r="H16" s="15">
        <v>0</v>
      </c>
      <c r="I16" s="14">
        <v>196675</v>
      </c>
      <c r="J16" s="15">
        <v>0</v>
      </c>
      <c r="K16" s="14">
        <v>1235774.5833000001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726816</v>
      </c>
      <c r="C17" s="14">
        <v>154444</v>
      </c>
      <c r="D17" s="15">
        <v>0</v>
      </c>
      <c r="E17" s="14">
        <v>871587</v>
      </c>
      <c r="F17" s="15">
        <v>0</v>
      </c>
      <c r="G17" s="14">
        <v>-164848</v>
      </c>
      <c r="H17" s="15">
        <v>0</v>
      </c>
      <c r="I17" s="14">
        <v>200557</v>
      </c>
      <c r="J17" s="15">
        <v>0</v>
      </c>
      <c r="K17" s="14">
        <v>1238810.5053999999</v>
      </c>
      <c r="L17" s="41" t="str">
        <f>+L19</f>
        <v>Equatorial ON</v>
      </c>
      <c r="M17" s="2" t="s">
        <v>38</v>
      </c>
      <c r="N17" s="2"/>
      <c r="O17" s="28"/>
      <c r="P17" s="42">
        <f>+C6</f>
        <v>0</v>
      </c>
      <c r="Q17" s="42">
        <f>C7</f>
        <v>0</v>
      </c>
      <c r="R17" s="42">
        <f>C8</f>
        <v>0</v>
      </c>
      <c r="S17" s="42">
        <f>C9</f>
        <v>0</v>
      </c>
      <c r="T17" s="42">
        <f>C10</f>
        <v>0</v>
      </c>
      <c r="U17" s="42">
        <f>C11</f>
        <v>0</v>
      </c>
      <c r="V17" s="42"/>
      <c r="W17" s="42"/>
      <c r="X17" s="42"/>
      <c r="Y17" s="42">
        <f>C15</f>
        <v>228844</v>
      </c>
      <c r="Z17" s="42">
        <f>C16</f>
        <v>125410</v>
      </c>
      <c r="AA17" s="42">
        <f>C17</f>
        <v>154444</v>
      </c>
      <c r="AB17" s="42">
        <f>C18</f>
        <v>300114</v>
      </c>
      <c r="AC17" s="42">
        <f>C19</f>
        <v>207283</v>
      </c>
      <c r="AD17" s="42">
        <f>C20</f>
        <v>188871</v>
      </c>
      <c r="AE17" s="42">
        <f>C21</f>
        <v>159996</v>
      </c>
      <c r="AF17" s="42">
        <f>C22</f>
        <v>140995</v>
      </c>
      <c r="AG17" s="42">
        <f>C23</f>
        <v>68637</v>
      </c>
      <c r="AH17" s="42">
        <f>C24</f>
        <v>637756</v>
      </c>
      <c r="AI17" s="42">
        <f>C25</f>
        <v>808482</v>
      </c>
      <c r="AJ17" s="42">
        <f>C26</f>
        <v>712217</v>
      </c>
      <c r="AK17" s="42">
        <f>C27</f>
        <v>997263</v>
      </c>
      <c r="AL17" s="42">
        <f>C28</f>
        <v>917935</v>
      </c>
      <c r="AM17" s="42">
        <f>C29</f>
        <v>2415630</v>
      </c>
      <c r="AN17" s="42">
        <f>C30</f>
        <v>2975089</v>
      </c>
      <c r="AO17" s="42">
        <f>C31</f>
        <v>3694527</v>
      </c>
      <c r="AP17" s="42">
        <f>C32</f>
        <v>1373938</v>
      </c>
      <c r="AQ17" s="42">
        <f>D32</f>
        <v>29245320</v>
      </c>
      <c r="AR17" s="42">
        <f>E32</f>
        <v>5139309</v>
      </c>
    </row>
    <row r="18" spans="1:44" ht="15" customHeight="1" x14ac:dyDescent="0.25">
      <c r="A18" s="13" t="s">
        <v>39</v>
      </c>
      <c r="B18" s="14">
        <v>1101126</v>
      </c>
      <c r="C18" s="14">
        <v>300114</v>
      </c>
      <c r="D18" s="15">
        <v>0</v>
      </c>
      <c r="E18" s="14">
        <v>2117868</v>
      </c>
      <c r="F18" s="15">
        <v>0</v>
      </c>
      <c r="G18" s="14">
        <v>-208955</v>
      </c>
      <c r="H18" s="15">
        <v>0</v>
      </c>
      <c r="I18" s="14">
        <v>105638</v>
      </c>
      <c r="J18" s="17">
        <v>0.76960018800999996</v>
      </c>
      <c r="K18" s="14">
        <v>1058492.76</v>
      </c>
      <c r="L18" s="43" t="str">
        <f>+L19</f>
        <v>Equatorial ON</v>
      </c>
      <c r="M18" s="18" t="s">
        <v>40</v>
      </c>
      <c r="N18" s="18"/>
      <c r="O18" s="25"/>
      <c r="P18" s="44">
        <f t="shared" ref="P18:V18" si="2">P14+P17</f>
        <v>0</v>
      </c>
      <c r="Q18" s="44">
        <f t="shared" si="2"/>
        <v>0</v>
      </c>
      <c r="R18" s="44">
        <f t="shared" si="2"/>
        <v>0</v>
      </c>
      <c r="S18" s="44">
        <f t="shared" si="2"/>
        <v>0</v>
      </c>
      <c r="T18" s="44">
        <f t="shared" si="2"/>
        <v>0</v>
      </c>
      <c r="U18" s="44">
        <f t="shared" si="2"/>
        <v>0</v>
      </c>
      <c r="V18" s="44">
        <f t="shared" si="2"/>
        <v>0</v>
      </c>
      <c r="W18" s="44"/>
      <c r="X18" s="44">
        <f t="shared" ref="X18:AR18" si="3">X14+X17</f>
        <v>29766.409821995603</v>
      </c>
      <c r="Y18" s="44">
        <f t="shared" si="3"/>
        <v>232285.532728814</v>
      </c>
      <c r="Z18" s="44">
        <f t="shared" si="3"/>
        <v>117004.18034728178</v>
      </c>
      <c r="AA18" s="44">
        <f t="shared" si="3"/>
        <v>149877.07276515799</v>
      </c>
      <c r="AB18" s="44">
        <f t="shared" si="3"/>
        <v>324147.31155277486</v>
      </c>
      <c r="AC18" s="44">
        <f t="shared" si="3"/>
        <v>239491.50046236819</v>
      </c>
      <c r="AD18" s="44">
        <f t="shared" si="3"/>
        <v>216887.9015831346</v>
      </c>
      <c r="AE18" s="44">
        <f t="shared" si="3"/>
        <v>165176.47343869094</v>
      </c>
      <c r="AF18" s="44">
        <f t="shared" si="3"/>
        <v>65375.943411814354</v>
      </c>
      <c r="AG18" s="44">
        <f t="shared" si="3"/>
        <v>123148.87628327428</v>
      </c>
      <c r="AH18" s="44">
        <f t="shared" si="3"/>
        <v>416344.64257320471</v>
      </c>
      <c r="AI18" s="44">
        <f t="shared" si="3"/>
        <v>395184.86309310299</v>
      </c>
      <c r="AJ18" s="44">
        <f t="shared" si="3"/>
        <v>403913.36445639201</v>
      </c>
      <c r="AK18" s="44">
        <f t="shared" si="3"/>
        <v>774081.42040831433</v>
      </c>
      <c r="AL18" s="44">
        <f t="shared" si="3"/>
        <v>827761.0117005111</v>
      </c>
      <c r="AM18" s="44">
        <f t="shared" si="3"/>
        <v>2088160.7883913713</v>
      </c>
      <c r="AN18" s="44">
        <f t="shared" si="3"/>
        <v>2438324.8721262743</v>
      </c>
      <c r="AO18" s="44">
        <f t="shared" si="3"/>
        <v>2781637.5670500905</v>
      </c>
      <c r="AP18" s="44">
        <f t="shared" si="3"/>
        <v>906635.88171132049</v>
      </c>
      <c r="AQ18" s="44">
        <f t="shared" si="3"/>
        <v>28748060.145891193</v>
      </c>
      <c r="AR18" s="44">
        <f t="shared" si="3"/>
        <v>4351706.8630683282</v>
      </c>
    </row>
    <row r="19" spans="1:44" ht="15" customHeight="1" x14ac:dyDescent="0.25">
      <c r="A19" s="13" t="s">
        <v>41</v>
      </c>
      <c r="B19" s="14">
        <v>1181541</v>
      </c>
      <c r="C19" s="14">
        <v>207283</v>
      </c>
      <c r="D19" s="15">
        <v>0</v>
      </c>
      <c r="E19" s="14">
        <v>2433821</v>
      </c>
      <c r="F19" s="15">
        <v>0</v>
      </c>
      <c r="G19" s="14">
        <v>-286050</v>
      </c>
      <c r="H19" s="20">
        <v>14.613431491</v>
      </c>
      <c r="I19" s="14">
        <v>107981</v>
      </c>
      <c r="J19" s="17">
        <v>1.6894067757</v>
      </c>
      <c r="K19" s="14">
        <v>1954456.1</v>
      </c>
      <c r="L19" s="18" t="str">
        <f>+A1</f>
        <v>Equatorial ON</v>
      </c>
      <c r="M19" s="18" t="s">
        <v>42</v>
      </c>
      <c r="N19" s="18"/>
      <c r="O19" s="31"/>
      <c r="P19" s="45"/>
      <c r="Q19" s="45"/>
      <c r="R19" s="45"/>
      <c r="S19" s="45"/>
      <c r="T19" s="45"/>
      <c r="U19" s="45"/>
      <c r="V19" s="45"/>
      <c r="W19" s="45"/>
      <c r="X19" s="45"/>
      <c r="Y19" s="45">
        <f t="shared" ref="Y19:AR19" si="4">Y18/Y17</f>
        <v>1.0150387719530072</v>
      </c>
      <c r="Z19" s="45">
        <f t="shared" si="4"/>
        <v>0.93297329038578891</v>
      </c>
      <c r="AA19" s="45">
        <f t="shared" si="4"/>
        <v>0.97042988245032502</v>
      </c>
      <c r="AB19" s="45">
        <f t="shared" si="4"/>
        <v>1.0800806078782559</v>
      </c>
      <c r="AC19" s="45">
        <f t="shared" si="4"/>
        <v>1.1553841871372383</v>
      </c>
      <c r="AD19" s="45">
        <f t="shared" si="4"/>
        <v>1.1483388216461743</v>
      </c>
      <c r="AE19" s="45">
        <f t="shared" si="4"/>
        <v>1.0323787684610299</v>
      </c>
      <c r="AF19" s="45">
        <f t="shared" si="4"/>
        <v>0.463675615531149</v>
      </c>
      <c r="AG19" s="45">
        <f t="shared" si="4"/>
        <v>1.7942054035472745</v>
      </c>
      <c r="AH19" s="45">
        <f t="shared" si="4"/>
        <v>0.65282748037369265</v>
      </c>
      <c r="AI19" s="45">
        <f t="shared" si="4"/>
        <v>0.48879859179685259</v>
      </c>
      <c r="AJ19" s="45">
        <f t="shared" si="4"/>
        <v>0.56712120667772881</v>
      </c>
      <c r="AK19" s="45">
        <f t="shared" si="4"/>
        <v>0.77620589594551725</v>
      </c>
      <c r="AL19" s="45">
        <f t="shared" si="4"/>
        <v>0.90176429888882226</v>
      </c>
      <c r="AM19" s="45">
        <f t="shared" si="4"/>
        <v>0.86443734694111729</v>
      </c>
      <c r="AN19" s="45">
        <f t="shared" si="4"/>
        <v>0.81958048049193633</v>
      </c>
      <c r="AO19" s="45">
        <f t="shared" si="4"/>
        <v>0.75290762986712256</v>
      </c>
      <c r="AP19" s="45">
        <f t="shared" si="4"/>
        <v>0.65988121859306637</v>
      </c>
      <c r="AQ19" s="45">
        <f t="shared" si="4"/>
        <v>0.98299694261821013</v>
      </c>
      <c r="AR19" s="45">
        <f t="shared" si="4"/>
        <v>0.84674940990478065</v>
      </c>
    </row>
    <row r="20" spans="1:44" ht="15" customHeight="1" x14ac:dyDescent="0.25">
      <c r="A20" s="13" t="s">
        <v>43</v>
      </c>
      <c r="B20" s="14">
        <v>1270917</v>
      </c>
      <c r="C20" s="14">
        <v>188871</v>
      </c>
      <c r="D20" s="14">
        <v>1606581</v>
      </c>
      <c r="E20" s="14">
        <v>142245</v>
      </c>
      <c r="F20" s="14">
        <v>221</v>
      </c>
      <c r="G20" s="14">
        <v>-70047</v>
      </c>
      <c r="H20" s="20">
        <v>3.5087719298</v>
      </c>
      <c r="I20" s="14">
        <v>108826.325</v>
      </c>
      <c r="J20" s="17">
        <v>1.5683387889</v>
      </c>
      <c r="K20" s="14">
        <v>1240620.105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1258543</v>
      </c>
      <c r="C21" s="14">
        <v>159996</v>
      </c>
      <c r="D21" s="14">
        <v>1790043</v>
      </c>
      <c r="E21" s="14">
        <v>137749</v>
      </c>
      <c r="F21" s="14">
        <v>272</v>
      </c>
      <c r="G21" s="14">
        <v>-266426</v>
      </c>
      <c r="H21" s="20">
        <v>14.206787687</v>
      </c>
      <c r="I21" s="14">
        <v>109226.67200000001</v>
      </c>
      <c r="J21" s="17">
        <v>2.0135316311000002</v>
      </c>
      <c r="K21" s="14">
        <v>1383901.9342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2527525</v>
      </c>
      <c r="C22" s="14">
        <v>140995</v>
      </c>
      <c r="D22" s="14">
        <v>4154025</v>
      </c>
      <c r="E22" s="14">
        <v>134613</v>
      </c>
      <c r="F22" s="14">
        <v>9736</v>
      </c>
      <c r="G22" s="14">
        <v>-83040</v>
      </c>
      <c r="H22" s="20">
        <v>2.4559530165000001</v>
      </c>
      <c r="I22" s="14">
        <v>185243.902</v>
      </c>
      <c r="J22" s="17">
        <v>3.0816772545000002</v>
      </c>
      <c r="K22" s="14">
        <v>3469618.2845000001</v>
      </c>
      <c r="L22" s="47" t="str">
        <f>+L24</f>
        <v>Equatorial ON</v>
      </c>
      <c r="M22" s="39" t="s">
        <v>46</v>
      </c>
      <c r="N22" s="32"/>
      <c r="O22" s="32"/>
      <c r="P22" s="30">
        <v>0</v>
      </c>
      <c r="Q22" s="30">
        <v>0</v>
      </c>
      <c r="R22" s="30">
        <v>0</v>
      </c>
      <c r="S22" s="30">
        <v>10502002</v>
      </c>
      <c r="T22" s="30">
        <v>10565590</v>
      </c>
      <c r="U22" s="30">
        <v>0</v>
      </c>
      <c r="V22" s="30">
        <v>0</v>
      </c>
      <c r="W22" s="30">
        <v>112920</v>
      </c>
      <c r="X22" s="30">
        <v>335442</v>
      </c>
      <c r="Y22" s="30">
        <v>525036</v>
      </c>
      <c r="Z22" s="30">
        <v>724537</v>
      </c>
      <c r="AA22" s="30">
        <v>726816</v>
      </c>
      <c r="AB22" s="30">
        <v>1101126</v>
      </c>
      <c r="AC22" s="30">
        <v>1181541</v>
      </c>
      <c r="AD22" s="30">
        <v>1270917</v>
      </c>
      <c r="AE22" s="30">
        <v>1258543</v>
      </c>
      <c r="AF22" s="30">
        <v>2527525</v>
      </c>
      <c r="AG22" s="30">
        <v>2354173</v>
      </c>
      <c r="AH22" s="30">
        <v>2836367</v>
      </c>
      <c r="AI22" s="30">
        <v>3479252</v>
      </c>
      <c r="AJ22" s="30">
        <v>4023998</v>
      </c>
      <c r="AK22" s="30">
        <v>4786085</v>
      </c>
      <c r="AL22" s="30">
        <v>5596032</v>
      </c>
      <c r="AM22" s="30">
        <v>8110877</v>
      </c>
      <c r="AN22" s="30">
        <v>10462390</v>
      </c>
      <c r="AO22" s="30">
        <v>12756361</v>
      </c>
      <c r="AP22" s="30">
        <v>16614353</v>
      </c>
      <c r="AQ22" s="30">
        <v>16614353</v>
      </c>
      <c r="AR22" s="30">
        <v>16614353</v>
      </c>
    </row>
    <row r="23" spans="1:44" ht="15" customHeight="1" x14ac:dyDescent="0.25">
      <c r="A23" s="13" t="s">
        <v>47</v>
      </c>
      <c r="B23" s="14">
        <v>2354173</v>
      </c>
      <c r="C23" s="14">
        <v>68637</v>
      </c>
      <c r="D23" s="14">
        <v>4114727</v>
      </c>
      <c r="E23" s="14">
        <v>2713</v>
      </c>
      <c r="F23" s="14">
        <v>70894</v>
      </c>
      <c r="G23" s="14">
        <v>-60278</v>
      </c>
      <c r="H23" s="20">
        <v>0.73434125269999995</v>
      </c>
      <c r="I23" s="14">
        <v>198447.35200000001</v>
      </c>
      <c r="J23" s="17">
        <v>3.857914445</v>
      </c>
      <c r="K23" s="14">
        <v>4594056.1988000004</v>
      </c>
      <c r="L23" s="47" t="str">
        <f>+L25</f>
        <v>Equatorial ON</v>
      </c>
      <c r="M23" s="39" t="s">
        <v>48</v>
      </c>
      <c r="N23" s="32"/>
      <c r="O23" s="32"/>
      <c r="P23" s="30">
        <f>P22+P9+P10+P14</f>
        <v>0</v>
      </c>
      <c r="Q23" s="33">
        <f>Q22+Q9+Q10+Q14+((P9+P10+P14)*(1+Q5))</f>
        <v>0</v>
      </c>
      <c r="R23" s="33">
        <f>R22+R9+R10+R14+((Q9+Q10+Q14)*(1+R5))+(((P9+P10+P14)*(1+R5)*(1+Q5)))</f>
        <v>0</v>
      </c>
      <c r="S23" s="33">
        <f>S22+S9+S10+S14+((R9+R10+R14)*(1+S5))+(((Q9+Q10+Q14)*(1+S5)*(1+R5)))+(((P9+P10+P14)*(1+S5)*(1+R5)*(1+Q5)))</f>
        <v>10502002</v>
      </c>
      <c r="T23" s="33">
        <f>T22+T9+T10+T14+((S9+S10+S14)*(1+T5))+(((R9+R10+R14)*(1+T5)*(1+S5)))+(((Q9+Q10+Q14)*(1+T5)*(1+S5)*(1+R5)))+(((P9+P10+P14)*(1+T5)*(1+S5)*(1+R5)*(1+Q5)))</f>
        <v>10565590</v>
      </c>
      <c r="U23" s="33">
        <f>U22+U9+U10+U14+((T9+T10+T14)*(1+U5))+((S9+S10+S14)*(1+U5)*(1+T5))+((R9+R10+R14)*(1+U5)*(1+T5)*(1+S5))+((Q9+Q10+Q14)*(1+U5)*(1+T5)*(1+S5)*(1+R5))+((P9+P10+P14)*(1+U5)*(1+T5)*(1+S5)*(1+R5)*(1+Q5))</f>
        <v>0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0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138431.481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403179.55593399558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628293.89977966191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845310.06775316305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885757.28954754223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1355929.0692014794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1538682.3116785572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1768703.8656365895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1904797.328051812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3279042.4742891458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3385840.1243406907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3934316.6209222693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4709907.4066161709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5314896.8557240749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6047196.8805161584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7038624.048509853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9623475.5998716969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11968564.744087417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14755502.810363078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19181740.627393026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19593445.166635346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20386371.476034727</v>
      </c>
    </row>
    <row r="24" spans="1:44" ht="15" customHeight="1" x14ac:dyDescent="0.25">
      <c r="A24" s="13" t="s">
        <v>49</v>
      </c>
      <c r="B24" s="14">
        <v>2836367</v>
      </c>
      <c r="C24" s="14">
        <v>637756</v>
      </c>
      <c r="D24" s="14">
        <v>4217519</v>
      </c>
      <c r="E24" s="14">
        <v>3341</v>
      </c>
      <c r="F24" s="14">
        <v>77464</v>
      </c>
      <c r="G24" s="14">
        <v>-6076</v>
      </c>
      <c r="H24" s="20">
        <v>1.4079422383</v>
      </c>
      <c r="I24" s="14">
        <v>198447.35200000001</v>
      </c>
      <c r="J24" s="17">
        <v>4.6881397521999997</v>
      </c>
      <c r="K24" s="14">
        <v>5496991.6503999997</v>
      </c>
      <c r="L24" s="47" t="str">
        <f>+L25</f>
        <v>Equatorial ON</v>
      </c>
      <c r="M24" s="39" t="s">
        <v>50</v>
      </c>
      <c r="N24" s="32"/>
      <c r="O24" s="32"/>
      <c r="P24" s="30">
        <v>0</v>
      </c>
      <c r="Q24" s="30">
        <v>0</v>
      </c>
      <c r="R24" s="30">
        <v>0</v>
      </c>
      <c r="S24" s="30">
        <v>17428087.655999999</v>
      </c>
      <c r="T24" s="30">
        <v>16748049.408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1235774.5833000001</v>
      </c>
      <c r="AA24" s="30">
        <v>1238810.5053999999</v>
      </c>
      <c r="AB24" s="30">
        <v>1058492.76</v>
      </c>
      <c r="AC24" s="30">
        <v>1954456.1</v>
      </c>
      <c r="AD24" s="30">
        <v>1240620.105</v>
      </c>
      <c r="AE24" s="30">
        <v>1383901.9342</v>
      </c>
      <c r="AF24" s="30">
        <v>3469618.2845000001</v>
      </c>
      <c r="AG24" s="30">
        <v>4594056.1988000004</v>
      </c>
      <c r="AH24" s="30">
        <v>5496991.6503999997</v>
      </c>
      <c r="AI24" s="30">
        <v>6799630.9325000001</v>
      </c>
      <c r="AJ24" s="30">
        <v>10807972.604</v>
      </c>
      <c r="AK24" s="30">
        <v>13047508.607999999</v>
      </c>
      <c r="AL24" s="30">
        <v>14820270.098999999</v>
      </c>
      <c r="AM24" s="30">
        <v>23022140.877</v>
      </c>
      <c r="AN24" s="30">
        <v>23371707.528999999</v>
      </c>
      <c r="AO24" s="30">
        <v>22195547.056000002</v>
      </c>
      <c r="AP24" s="30">
        <v>29723742.385000002</v>
      </c>
      <c r="AQ24" s="30">
        <f>+K33</f>
        <v>38672496.621704102</v>
      </c>
      <c r="AR24" s="30">
        <f>+K34</f>
        <v>33422537.758338898</v>
      </c>
    </row>
    <row r="25" spans="1:44" ht="15" customHeight="1" x14ac:dyDescent="0.25">
      <c r="A25" s="13" t="s">
        <v>51</v>
      </c>
      <c r="B25" s="14">
        <v>3479252</v>
      </c>
      <c r="C25" s="14">
        <v>808482</v>
      </c>
      <c r="D25" s="14">
        <v>4124640</v>
      </c>
      <c r="E25" s="14">
        <v>3552</v>
      </c>
      <c r="F25" s="14">
        <v>88646</v>
      </c>
      <c r="G25" s="14">
        <v>-186617</v>
      </c>
      <c r="H25" s="20">
        <v>2.4240654205999999</v>
      </c>
      <c r="I25" s="14">
        <v>198587.35200000001</v>
      </c>
      <c r="J25" s="17">
        <v>5.9420168842000001</v>
      </c>
      <c r="K25" s="14">
        <v>6799630.9325000001</v>
      </c>
      <c r="L25" s="39" t="str">
        <f>+A1</f>
        <v>Equatorial ON</v>
      </c>
      <c r="M25" s="39" t="s">
        <v>52</v>
      </c>
      <c r="N25" s="18"/>
      <c r="O25" s="18"/>
      <c r="P25" s="31"/>
      <c r="Q25" s="31"/>
      <c r="R25" s="31"/>
      <c r="S25" s="31"/>
      <c r="T25" s="31"/>
      <c r="U25" s="31"/>
      <c r="V25" s="31"/>
      <c r="W25" s="31">
        <f t="shared" ref="W25:AR25" si="5">W24/W23</f>
        <v>0</v>
      </c>
      <c r="X25" s="31">
        <f t="shared" si="5"/>
        <v>0</v>
      </c>
      <c r="Y25" s="31">
        <f t="shared" si="5"/>
        <v>0</v>
      </c>
      <c r="Z25" s="31">
        <f t="shared" si="5"/>
        <v>1.4619186857488791</v>
      </c>
      <c r="AA25" s="31">
        <f t="shared" si="5"/>
        <v>1.3985891169270561</v>
      </c>
      <c r="AB25" s="31">
        <f t="shared" si="5"/>
        <v>0.78064021492168267</v>
      </c>
      <c r="AC25" s="31">
        <f t="shared" si="5"/>
        <v>1.2702141859731091</v>
      </c>
      <c r="AD25" s="31">
        <f t="shared" si="5"/>
        <v>0.70142895546478479</v>
      </c>
      <c r="AE25" s="31">
        <f t="shared" si="5"/>
        <v>0.72653500391846249</v>
      </c>
      <c r="AF25" s="31">
        <f t="shared" si="5"/>
        <v>1.0581193478599782</v>
      </c>
      <c r="AG25" s="31">
        <f t="shared" si="5"/>
        <v>1.3568438054040075</v>
      </c>
      <c r="AH25" s="31">
        <f t="shared" si="5"/>
        <v>1.397190968608778</v>
      </c>
      <c r="AI25" s="31">
        <f t="shared" si="5"/>
        <v>1.4436867533634148</v>
      </c>
      <c r="AJ25" s="31">
        <f t="shared" si="5"/>
        <v>2.033524430932268</v>
      </c>
      <c r="AK25" s="31">
        <f t="shared" si="5"/>
        <v>2.1576126701015115</v>
      </c>
      <c r="AL25" s="31">
        <f t="shared" si="5"/>
        <v>2.1055635301529705</v>
      </c>
      <c r="AM25" s="31">
        <f t="shared" si="5"/>
        <v>2.3922896294668154</v>
      </c>
      <c r="AN25" s="31">
        <f t="shared" si="5"/>
        <v>1.9527577473770064</v>
      </c>
      <c r="AO25" s="31">
        <f t="shared" si="5"/>
        <v>1.5042216684348861</v>
      </c>
      <c r="AP25" s="31">
        <f t="shared" si="5"/>
        <v>1.5495852520574787</v>
      </c>
      <c r="AQ25" s="31">
        <f t="shared" si="5"/>
        <v>1.9737466429618757</v>
      </c>
      <c r="AR25" s="31">
        <f t="shared" si="5"/>
        <v>1.6394549563481116</v>
      </c>
    </row>
    <row r="26" spans="1:44" ht="15" customHeight="1" x14ac:dyDescent="0.25">
      <c r="A26" s="13" t="s">
        <v>53</v>
      </c>
      <c r="B26" s="14">
        <v>4023998</v>
      </c>
      <c r="C26" s="14">
        <v>712217</v>
      </c>
      <c r="D26" s="14">
        <v>4648641</v>
      </c>
      <c r="E26" s="14">
        <v>8755</v>
      </c>
      <c r="F26" s="14">
        <v>96322</v>
      </c>
      <c r="G26" s="14">
        <v>-260467</v>
      </c>
      <c r="H26" s="20">
        <v>1.7095588235000001</v>
      </c>
      <c r="I26" s="14">
        <v>198675.967</v>
      </c>
      <c r="J26" s="17">
        <v>9.6463914762999998</v>
      </c>
      <c r="K26" s="14">
        <v>10807972.604</v>
      </c>
    </row>
    <row r="27" spans="1:44" ht="15" customHeight="1" x14ac:dyDescent="0.25">
      <c r="A27" s="13" t="s">
        <v>54</v>
      </c>
      <c r="B27" s="14">
        <v>4786085</v>
      </c>
      <c r="C27" s="14">
        <v>997263</v>
      </c>
      <c r="D27" s="14">
        <v>4930846</v>
      </c>
      <c r="E27" s="14">
        <v>10661</v>
      </c>
      <c r="F27" s="14">
        <v>422063</v>
      </c>
      <c r="G27" s="14">
        <v>-263917</v>
      </c>
      <c r="H27" s="20">
        <v>0.88347296267999997</v>
      </c>
      <c r="I27" s="14">
        <v>198743.467</v>
      </c>
      <c r="J27" s="17">
        <v>11.760005321</v>
      </c>
      <c r="K27" s="14">
        <v>13047508.607999999</v>
      </c>
      <c r="S27" s="67"/>
    </row>
    <row r="28" spans="1:44" ht="15" customHeight="1" x14ac:dyDescent="0.25">
      <c r="A28" s="13" t="s">
        <v>55</v>
      </c>
      <c r="B28" s="14">
        <v>5596032</v>
      </c>
      <c r="C28" s="14">
        <v>917935</v>
      </c>
      <c r="D28" s="14">
        <v>6050351</v>
      </c>
      <c r="E28" s="14">
        <v>13528</v>
      </c>
      <c r="F28" s="14">
        <v>118530</v>
      </c>
      <c r="G28" s="14">
        <v>-335455</v>
      </c>
      <c r="H28" s="20">
        <v>1.6242415504000001</v>
      </c>
      <c r="I28" s="14">
        <v>198769.717</v>
      </c>
      <c r="J28" s="17">
        <v>13.588851283</v>
      </c>
      <c r="K28" s="14">
        <v>14820270.098999999</v>
      </c>
    </row>
    <row r="29" spans="1:44" ht="15" customHeight="1" x14ac:dyDescent="0.25">
      <c r="A29" s="13" t="s">
        <v>56</v>
      </c>
      <c r="B29" s="14">
        <v>8110877</v>
      </c>
      <c r="C29" s="14">
        <v>2415630</v>
      </c>
      <c r="D29" s="14">
        <v>9007974</v>
      </c>
      <c r="E29" s="14">
        <v>14557</v>
      </c>
      <c r="F29" s="14">
        <v>122217</v>
      </c>
      <c r="G29" s="14">
        <v>-488370</v>
      </c>
      <c r="H29" s="20">
        <v>0.83369899078999998</v>
      </c>
      <c r="I29" s="14">
        <v>1010186.085</v>
      </c>
      <c r="J29" s="17">
        <v>21.010955787</v>
      </c>
      <c r="K29" s="14">
        <v>23022140.877</v>
      </c>
    </row>
    <row r="30" spans="1:44" ht="15" customHeight="1" x14ac:dyDescent="0.25">
      <c r="A30" s="13" t="s">
        <v>57</v>
      </c>
      <c r="B30" s="14">
        <v>10462390</v>
      </c>
      <c r="C30" s="14">
        <v>2975089</v>
      </c>
      <c r="D30" s="14">
        <v>8908853</v>
      </c>
      <c r="E30" s="14">
        <v>48662</v>
      </c>
      <c r="F30" s="14">
        <v>130024</v>
      </c>
      <c r="G30" s="14">
        <v>-651476</v>
      </c>
      <c r="H30" s="20">
        <v>1.3815556995</v>
      </c>
      <c r="I30" s="14">
        <v>1009141.085</v>
      </c>
      <c r="J30" s="17">
        <v>21.631042756999999</v>
      </c>
      <c r="K30" s="14">
        <v>23371707.528999999</v>
      </c>
    </row>
    <row r="31" spans="1:44" ht="15" customHeight="1" x14ac:dyDescent="0.25">
      <c r="A31" s="13" t="s">
        <v>58</v>
      </c>
      <c r="B31" s="14">
        <v>12756361</v>
      </c>
      <c r="C31" s="14">
        <v>3694527</v>
      </c>
      <c r="D31" s="14">
        <v>15836076</v>
      </c>
      <c r="E31" s="14">
        <v>282061</v>
      </c>
      <c r="F31" s="14">
        <v>170594</v>
      </c>
      <c r="G31" s="14">
        <v>-1220079</v>
      </c>
      <c r="H31" s="20">
        <v>3.1844316674000002</v>
      </c>
      <c r="I31" s="14">
        <v>981669.48499999999</v>
      </c>
      <c r="J31" s="17">
        <v>21.741254265999999</v>
      </c>
      <c r="K31" s="14">
        <v>22195547.056000002</v>
      </c>
    </row>
    <row r="32" spans="1:44" ht="15" customHeight="1" x14ac:dyDescent="0.25">
      <c r="A32" s="13" t="s">
        <v>59</v>
      </c>
      <c r="B32" s="14">
        <v>16614353</v>
      </c>
      <c r="C32" s="14">
        <v>1373938</v>
      </c>
      <c r="D32" s="14">
        <v>29245320</v>
      </c>
      <c r="E32" s="14">
        <v>5139309</v>
      </c>
      <c r="F32" s="14">
        <v>27047</v>
      </c>
      <c r="G32" s="14">
        <v>-1091565</v>
      </c>
      <c r="H32" s="20">
        <v>2.3686158400999999</v>
      </c>
      <c r="I32" s="14">
        <v>1100064.4850000001</v>
      </c>
      <c r="J32" s="17">
        <v>26.646942801000002</v>
      </c>
      <c r="K32" s="14">
        <v>28224413.9382471</v>
      </c>
    </row>
    <row r="33" spans="1:42" ht="15" customHeight="1" x14ac:dyDescent="0.25">
      <c r="A33" s="13" t="s">
        <v>60</v>
      </c>
      <c r="B33" s="14">
        <v>21093243</v>
      </c>
      <c r="C33" s="14">
        <v>2075593</v>
      </c>
      <c r="D33" s="14">
        <v>31447954</v>
      </c>
      <c r="E33" s="14">
        <v>7871114</v>
      </c>
      <c r="F33" s="14"/>
      <c r="G33" s="14"/>
      <c r="H33" s="14"/>
      <c r="I33" s="14"/>
      <c r="J33" s="14"/>
      <c r="K33" s="14">
        <v>38672496.621704102</v>
      </c>
    </row>
    <row r="34" spans="1:42" ht="15" customHeight="1" x14ac:dyDescent="0.25">
      <c r="A34" s="13" t="s">
        <v>61</v>
      </c>
      <c r="B34" s="14">
        <v>26113686</v>
      </c>
      <c r="C34" s="14">
        <v>2811675</v>
      </c>
      <c r="D34" s="14">
        <v>32373681</v>
      </c>
      <c r="E34" s="14">
        <v>8086878</v>
      </c>
      <c r="F34" s="14"/>
      <c r="G34" s="14"/>
      <c r="H34" s="14"/>
      <c r="I34" s="14"/>
      <c r="J34" s="14"/>
      <c r="K34" s="14">
        <v>33422537.758338898</v>
      </c>
    </row>
    <row r="46" spans="1:42" ht="15" customHeight="1" x14ac:dyDescent="0.25">
      <c r="M46" s="46" t="s">
        <v>62</v>
      </c>
      <c r="N46" s="1"/>
      <c r="O46" s="1"/>
      <c r="P46" s="35"/>
      <c r="Q46" s="35"/>
      <c r="R46" s="35"/>
      <c r="S46" s="35"/>
      <c r="T46" s="35"/>
      <c r="U46" s="35"/>
      <c r="V46" s="35"/>
      <c r="W46" s="35"/>
      <c r="X46" s="35"/>
      <c r="Y46" s="35">
        <f>-G15/Y17</f>
        <v>0</v>
      </c>
      <c r="Z46" s="35">
        <f>-G16/Z17</f>
        <v>0</v>
      </c>
      <c r="AA46" s="35">
        <f>-G17/AA17</f>
        <v>1.0673642226308564</v>
      </c>
      <c r="AB46" s="35">
        <f>-G18/AB17</f>
        <v>0.69625209087213524</v>
      </c>
      <c r="AC46" s="35">
        <f>-G19/AC17</f>
        <v>1.3799973948659563</v>
      </c>
      <c r="AD46" s="35">
        <f>-G20/AD17</f>
        <v>0.37087218260082278</v>
      </c>
      <c r="AE46" s="35">
        <f>-G21/AE17</f>
        <v>1.6652041301032525</v>
      </c>
      <c r="AF46" s="35">
        <f>-G22/AF17</f>
        <v>0.58895705521472397</v>
      </c>
      <c r="AG46" s="35">
        <f>-G23/AG17</f>
        <v>0.87821437417136528</v>
      </c>
      <c r="AH46" s="35">
        <f>-G24/AH17</f>
        <v>9.5271545857663429E-3</v>
      </c>
      <c r="AI46" s="35">
        <f>-G25/AI17</f>
        <v>0.23082393918479324</v>
      </c>
      <c r="AJ46" s="35">
        <f>-G26/AJ17</f>
        <v>0.36571297792667123</v>
      </c>
      <c r="AK46" s="35">
        <f>-G27/AK17</f>
        <v>0.26464132330187723</v>
      </c>
      <c r="AL46" s="35">
        <f>-G28/AL17</f>
        <v>0.36544526573232311</v>
      </c>
      <c r="AM46" s="35">
        <f>-G29/AM17</f>
        <v>0.20217086225953479</v>
      </c>
      <c r="AN46" s="35">
        <f>-G30/AN17</f>
        <v>0.21897697850383635</v>
      </c>
      <c r="AO46" s="35">
        <f>-G31/AO17</f>
        <v>0.3302395678797313</v>
      </c>
      <c r="AP46" s="35">
        <f>-G32/AP17</f>
        <v>0.79447908129770051</v>
      </c>
    </row>
    <row r="47" spans="1:42" ht="15" customHeight="1" x14ac:dyDescent="0.25">
      <c r="M47" s="39" t="s">
        <v>63</v>
      </c>
      <c r="N47" s="32"/>
      <c r="O47" s="32"/>
      <c r="P47" s="36"/>
      <c r="Q47" s="36"/>
      <c r="R47" s="36"/>
      <c r="S47" s="36"/>
      <c r="T47" s="36"/>
      <c r="U47" s="36"/>
      <c r="V47" s="36"/>
      <c r="W47" s="36"/>
      <c r="X47" s="36"/>
      <c r="Y47" s="36">
        <f>-G15/Y18</f>
        <v>0</v>
      </c>
      <c r="Z47" s="36">
        <f>-G16/Z18</f>
        <v>0</v>
      </c>
      <c r="AA47" s="36">
        <f>-G17/AA18</f>
        <v>1.0998880413036884</v>
      </c>
      <c r="AB47" s="36">
        <f>-G18/AB18</f>
        <v>0.64462974873687873</v>
      </c>
      <c r="AC47" s="36">
        <f>-G19/AC18</f>
        <v>1.1944056446585571</v>
      </c>
      <c r="AD47" s="36">
        <f>-G20/AD18</f>
        <v>0.32296407263247234</v>
      </c>
      <c r="AE47" s="36">
        <f>-G21/AE18</f>
        <v>1.6129778923927089</v>
      </c>
      <c r="AF47" s="36">
        <f>-G22/AF18</f>
        <v>1.2701919951948792</v>
      </c>
      <c r="AG47" s="36">
        <f>-G23/AG18</f>
        <v>0.48947259462883774</v>
      </c>
      <c r="AH47" s="36">
        <f>-G24/AH18</f>
        <v>1.4593678838876073E-2</v>
      </c>
      <c r="AI47" s="36">
        <f>-G25/AI18</f>
        <v>0.47222709528738765</v>
      </c>
      <c r="AJ47" s="36">
        <f>-G26/AJ18</f>
        <v>0.64485858335128443</v>
      </c>
      <c r="AK47" s="36">
        <f>-G27/AK18</f>
        <v>0.34094217099383217</v>
      </c>
      <c r="AL47" s="36">
        <f>-G28/AL18</f>
        <v>0.40525585918918544</v>
      </c>
      <c r="AM47" s="36">
        <f>-G29/AM18</f>
        <v>0.23387566834650655</v>
      </c>
      <c r="AN47" s="36">
        <f>-G30/AN18</f>
        <v>0.26718178838568718</v>
      </c>
      <c r="AO47" s="36">
        <f>-G31/AO18</f>
        <v>0.43861896835607028</v>
      </c>
      <c r="AP47" s="36">
        <f>-G32/AP18</f>
        <v>1.2039728649825954</v>
      </c>
    </row>
    <row r="48" spans="1:42" ht="15" customHeight="1" x14ac:dyDescent="0.25">
      <c r="M48" s="39" t="s">
        <v>64</v>
      </c>
      <c r="N48" s="32"/>
      <c r="O48" s="32"/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37">
        <v>14.613431491</v>
      </c>
      <c r="AD48" s="37">
        <v>3.5087719298</v>
      </c>
      <c r="AE48" s="37">
        <v>14.206787687</v>
      </c>
      <c r="AF48" s="37">
        <v>2.4559530165000001</v>
      </c>
      <c r="AG48" s="37">
        <v>0.73434125269999995</v>
      </c>
      <c r="AH48" s="37">
        <v>1.4079422383</v>
      </c>
      <c r="AI48" s="37">
        <v>2.4240654205999999</v>
      </c>
      <c r="AJ48" s="37">
        <v>1.7095588235000001</v>
      </c>
      <c r="AK48" s="37">
        <v>0.88347296267999997</v>
      </c>
      <c r="AL48" s="37">
        <v>1.6242415504000001</v>
      </c>
      <c r="AM48" s="37">
        <v>0.83369899078999998</v>
      </c>
      <c r="AN48" s="37">
        <v>1.3815556995</v>
      </c>
      <c r="AO48" s="37">
        <v>3.1844316674000002</v>
      </c>
      <c r="AP48" s="37">
        <v>2.3686158400999999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R49"/>
  <sheetViews>
    <sheetView showGridLines="0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30" width="14.28515625" customWidth="1"/>
    <col min="31" max="31" width="11" customWidth="1"/>
    <col min="32" max="42" width="15.28515625" customWidth="1"/>
    <col min="43" max="43" width="14.5703125" customWidth="1"/>
    <col min="44" max="44" width="14.7109375" customWidth="1"/>
  </cols>
  <sheetData>
    <row r="1" spans="1:44" ht="15" customHeight="1" x14ac:dyDescent="0.25">
      <c r="A1" s="6" t="s">
        <v>91</v>
      </c>
      <c r="M1" t="s">
        <v>1</v>
      </c>
      <c r="N1" s="7">
        <v>4.8099999999999997E-2</v>
      </c>
    </row>
    <row r="2" spans="1:44" ht="15" customHeight="1" x14ac:dyDescent="0.25">
      <c r="A2" s="6"/>
    </row>
    <row r="3" spans="1:44" ht="15" customHeight="1" x14ac:dyDescent="0.25">
      <c r="M3" s="2" t="s">
        <v>92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4">
        <v>1537398</v>
      </c>
      <c r="C5" s="14">
        <v>75980</v>
      </c>
      <c r="D5" s="15">
        <v>0</v>
      </c>
      <c r="E5" s="14">
        <v>2340734</v>
      </c>
      <c r="F5" s="15">
        <v>0</v>
      </c>
      <c r="G5" s="15">
        <v>0</v>
      </c>
      <c r="H5" s="15">
        <v>0</v>
      </c>
      <c r="I5" s="14">
        <v>225581</v>
      </c>
      <c r="J5" s="15">
        <v>0</v>
      </c>
      <c r="K5" s="14">
        <v>1105346.9214999999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4">
        <v>1442587</v>
      </c>
      <c r="C6" s="14">
        <v>6831</v>
      </c>
      <c r="D6" s="15">
        <v>0</v>
      </c>
      <c r="E6" s="14">
        <v>3521748</v>
      </c>
      <c r="F6" s="15">
        <v>0</v>
      </c>
      <c r="G6" s="15">
        <v>0</v>
      </c>
      <c r="H6" s="15">
        <v>0</v>
      </c>
      <c r="I6" s="14">
        <v>223615</v>
      </c>
      <c r="J6" s="15">
        <v>0</v>
      </c>
      <c r="K6" s="14">
        <v>603760.51066000003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4">
        <v>1415596</v>
      </c>
      <c r="C7" s="14">
        <v>4641</v>
      </c>
      <c r="D7" s="15">
        <v>0</v>
      </c>
      <c r="E7" s="14">
        <v>2153499</v>
      </c>
      <c r="F7" s="15">
        <v>0</v>
      </c>
      <c r="G7" s="15">
        <v>0</v>
      </c>
      <c r="H7" s="15">
        <v>0</v>
      </c>
      <c r="I7" s="14">
        <v>225581</v>
      </c>
      <c r="J7" s="15">
        <v>0</v>
      </c>
      <c r="K7" s="14">
        <v>451162</v>
      </c>
      <c r="M7" s="1" t="s">
        <v>20</v>
      </c>
      <c r="N7" s="1"/>
      <c r="O7" s="5"/>
      <c r="P7" s="4">
        <f>((D5+E5)*P5)</f>
        <v>223774.1704</v>
      </c>
      <c r="Q7" s="4">
        <f>((D6+E6+P7+P8)*Q5)</f>
        <v>198463.07618712002</v>
      </c>
      <c r="R7" s="4">
        <f>((D7+E7+Q7+P7+P8+Q8)*R5)</f>
        <v>43101.525120326201</v>
      </c>
      <c r="S7" s="4">
        <f>((D8+E8+R7+Q7+P7+SUM($P$8:R8))*S5)</f>
        <v>257859.43135026569</v>
      </c>
      <c r="T7" s="4">
        <f>((D9+E9+S7+R7+Q7+P7+SUM($P$8:S8))*T5)</f>
        <v>166325.23138661543</v>
      </c>
      <c r="U7" s="4">
        <f>((D10+E10+T7+S7+R7+Q7+P7+SUM($P$8:T8))*U5)</f>
        <v>209064.45376480991</v>
      </c>
      <c r="V7" s="4">
        <f>((D11+E11+U7+T7+S7+R7+Q7+P7+SUM($P$8:U8))*V5)</f>
        <v>458660.57953242486</v>
      </c>
      <c r="W7" s="4">
        <f>((D12+E12+V7+U7+T7+S7+R7+Q7+P7+SUM($P$8:V8))*W5)</f>
        <v>401461.52593871526</v>
      </c>
      <c r="X7" s="4">
        <f>((D13+E13+W7+V7+U7+T7+S7+R7+Q7+P7+SUM($P$8:W8))*X5)</f>
        <v>385657.19485670113</v>
      </c>
      <c r="Y7" s="4">
        <f>((D14+E14+X7+W7+V7+U7+T7+S7+R7+Q7+P7+SUM($P$8:X8))*Y5)</f>
        <v>334267.13579082908</v>
      </c>
      <c r="Z7" s="4">
        <f>((E14+F14+Y7+X7+W7+V7+U7+T7+S7+R7+Q7+P7+SUM($P$8:Y8))*Z5)</f>
        <v>195518.49592496315</v>
      </c>
      <c r="AA7" s="4">
        <f>((D16+E16+Z7+Y7+X7+W7+V7+U7+T7+S7+R7+P7+Q7+SUM($P$8:Z8))*AA5)</f>
        <v>397625.63457808353</v>
      </c>
      <c r="AB7" s="4">
        <f>((D17+E17+AA7+Z7+Y7+X7+W7+V7+U7+T7+S7+P7+Q7+R7+SUM($P$8:AA8))*AB5)</f>
        <v>601822.03110627027</v>
      </c>
      <c r="AC7" s="4">
        <f>((D18+E18+AB7+AA7+Z7+Y7+X7+W7+V7+U7+T7+S7+R7+Q7+P7+SUM($P$8:AB8))*AC5)</f>
        <v>468483.48259816499</v>
      </c>
      <c r="AD7" s="4">
        <f>((D19+E19+AC7+AB7+AA7+Z7+Y7+X7+W7+V7+U7+T7+S7+R7+Q7+P7+SUM($P$8:AC8))*AD5)</f>
        <v>675191.03039751051</v>
      </c>
      <c r="AE7" s="4">
        <f>((D20+E20+AD7+AC7+AB7+AA7+Z7+Y7+X7+W7+V7+U7+T7+S7+R7+Q7+P7+SUM($P$8:AD8))*AE5)</f>
        <v>1064008.2057528819</v>
      </c>
      <c r="AF7" s="4">
        <f>((E20+F20+AE7+AD7+AC7+AB7+AA7+Z7+Y7+X7+W7+V7+U7+T7+S7+R7+Q7+P7+SUM($P$8:AE8))*AF5)</f>
        <v>1012288.5076244037</v>
      </c>
      <c r="AG7" s="4">
        <f>((D22+E22+AF7+AE7+AD7+AC7+AB7+AA7+Z7+Y7+X7+W7+V7+U7+T7+R7+S7+Q7+P7+SUM($P$8:AF8))*AG5)</f>
        <v>1349200.229702201</v>
      </c>
      <c r="AH7" s="4">
        <f>((E22+F22+AG7+AF7+AE7+AD7+AC7+AB7+AA7+Z7+Y7+X7+W7+V7+U7+S7+T7+R7+Q7+P7+SUM($P$8:AG8))*AH5)</f>
        <v>1538874.5534569928</v>
      </c>
      <c r="AI7" s="4">
        <f>((F22+G22+AH7+AG7+AF7+AE7+AD7+AC7+AB7+AA7+Z7+Y7+X7+W7+V7+T7+U7+S7+R7+Q7+P7+SUM($P$8:AH8))*AI5)</f>
        <v>1101307.0980796171</v>
      </c>
      <c r="AJ7" s="4">
        <f>((G22+H22+AI7+AH7+AG7+AF7+AE7+AD7+AC7+AB7+AA7+Z7+Y7+X7+W7+U7+V7+T7+S7+R7+Q7+P7+SUM($P$8:AI8))*AJ5)</f>
        <v>717498.15891538037</v>
      </c>
      <c r="AK7" s="4">
        <f>((H22+I22+AJ7+AI7+AH7+AG7+AF7+AE7+AD7+AC7+AB7+AA7+Z7+Y7+X7+V7+W7+U7+T7+S7+R7+Q7+P7+SUM($P$8:AJ8))*AK5)</f>
        <v>392078.27409769606</v>
      </c>
      <c r="AL7" s="4">
        <f>((D27+E27+AK7+AJ7+AI7+AH7+AG7+AF7+AE7+AD7+AC7++AB7+AA7+Z7+Y7+X7+W7+V7+U7+T7+S7+R7+Q7+P7+SUM($P$8:AK8))*AL5)</f>
        <v>1087187.7682523241</v>
      </c>
      <c r="AM7" s="4">
        <f>((E27+F27+AL7+AK7+AJ7+AI7+AH7+AG7+AF7+AE7+AD7++AC7+AB7+AA7+Z7+Y7+X7+W7+V7+U7+T7+S7+R7+Q7+P7+SUM($P$8:AL8))*AM5)</f>
        <v>1289345.4626800963</v>
      </c>
      <c r="AN7" s="4">
        <f>((F27+G27+AM7+AL7+AK7+AJ7+AI7+AH7+AG7+AF7+AE7++AD7+AC7+AB7+AA7+Z7+Y7+X7+W7+V7+U7+T7+S7+R7+Q7+P7+SUM($P$8:AM8))*AN5)</f>
        <v>696056.81851304637</v>
      </c>
      <c r="AO7" s="4">
        <f>((G27+H27+AN7+AM7+AL7+AK7+AJ7+AI7+AH7+AG7+AF7++AE7+AD7+AC7+AB7+AA7+Z7+Y7+X7+W7+V7+U7+T7+S7+R7+Q7+P7+SUM($P$8:AN8))*AO5)</f>
        <v>1613021.315697158</v>
      </c>
      <c r="AP7" s="4">
        <f>((H27+I27+AO7+AN7+AM7+AL7+AK7+AJ7+AI7+AH7+AG7++AF7+AE7+AD7+AC7+AB7+AA7+Z7+Y7+X7+W7+V7+U7+T7+S7+R7+Q7+P7+SUM($P$8:AO8))*AP5)</f>
        <v>1114348.1558338911</v>
      </c>
      <c r="AQ7" s="4">
        <f>((I27+J27+AP7+AO7+AN7+AM7+AL7+AK7+AJ7+AI7+AH7++AG7+AF7+AE7+AD7+AC7+AB7+AA7+Z7+Y7+X7+W7+V7+U7+T7+S7+R7+Q7+P7+SUM($P$8:AP8))*AQ5)</f>
        <v>945923.69970335125</v>
      </c>
      <c r="AR7" s="4">
        <f>((J27+K27+AQ7+AP7+AO7+AN7+AM7+AL7+AK7+AJ7+AI7++AH7+AG7+AF7+AE7+AD7+AC7+AB7+AA7+Z7+Y7+X7+W7+V7+U7+T7+S7+R7+Q7+P7+SUM($P$8:AQ8))*AR5)</f>
        <v>1972026.0267556619</v>
      </c>
    </row>
    <row r="8" spans="1:44" ht="15" customHeight="1" x14ac:dyDescent="0.25">
      <c r="A8" s="13" t="s">
        <v>21</v>
      </c>
      <c r="B8" s="14">
        <v>1365778</v>
      </c>
      <c r="C8" s="14">
        <v>-46038</v>
      </c>
      <c r="D8" s="15">
        <v>0</v>
      </c>
      <c r="E8" s="14">
        <v>2396239</v>
      </c>
      <c r="F8" s="15">
        <v>0</v>
      </c>
      <c r="G8" s="15">
        <v>0</v>
      </c>
      <c r="H8" s="15">
        <v>0</v>
      </c>
      <c r="I8" s="14">
        <v>223034.38</v>
      </c>
      <c r="J8" s="15">
        <v>0</v>
      </c>
      <c r="K8" s="14">
        <v>122668.91164999999</v>
      </c>
      <c r="M8" s="1" t="s">
        <v>22</v>
      </c>
      <c r="N8" s="1"/>
      <c r="O8" s="4"/>
      <c r="P8" s="4">
        <f>((D6+E6)-(D5+E5))*(P5^1/2)</f>
        <v>56452.4692</v>
      </c>
      <c r="Q8" s="4">
        <f>((D7+E7)-(D6+E6))*(Q5^1/2)</f>
        <v>-35711.298900000002</v>
      </c>
      <c r="R8" s="4">
        <f>((D8+E8)-(D7+E7))*(R5^1/2)</f>
        <v>2014.742</v>
      </c>
      <c r="S8" s="4">
        <f>((D9+E9)-(D8+E8))*(S5^1/2)</f>
        <v>-15239.839199999999</v>
      </c>
      <c r="T8" s="4">
        <f>((D10+E10)-(D9+E9))*(T5^1/2)</f>
        <v>-6567.9552000000003</v>
      </c>
      <c r="U8" s="4">
        <f>((D11+E11)-(D10+E10))*(U5^1/2)</f>
        <v>26802.431500000002</v>
      </c>
      <c r="V8" s="4">
        <f>((D12+E12)-(D11+E11))*(V5^1/2)</f>
        <v>11651.584349999999</v>
      </c>
      <c r="W8" s="4">
        <f>((D13+E13)-(D12+E12))*(W5^1/2)</f>
        <v>15826.646999999999</v>
      </c>
      <c r="X8" s="4">
        <f>((D14+E14)-(D13+E13))*(X5^1/2)</f>
        <v>15176.136</v>
      </c>
      <c r="Y8" s="4">
        <f>((D15+E15)-(D14+E14))*(Y5^1/2)</f>
        <v>17794.450799999999</v>
      </c>
      <c r="Z8" s="4">
        <f>((E15+F15)-(E14+F14))*(Z5^1/2)</f>
        <v>9819.7847999999994</v>
      </c>
      <c r="AA8" s="4">
        <f>((D17+E17)-(D16+E16))*(AA5^1/2)</f>
        <v>19356.8014</v>
      </c>
      <c r="AB8" s="4">
        <f>((D18+E18)-(D17+E17))*(AB5^1/2)</f>
        <v>1933.9314999999999</v>
      </c>
      <c r="AC8" s="4">
        <f>((D19+E19)-(D18+E18))*(AC5^1/2)</f>
        <v>1822.268</v>
      </c>
      <c r="AD8" s="4">
        <f>((D20+E20)-(D19+E19))*(AD5/2)</f>
        <v>122545.8594</v>
      </c>
      <c r="AE8" s="4">
        <f>((D21+E21)-(D20+E20))*(AE5^1/2)</f>
        <v>70253.104999999996</v>
      </c>
      <c r="AF8" s="4">
        <f>((D22+E22)-(D21+E21))*(AF5^1/2)</f>
        <v>61043.2716</v>
      </c>
      <c r="AG8" s="4">
        <f>((D23+E23)-(D22+E22))*(AG5^1/2)</f>
        <v>41834.998800000001</v>
      </c>
      <c r="AH8" s="4">
        <f>((D24+E24)-(D23+E23))*(AH5^1/2)</f>
        <v>6314.6833000000006</v>
      </c>
      <c r="AI8" s="4">
        <f>((D25+E25)-(D24+E24))*(AI5^1/2)</f>
        <v>-15869.704400000001</v>
      </c>
      <c r="AJ8" s="4">
        <f>((D26+E26)-(D25+E25))*(AJ5^1/2)</f>
        <v>-6950.1669499999998</v>
      </c>
      <c r="AK8" s="4">
        <f>((D27+E27)-(D26+E26))*(AK5/2)</f>
        <v>-814.40649999999994</v>
      </c>
      <c r="AL8" s="4">
        <f>((D28+E28)-(D27+E27))*(AL5^1/2)</f>
        <v>18008.362499999999</v>
      </c>
      <c r="AM8" s="4">
        <f>((D29+E29)-(D28+E28))*(AM5^1/2)</f>
        <v>976729.72175000003</v>
      </c>
      <c r="AN8" s="4">
        <f>((D30+E30)-(D29+E29))*(AN5^1/2)</f>
        <v>-54770.8514</v>
      </c>
      <c r="AO8" s="4">
        <f>((D31+E31)-(D30+E30))*(AO5^1/2)</f>
        <v>-63500.279299999995</v>
      </c>
      <c r="AP8" s="4">
        <f>((D32+E32)-(D31+E31))*(AP5^1/2)</f>
        <v>114091.3131</v>
      </c>
      <c r="AQ8" s="4">
        <f>((D32+E32)-(D31+E31))*(AQ5^1/2)</f>
        <v>91036.591799999995</v>
      </c>
      <c r="AR8" s="4">
        <f>((E32+F32)-(E31+F31))*(AR5^1/2)</f>
        <v>311307.60360000003</v>
      </c>
    </row>
    <row r="9" spans="1:44" ht="15" customHeight="1" x14ac:dyDescent="0.25">
      <c r="A9" s="13" t="s">
        <v>23</v>
      </c>
      <c r="B9" s="14">
        <v>1441004</v>
      </c>
      <c r="C9" s="14">
        <v>89494</v>
      </c>
      <c r="D9" s="15">
        <v>0</v>
      </c>
      <c r="E9" s="14">
        <v>2055303</v>
      </c>
      <c r="F9" s="15">
        <v>0</v>
      </c>
      <c r="G9" s="15">
        <v>0</v>
      </c>
      <c r="H9" s="15">
        <v>0</v>
      </c>
      <c r="I9" s="14">
        <v>222840</v>
      </c>
      <c r="J9" s="15">
        <v>0</v>
      </c>
      <c r="K9" s="14">
        <v>1225620</v>
      </c>
      <c r="M9" s="1" t="s">
        <v>24</v>
      </c>
      <c r="N9" s="1"/>
      <c r="O9" s="4"/>
      <c r="P9" s="4">
        <f>+B5*P5</f>
        <v>146975.2488</v>
      </c>
      <c r="Q9" s="4">
        <f>+(B6+P9+P10+P14)*Q5</f>
        <v>89930.871987120016</v>
      </c>
      <c r="R9" s="4">
        <f>+(B7+Q9+P9+P10+Q10+P14+Q14)*R5</f>
        <v>30616.905820060587</v>
      </c>
      <c r="S9" s="4">
        <f>+(B8+R9+Q9+P9+P10+Q10+R10+P14+Q14+R14)*S5</f>
        <v>162467.86652239974</v>
      </c>
      <c r="T9" s="4">
        <f>+(B9+S9+R9+Q9+P9+P10+Q10+R10+S10+P14+Q14+R14+S14)*T5</f>
        <v>125872.59996759148</v>
      </c>
      <c r="U9" s="4">
        <f>+(B10+T9+S9+R9+Q9+P9+P10+Q10+R10+S10+T10+P14+Q14+R14+S14+T14)*U5</f>
        <v>202170.24224432898</v>
      </c>
      <c r="V9" s="4">
        <f>+(B11+U9+T9+S9+R9+Q9+P9+P10+Q10+R10+S10+T10+U10+P14+Q14+R14+S14+T14+U14)*V5</f>
        <v>282373.2503438862</v>
      </c>
      <c r="W9" s="4">
        <f>+(B12+V9+U9+T9+S9+R9+Q9+P9+P10+Q10+R10+S10+T10+U10+V10+P14+Q14+R14+S14+T14+U14+V14)*W5</f>
        <v>290542.42966954137</v>
      </c>
      <c r="X9" s="4">
        <f>+(B13+W9+V9+U9+T9+S9+R9+Q9+P9+P10+Q10+R10+S10+T10+U10+V10+W10+P14+Q14+R14+S14+T14+U14+V14+W14)*X5</f>
        <v>304195.64993432822</v>
      </c>
      <c r="Y9" s="4">
        <f>+(B14+X9+W9+V9+U9+T9+S9+R9+Q9+P9+P10+Q10+R10+S10+T10+U10+V10+W10+X10+P14+Q14+R14+S14+T14+U14+V14+W14+X14)*Y5</f>
        <v>267350.8484170236</v>
      </c>
      <c r="Z9" s="4">
        <f>+(B15+Y9+X9+W9+V9+U9+T9+S9+R9+Q9+P9+P10+Q10+R10+S10+T10+U10+V10+W10+X10+Y10+P14+Q14+R14+S14+T14+U14+V14+W14+X14+Y14)*Z5</f>
        <v>164970.65066179508</v>
      </c>
      <c r="AA9" s="4">
        <f>+(B16+Z9+Y9+X9+W9+V9+U9+T9+S9+R9+Q9+P9+P10+Q10+R10+S10+T10+U10+V10+W10+X10+Y10+Z10+P14+Q14+R14+S14+T14+U14+V14+W14+X14+Y14+Z14)*AA5</f>
        <v>275655.36679429375</v>
      </c>
      <c r="AB9" s="4">
        <f>+(B17+AA9+Z9+Y9+X9+W9+V9+U9+T9+S9+R9+Q9+P9+P10+Q10+R10+S10+T10+U10+V10+W10+X10+Y10+Z10+AA10+P14+Q14+R14+S14+T14+U14+V14+W14+X14+Y14+Z14+AA14)*AB5</f>
        <v>399710.29205036745</v>
      </c>
      <c r="AC9" s="4">
        <f>+(B18+AB9+AA9+Z9+Y9+X9+W9+V9+U9+T9+S9+R9+Q9+P9+P10+Q10+R10+S10+T10+U10+V10+W10+X10+Y10+Z10+AA10+AB10+P14+Q14+R14+S14+T14+U14+V14+W14+X14+Y14+Z14+AA14+AB14)*AC5</f>
        <v>279692.89143382059</v>
      </c>
      <c r="AD9" s="4">
        <f>+(B19+AC9+AB9+AA9+Z9+Y9+X9+W9+V9+U9+T9+S9+R9+Q9+P9+P10+Q10+R10+S10+T10+U10+V10+W10+X10+Y10+Z10+AA10+AB10+AC10+P14+Q14+R14+S14+T14+U14+V14+W14+X14+Y14+Z14+AA14+AB14+AC14)*AD5</f>
        <v>433340.28049307555</v>
      </c>
      <c r="AE9" s="4">
        <f>+(B20+AD9+AC9+AB9+AA9+Z9+Y9+X9+W9+V9+U9+T9+S9+R9+Q9+P9+P10+Q10+R10+S10+T10+U10+V10+W10+X10+Y10+Z10+AA10+AB10+AC10+AD10+P14+Q14+S14++R14+T14+U14+V14+W14+X14+Y14+Z14+AA14+AB14+AC14+AD14)*AE5</f>
        <v>784697.62275264133</v>
      </c>
      <c r="AF9" s="4">
        <f>+(B21+AE9+AD9+AC9+AB9+AA9+Z9+Y9+X9+W9+V9+U9+T9+S9+R9+Q9+P9+P10+Q10+R10+S10+T10+U10+V10+W10+X10+Y10+Z10+AA10+AB10+AC10+AD10+AE10+P14+Q14+R14+S14+T14+U14+V14+W14+X14+Y14+Z14+AA14+AB14+AC14+AD14+AE14)*AF5</f>
        <v>809623.22367700282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934345.62115912698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1047935.9558103178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1800945.1030708998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1009366.6181121415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495952.79546225665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664519.79738270422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784510.06038957764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1144273.2220197467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1402205.8806362096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1267555.9089524157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1825071.6315980386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2436147.7675898345</v>
      </c>
    </row>
    <row r="10" spans="1:44" ht="15" customHeight="1" x14ac:dyDescent="0.25">
      <c r="A10" s="13" t="s">
        <v>25</v>
      </c>
      <c r="B10" s="14">
        <v>1849389</v>
      </c>
      <c r="C10" s="14">
        <v>499009</v>
      </c>
      <c r="D10" s="15">
        <v>0</v>
      </c>
      <c r="E10" s="14">
        <v>1835271</v>
      </c>
      <c r="F10" s="15">
        <v>0</v>
      </c>
      <c r="G10" s="16">
        <v>-35958</v>
      </c>
      <c r="H10" s="15">
        <v>0</v>
      </c>
      <c r="I10" s="14">
        <v>221419</v>
      </c>
      <c r="J10" s="15">
        <v>0</v>
      </c>
      <c r="K10" s="14">
        <v>1350655.8788999999</v>
      </c>
      <c r="M10" s="22" t="s">
        <v>26</v>
      </c>
      <c r="N10" s="22"/>
      <c r="O10" s="23"/>
      <c r="P10" s="23">
        <f>((B6-B5)*(P5^1/2))</f>
        <v>-4531.9657999999999</v>
      </c>
      <c r="Q10" s="23">
        <f>((B7-B6)*(Q5^1/2))</f>
        <v>-704.46510000000001</v>
      </c>
      <c r="R10" s="23">
        <f>((B8-B7)*(R5/2))</f>
        <v>-413.48939999999999</v>
      </c>
      <c r="S10" s="23">
        <f>((B9-B8)*(S5/2))</f>
        <v>3362.6021999999998</v>
      </c>
      <c r="T10" s="23">
        <f>((B10-B9)*(T5^1/2))</f>
        <v>12190.29225</v>
      </c>
      <c r="U10" s="23">
        <f>((B11-B10)*(U5^1/2))</f>
        <v>-21707.902450000001</v>
      </c>
      <c r="V10" s="23">
        <f>((B12-B11)*(V5^1/2))</f>
        <v>29546.805049999999</v>
      </c>
      <c r="W10" s="23">
        <f>((B13-B12)*(W5/2))</f>
        <v>26222.931</v>
      </c>
      <c r="X10" s="23">
        <f>((B14-B13)*(X5/2))</f>
        <v>16239.984</v>
      </c>
      <c r="Y10" s="23">
        <f>((B15-B14)*(Y5/2))</f>
        <v>10334.064200000001</v>
      </c>
      <c r="Z10" s="23">
        <f>((B16-B15)*(Z5/2))</f>
        <v>14192.627299999998</v>
      </c>
      <c r="AA10" s="23">
        <f>((B17-B16)*(AA5/2))</f>
        <v>8433.1910000000007</v>
      </c>
      <c r="AB10" s="23">
        <f>((B18-B17)*(AB5^1/2))</f>
        <v>-19322.411499999998</v>
      </c>
      <c r="AC10" s="23">
        <f>((B19-B18)*(AC5^1/2))</f>
        <v>13945.457549999999</v>
      </c>
      <c r="AD10" s="23">
        <f>((B20-B19)*(AD5/2))</f>
        <v>125791.12905</v>
      </c>
      <c r="AE10" s="23">
        <f>((B21-B20)*(AE5^1/2))</f>
        <v>33568.535000000003</v>
      </c>
      <c r="AF10" s="23">
        <f>((B22-B21)*(AF5^1/2))</f>
        <v>38793.046800000004</v>
      </c>
      <c r="AG10" s="23">
        <f>((B23-B22)*(AG5/2))</f>
        <v>-9303.4924499999997</v>
      </c>
      <c r="AH10" s="23">
        <f>((B24-B23)*(AH5/2))</f>
        <v>-11926.029350000001</v>
      </c>
      <c r="AI10" s="23">
        <f>((B25-B24)*(AI5^1/2))</f>
        <v>-59914.770850000001</v>
      </c>
      <c r="AJ10" s="23">
        <f>((B26-B25)*(AJ5/2))</f>
        <v>29921.938849999999</v>
      </c>
      <c r="AK10" s="23">
        <f>((B27-B26)*(AK5/2))</f>
        <v>21801.384999999998</v>
      </c>
      <c r="AL10" s="23">
        <f>((B28-B27)*(AL5^1/2))</f>
        <v>7320.9937499999996</v>
      </c>
      <c r="AM10" s="23">
        <f>((B29-B28)*(AM5/2))</f>
        <v>128451.42565</v>
      </c>
      <c r="AN10" s="23">
        <f>((B30-B29)*(AN5/2))</f>
        <v>-242742.26079999999</v>
      </c>
      <c r="AO10" s="23">
        <f>((B31-B30)*(AO5/2))</f>
        <v>394535.34349999996</v>
      </c>
      <c r="AP10" s="23">
        <f>((B32-B31)*(AP5^1/2))</f>
        <v>520682.10674999998</v>
      </c>
      <c r="AQ10" s="23">
        <f>((C32-C31)*(AQ5/2))</f>
        <v>340845.83609999996</v>
      </c>
      <c r="AR10" s="23">
        <f>((D32-D31)*(AR5^1/2))</f>
        <v>-213996.91740000001</v>
      </c>
    </row>
    <row r="11" spans="1:44" ht="15" customHeight="1" x14ac:dyDescent="0.25">
      <c r="A11" s="13" t="s">
        <v>27</v>
      </c>
      <c r="B11" s="14">
        <v>1283342</v>
      </c>
      <c r="C11" s="14">
        <v>305300</v>
      </c>
      <c r="D11" s="15">
        <v>0</v>
      </c>
      <c r="E11" s="14">
        <v>2534161</v>
      </c>
      <c r="F11" s="15">
        <v>0</v>
      </c>
      <c r="G11" s="16">
        <v>-17279</v>
      </c>
      <c r="H11" s="15">
        <v>0</v>
      </c>
      <c r="I11" s="14">
        <v>221194</v>
      </c>
      <c r="J11" s="15">
        <v>0</v>
      </c>
      <c r="K11" s="14">
        <v>1238686.3788999999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4">
        <v>1754959</v>
      </c>
      <c r="C12" s="14">
        <v>55078</v>
      </c>
      <c r="D12" s="15">
        <v>0</v>
      </c>
      <c r="E12" s="14">
        <v>2720140</v>
      </c>
      <c r="F12" s="15">
        <v>0</v>
      </c>
      <c r="G12" s="16">
        <v>-11065</v>
      </c>
      <c r="H12" s="15">
        <v>0</v>
      </c>
      <c r="I12" s="14">
        <v>258517</v>
      </c>
      <c r="J12" s="15">
        <v>0</v>
      </c>
      <c r="K12" s="14">
        <v>1344288.3507000001</v>
      </c>
      <c r="M12" s="1" t="s">
        <v>30</v>
      </c>
      <c r="N12" s="1"/>
      <c r="O12" s="1"/>
      <c r="P12" s="4">
        <v>0</v>
      </c>
      <c r="Q12" s="24">
        <f>-($P$7+$P$8)*$N$1</f>
        <v>-13478.901364759999</v>
      </c>
      <c r="R12" s="24">
        <f>-((($P$7+$P$8)*(1+Q5))+($Q$7+$Q$8))*N1</f>
        <v>-22010.860503510943</v>
      </c>
      <c r="S12" s="24">
        <f>-((($P$7+$P$8)*(1+Q5)*(1+R5))+(($Q$7+$Q$8)*(1+R5))+((R7+R8)))*$N$1</f>
        <v>-24546.333236356913</v>
      </c>
      <c r="T12" s="24">
        <f>-((($P$7+$P$8)*(1+R5)*(1+S5)*(1+Q5))+(($Q$7+$Q$8)*(1+S5)*(1+R5))+((R7+R8)*(1+S5))+((S7+S8)))*$N$1</f>
        <v>-38410.777810115003</v>
      </c>
      <c r="U12" s="24">
        <f>-((($P$7+$P$8)*(1+T5)*(1+R5)*(1+S5)*(1+Q5))+(($Q$7+$Q$8)*(1+T5)*(1+S5)*(1+R5))+((R7+R8)*(1+S5)*(1+T5))+((S7+S8)*(1+T5))+(T7+T8))*$N$1</f>
        <v>-48388.226229955064</v>
      </c>
      <c r="V12" s="24">
        <f>-((($P$7+$P$8)*(1+U5)*(1+S5)*(1+T5)*(1+R5)*(1+Q5))+(($Q$7+$Q$8)*(1+U5)*(1+T5)*(1+S5)*(1+R5))+(($R$7+$R$8)*(1+U5)*(1+T5)*(1+S5))+((S7+S8)*(1+T5)*(1+U5))+((T7+T8)*(1+U5))+(U7+U8))*$N$1</f>
        <v>-63444.800363029979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-94016.448931262261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-122831.53980022184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-151446.82003924603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-176998.30641449805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-192432.82453878401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-221072.18368375962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-263156.10432246298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-297119.83902253286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-353050.76590802486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-430557.03473925992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-507328.82414872653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-604220.75214687211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-717274.90464749816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-844073.63222499832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-933224.96901830391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-977433.72795577033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-1067019.9447888769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-1222568.8656688379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-1307865.6652633231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-1514743.1906873549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-1657972.9325867619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-1624685.6590166863</v>
      </c>
    </row>
    <row r="13" spans="1:44" ht="15" customHeight="1" x14ac:dyDescent="0.25">
      <c r="A13" s="13" t="s">
        <v>31</v>
      </c>
      <c r="B13" s="14">
        <v>2318893</v>
      </c>
      <c r="C13" s="14">
        <v>586518</v>
      </c>
      <c r="D13" s="15">
        <v>0</v>
      </c>
      <c r="E13" s="14">
        <v>3060498</v>
      </c>
      <c r="F13" s="15">
        <v>0</v>
      </c>
      <c r="G13" s="16">
        <v>-80032</v>
      </c>
      <c r="H13" s="15">
        <v>0</v>
      </c>
      <c r="I13" s="14">
        <v>273516</v>
      </c>
      <c r="J13" s="15">
        <v>0</v>
      </c>
      <c r="K13" s="14">
        <v>3470918.04</v>
      </c>
      <c r="M13" t="s">
        <v>32</v>
      </c>
      <c r="P13">
        <v>0</v>
      </c>
      <c r="Q13" s="24">
        <f t="shared" ref="Q13:AR13" si="0">Q12*Q5</f>
        <v>-703.59865124047201</v>
      </c>
      <c r="R13" s="24">
        <f t="shared" si="0"/>
        <v>-365.38028435828164</v>
      </c>
      <c r="S13" s="24">
        <f t="shared" si="0"/>
        <v>-2194.4421913303081</v>
      </c>
      <c r="T13" s="24">
        <f t="shared" si="0"/>
        <v>-2293.1234352638658</v>
      </c>
      <c r="U13" s="24">
        <f t="shared" si="0"/>
        <v>-3711.3769518375534</v>
      </c>
      <c r="V13" s="24">
        <f t="shared" si="0"/>
        <v>-7949.6334854876559</v>
      </c>
      <c r="W13" s="24">
        <f t="shared" si="0"/>
        <v>-8743.5297506073894</v>
      </c>
      <c r="X13" s="24">
        <f t="shared" si="0"/>
        <v>-9335.19702481686</v>
      </c>
      <c r="Y13" s="24">
        <f t="shared" si="0"/>
        <v>-8617.3240602330989</v>
      </c>
      <c r="Z13" s="24">
        <f t="shared" si="0"/>
        <v>-5557.7468214152377</v>
      </c>
      <c r="AA13" s="24">
        <f t="shared" si="0"/>
        <v>-8582.5039744297665</v>
      </c>
      <c r="AB13" s="24">
        <f t="shared" si="0"/>
        <v>-13043.258837341817</v>
      </c>
      <c r="AC13" s="24">
        <f t="shared" si="0"/>
        <v>-11342.028096298154</v>
      </c>
      <c r="AD13" s="24">
        <f t="shared" si="0"/>
        <v>-17559.782486231692</v>
      </c>
      <c r="AE13" s="24">
        <f t="shared" si="0"/>
        <v>-22948.299784021616</v>
      </c>
      <c r="AF13" s="24">
        <f t="shared" si="0"/>
        <v>-25144.530828772778</v>
      </c>
      <c r="AG13" s="24">
        <f t="shared" si="0"/>
        <v>-29983.133507189737</v>
      </c>
      <c r="AH13" s="24">
        <f t="shared" si="0"/>
        <v>-38730.550212614507</v>
      </c>
      <c r="AI13" s="24">
        <f t="shared" si="0"/>
        <v>-76533.23232588805</v>
      </c>
      <c r="AJ13" s="24">
        <f t="shared" si="0"/>
        <v>-53092.231466952391</v>
      </c>
      <c r="AK13" s="24">
        <f t="shared" si="0"/>
        <v>-27530.136586039964</v>
      </c>
      <c r="AL13" s="24">
        <f t="shared" si="0"/>
        <v>-36653.764798341384</v>
      </c>
      <c r="AM13" s="24">
        <f t="shared" si="0"/>
        <v>-45988.559620400592</v>
      </c>
      <c r="AN13" s="24">
        <f t="shared" si="0"/>
        <v>-55260.11272823147</v>
      </c>
      <c r="AO13" s="24">
        <f t="shared" si="0"/>
        <v>-131571.28592549029</v>
      </c>
      <c r="AP13" s="24">
        <f t="shared" si="0"/>
        <v>-87703.630740797846</v>
      </c>
      <c r="AQ13" s="24">
        <f t="shared" si="0"/>
        <v>-76598.349485508399</v>
      </c>
      <c r="AR13" s="24">
        <f t="shared" si="0"/>
        <v>-78472.317330505946</v>
      </c>
    </row>
    <row r="14" spans="1:44" ht="15" customHeight="1" x14ac:dyDescent="0.25">
      <c r="A14" s="13" t="s">
        <v>33</v>
      </c>
      <c r="B14" s="14">
        <v>2746261</v>
      </c>
      <c r="C14" s="14">
        <v>602959</v>
      </c>
      <c r="D14" s="15">
        <v>0</v>
      </c>
      <c r="E14" s="14">
        <v>3459870</v>
      </c>
      <c r="F14" s="15">
        <v>0</v>
      </c>
      <c r="G14" s="16">
        <v>-178782</v>
      </c>
      <c r="H14" s="15">
        <v>0</v>
      </c>
      <c r="I14" s="14">
        <v>283919</v>
      </c>
      <c r="J14" s="15">
        <v>0</v>
      </c>
      <c r="K14" s="14">
        <v>3893128.3064000001</v>
      </c>
      <c r="M14" s="39" t="s">
        <v>34</v>
      </c>
      <c r="N14" s="39"/>
      <c r="O14" s="40"/>
      <c r="P14" s="40">
        <f t="shared" ref="P14:AR14" si="1">(P7+P8)-(P9+P10)+P12+P13</f>
        <v>137783.3566</v>
      </c>
      <c r="Q14" s="40">
        <f t="shared" si="1"/>
        <v>59342.870383999543</v>
      </c>
      <c r="R14" s="40">
        <f t="shared" si="1"/>
        <v>-7463.3900876036132</v>
      </c>
      <c r="S14" s="40">
        <f t="shared" si="1"/>
        <v>50048.348000178747</v>
      </c>
      <c r="T14" s="40">
        <f t="shared" si="1"/>
        <v>-19009.517276354927</v>
      </c>
      <c r="U14" s="40">
        <f t="shared" si="1"/>
        <v>3304.9422886883062</v>
      </c>
      <c r="V14" s="40">
        <f t="shared" si="1"/>
        <v>86997.67464002101</v>
      </c>
      <c r="W14" s="40">
        <f t="shared" si="1"/>
        <v>-2237.1664126957385</v>
      </c>
      <c r="X14" s="40">
        <f t="shared" si="1"/>
        <v>-51769.039902665791</v>
      </c>
      <c r="Y14" s="40">
        <f t="shared" si="1"/>
        <v>-85687.470125673688</v>
      </c>
      <c r="Z14" s="40">
        <f t="shared" si="1"/>
        <v>-156381.05047274521</v>
      </c>
      <c r="AA14" s="40">
        <f t="shared" si="1"/>
        <v>-68121.450329423998</v>
      </c>
      <c r="AB14" s="40">
        <f t="shared" si="1"/>
        <v>-10747.360465198688</v>
      </c>
      <c r="AC14" s="40">
        <f t="shared" si="1"/>
        <v>-97830.730804416744</v>
      </c>
      <c r="AD14" s="40">
        <f t="shared" si="1"/>
        <v>-76074.14125432969</v>
      </c>
      <c r="AE14" s="40">
        <f t="shared" si="1"/>
        <v>-60003.912691805905</v>
      </c>
      <c r="AF14" s="40">
        <f t="shared" si="1"/>
        <v>-230786.05682063187</v>
      </c>
      <c r="AG14" s="40">
        <f t="shared" si="1"/>
        <v>-71318.857862842313</v>
      </c>
      <c r="AH14" s="40">
        <f t="shared" si="1"/>
        <v>-133771.99206281165</v>
      </c>
      <c r="AI14" s="40">
        <f t="shared" si="1"/>
        <v>-1449401.0755146688</v>
      </c>
      <c r="AJ14" s="40">
        <f t="shared" si="1"/>
        <v>-1225906.428688712</v>
      </c>
      <c r="AK14" s="40">
        <f t="shared" si="1"/>
        <v>-1087245.4184689044</v>
      </c>
      <c r="AL14" s="40">
        <f t="shared" si="1"/>
        <v>-580732.15313449188</v>
      </c>
      <c r="AM14" s="40">
        <f t="shared" si="1"/>
        <v>240105.19398124126</v>
      </c>
      <c r="AN14" s="40">
        <f t="shared" si="1"/>
        <v>-1538073.9725037697</v>
      </c>
      <c r="AO14" s="40">
        <f t="shared" si="1"/>
        <v>-1686657.1389278651</v>
      </c>
      <c r="AP14" s="40">
        <f t="shared" si="1"/>
        <v>-2162245.3681966774</v>
      </c>
      <c r="AQ14" s="40">
        <f t="shared" si="1"/>
        <v>-2863528.4582669577</v>
      </c>
      <c r="AR14" s="40">
        <f t="shared" si="1"/>
        <v>-1641975.1961813648</v>
      </c>
    </row>
    <row r="15" spans="1:44" ht="15" customHeight="1" x14ac:dyDescent="0.25">
      <c r="A15" s="13" t="s">
        <v>35</v>
      </c>
      <c r="B15" s="14">
        <v>3109497</v>
      </c>
      <c r="C15" s="14">
        <v>499649</v>
      </c>
      <c r="D15" s="15">
        <v>0</v>
      </c>
      <c r="E15" s="14">
        <v>4085334</v>
      </c>
      <c r="F15" s="15">
        <v>0</v>
      </c>
      <c r="G15" s="14">
        <v>-101009</v>
      </c>
      <c r="H15" s="15">
        <v>0</v>
      </c>
      <c r="I15" s="14">
        <v>284088</v>
      </c>
      <c r="J15" s="15">
        <v>0</v>
      </c>
      <c r="K15" s="14">
        <v>3343715.76</v>
      </c>
    </row>
    <row r="16" spans="1:44" ht="15" customHeight="1" x14ac:dyDescent="0.25">
      <c r="A16" s="13" t="s">
        <v>36</v>
      </c>
      <c r="B16" s="14">
        <v>4013486</v>
      </c>
      <c r="C16" s="14">
        <v>443690</v>
      </c>
      <c r="D16" s="15">
        <v>0</v>
      </c>
      <c r="E16" s="14">
        <v>5943201</v>
      </c>
      <c r="F16" s="15">
        <v>0</v>
      </c>
      <c r="G16" s="14">
        <v>-182365</v>
      </c>
      <c r="H16" s="15">
        <v>0</v>
      </c>
      <c r="I16" s="14">
        <v>313122</v>
      </c>
      <c r="J16" s="15">
        <v>0</v>
      </c>
      <c r="K16" s="14">
        <v>6638186.4000000004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4391656</v>
      </c>
      <c r="C17" s="14">
        <v>539353</v>
      </c>
      <c r="D17" s="15">
        <v>0</v>
      </c>
      <c r="E17" s="14">
        <v>6811219</v>
      </c>
      <c r="F17" s="15">
        <v>0</v>
      </c>
      <c r="G17" s="14">
        <v>-147133</v>
      </c>
      <c r="H17" s="15">
        <v>0</v>
      </c>
      <c r="I17" s="14">
        <v>313124</v>
      </c>
      <c r="J17" s="15">
        <v>0</v>
      </c>
      <c r="K17" s="14">
        <v>9080596</v>
      </c>
      <c r="L17" s="41" t="str">
        <f>+L19</f>
        <v>Suzano S.A. ON</v>
      </c>
      <c r="M17" s="2" t="s">
        <v>38</v>
      </c>
      <c r="N17" s="2"/>
      <c r="O17" s="28"/>
      <c r="P17" s="42">
        <f>+C6</f>
        <v>6831</v>
      </c>
      <c r="Q17" s="42">
        <f>C7</f>
        <v>4641</v>
      </c>
      <c r="R17" s="42">
        <f>C8</f>
        <v>-46038</v>
      </c>
      <c r="S17" s="42">
        <f>C9</f>
        <v>89494</v>
      </c>
      <c r="T17" s="42">
        <f>C10</f>
        <v>499009</v>
      </c>
      <c r="U17" s="42">
        <f>C11</f>
        <v>305300</v>
      </c>
      <c r="V17" s="42">
        <f>C12</f>
        <v>55078</v>
      </c>
      <c r="W17" s="42">
        <f>C13</f>
        <v>586518</v>
      </c>
      <c r="X17" s="42">
        <f>C14</f>
        <v>602959</v>
      </c>
      <c r="Y17" s="42">
        <f>C15</f>
        <v>499649</v>
      </c>
      <c r="Z17" s="42">
        <f>C16</f>
        <v>443690</v>
      </c>
      <c r="AA17" s="42">
        <f>C17</f>
        <v>539353</v>
      </c>
      <c r="AB17" s="42">
        <f>C18</f>
        <v>-451308</v>
      </c>
      <c r="AC17" s="42">
        <f>C19</f>
        <v>877932</v>
      </c>
      <c r="AD17" s="42">
        <f>C20</f>
        <v>768997</v>
      </c>
      <c r="AE17" s="42">
        <f>C21</f>
        <v>29891</v>
      </c>
      <c r="AF17" s="42">
        <f>C22</f>
        <v>-182126</v>
      </c>
      <c r="AG17" s="42">
        <f>C23</f>
        <v>-220459</v>
      </c>
      <c r="AH17" s="42">
        <f>C24</f>
        <v>-261506</v>
      </c>
      <c r="AI17" s="42">
        <f>C25</f>
        <v>-925354</v>
      </c>
      <c r="AJ17" s="42">
        <f>C26</f>
        <v>1691998</v>
      </c>
      <c r="AK17" s="42">
        <f>C27</f>
        <v>1807433</v>
      </c>
      <c r="AL17" s="42">
        <f>C28</f>
        <v>318339</v>
      </c>
      <c r="AM17" s="42">
        <f>C29</f>
        <v>-2817518</v>
      </c>
      <c r="AN17" s="42">
        <f>C30</f>
        <v>-10724828</v>
      </c>
      <c r="AO17" s="42">
        <f>C31</f>
        <v>8626386</v>
      </c>
      <c r="AP17" s="42">
        <f>C32</f>
        <v>23381617</v>
      </c>
      <c r="AQ17" s="42">
        <f>D32</f>
        <v>7173183</v>
      </c>
      <c r="AR17" s="42">
        <f>E32</f>
        <v>55765860</v>
      </c>
    </row>
    <row r="18" spans="1:44" ht="15" customHeight="1" x14ac:dyDescent="0.25">
      <c r="A18" s="13" t="s">
        <v>39</v>
      </c>
      <c r="B18" s="14">
        <v>3736659</v>
      </c>
      <c r="C18" s="14">
        <v>-451308</v>
      </c>
      <c r="D18" s="15">
        <v>0</v>
      </c>
      <c r="E18" s="14">
        <v>6876776</v>
      </c>
      <c r="F18" s="15">
        <v>0</v>
      </c>
      <c r="G18" s="14">
        <v>-64619</v>
      </c>
      <c r="H18" s="15">
        <v>0</v>
      </c>
      <c r="I18" s="14">
        <v>306516</v>
      </c>
      <c r="J18" s="15">
        <v>0</v>
      </c>
      <c r="K18" s="14">
        <v>3705778.44</v>
      </c>
      <c r="L18" s="43" t="str">
        <f>+L19</f>
        <v>Suzano S.A. ON</v>
      </c>
      <c r="M18" s="18" t="s">
        <v>40</v>
      </c>
      <c r="N18" s="18"/>
      <c r="O18" s="25"/>
      <c r="P18" s="44">
        <f t="shared" ref="P18:AR18" si="2">P14+P17</f>
        <v>144614.3566</v>
      </c>
      <c r="Q18" s="44">
        <f t="shared" si="2"/>
        <v>63983.870383999543</v>
      </c>
      <c r="R18" s="44">
        <f t="shared" si="2"/>
        <v>-53501.390087603613</v>
      </c>
      <c r="S18" s="44">
        <f t="shared" si="2"/>
        <v>139542.34800017875</v>
      </c>
      <c r="T18" s="44">
        <f t="shared" si="2"/>
        <v>479999.48272364505</v>
      </c>
      <c r="U18" s="44">
        <f t="shared" si="2"/>
        <v>308604.94228868833</v>
      </c>
      <c r="V18" s="44">
        <f t="shared" si="2"/>
        <v>142075.674640021</v>
      </c>
      <c r="W18" s="44">
        <f t="shared" si="2"/>
        <v>584280.83358730422</v>
      </c>
      <c r="X18" s="44">
        <f t="shared" si="2"/>
        <v>551189.96009733423</v>
      </c>
      <c r="Y18" s="44">
        <f t="shared" si="2"/>
        <v>413961.52987432631</v>
      </c>
      <c r="Z18" s="44">
        <f t="shared" si="2"/>
        <v>287308.94952725479</v>
      </c>
      <c r="AA18" s="44">
        <f t="shared" si="2"/>
        <v>471231.549670576</v>
      </c>
      <c r="AB18" s="44">
        <f t="shared" si="2"/>
        <v>-462055.3604651987</v>
      </c>
      <c r="AC18" s="44">
        <f t="shared" si="2"/>
        <v>780101.2691955833</v>
      </c>
      <c r="AD18" s="44">
        <f t="shared" si="2"/>
        <v>692922.8587456703</v>
      </c>
      <c r="AE18" s="44">
        <f t="shared" si="2"/>
        <v>-30112.912691805905</v>
      </c>
      <c r="AF18" s="44">
        <f t="shared" si="2"/>
        <v>-412912.05682063184</v>
      </c>
      <c r="AG18" s="44">
        <f t="shared" si="2"/>
        <v>-291777.85786284233</v>
      </c>
      <c r="AH18" s="44">
        <f t="shared" si="2"/>
        <v>-395277.99206281162</v>
      </c>
      <c r="AI18" s="44">
        <f t="shared" si="2"/>
        <v>-2374755.0755146686</v>
      </c>
      <c r="AJ18" s="44">
        <f t="shared" si="2"/>
        <v>466091.57131128805</v>
      </c>
      <c r="AK18" s="44">
        <f t="shared" si="2"/>
        <v>720187.58153109555</v>
      </c>
      <c r="AL18" s="44">
        <f t="shared" si="2"/>
        <v>-262393.15313449188</v>
      </c>
      <c r="AM18" s="44">
        <f t="shared" si="2"/>
        <v>-2577412.8060187586</v>
      </c>
      <c r="AN18" s="44">
        <f t="shared" si="2"/>
        <v>-12262901.97250377</v>
      </c>
      <c r="AO18" s="44">
        <f t="shared" si="2"/>
        <v>6939728.8610721352</v>
      </c>
      <c r="AP18" s="44">
        <f t="shared" si="2"/>
        <v>21219371.631803323</v>
      </c>
      <c r="AQ18" s="44">
        <f t="shared" si="2"/>
        <v>4309654.5417330423</v>
      </c>
      <c r="AR18" s="44">
        <f t="shared" si="2"/>
        <v>54123884.803818636</v>
      </c>
    </row>
    <row r="19" spans="1:44" ht="15" customHeight="1" x14ac:dyDescent="0.25">
      <c r="A19" s="13" t="s">
        <v>41</v>
      </c>
      <c r="B19" s="14">
        <v>4383780</v>
      </c>
      <c r="C19" s="14">
        <v>877932</v>
      </c>
      <c r="D19" s="15">
        <v>0</v>
      </c>
      <c r="E19" s="14">
        <v>6961336</v>
      </c>
      <c r="F19" s="15">
        <v>0</v>
      </c>
      <c r="G19" s="14">
        <v>-35347</v>
      </c>
      <c r="H19" s="15">
        <v>0</v>
      </c>
      <c r="I19" s="14">
        <v>306516</v>
      </c>
      <c r="J19" s="15">
        <v>0</v>
      </c>
      <c r="K19" s="14">
        <v>6277187.7196000004</v>
      </c>
      <c r="L19" s="18" t="str">
        <f>+A1</f>
        <v>Suzano S.A. ON</v>
      </c>
      <c r="M19" s="18" t="s">
        <v>42</v>
      </c>
      <c r="N19" s="18"/>
      <c r="O19" s="31"/>
      <c r="P19" s="45">
        <f t="shared" ref="P19:AR19" si="3">P18/P17</f>
        <v>21.170305460401114</v>
      </c>
      <c r="Q19" s="45">
        <f t="shared" si="3"/>
        <v>13.786655975867172</v>
      </c>
      <c r="R19" s="45">
        <f t="shared" si="3"/>
        <v>1.1621136905948046</v>
      </c>
      <c r="S19" s="45">
        <f t="shared" si="3"/>
        <v>1.5592369097389629</v>
      </c>
      <c r="T19" s="45">
        <f t="shared" si="3"/>
        <v>0.961905462073119</v>
      </c>
      <c r="U19" s="45">
        <f t="shared" si="3"/>
        <v>1.0108252285905284</v>
      </c>
      <c r="V19" s="45">
        <f t="shared" si="3"/>
        <v>2.5795358335455352</v>
      </c>
      <c r="W19" s="45">
        <f t="shared" si="3"/>
        <v>0.99618568157721366</v>
      </c>
      <c r="X19" s="45">
        <f t="shared" si="3"/>
        <v>0.91414169138753087</v>
      </c>
      <c r="Y19" s="45">
        <f t="shared" si="3"/>
        <v>0.82850467002701156</v>
      </c>
      <c r="Z19" s="45">
        <f t="shared" si="3"/>
        <v>0.64754434295849528</v>
      </c>
      <c r="AA19" s="45">
        <f t="shared" si="3"/>
        <v>0.87369783735434126</v>
      </c>
      <c r="AB19" s="45">
        <f t="shared" si="3"/>
        <v>1.0238138044643541</v>
      </c>
      <c r="AC19" s="45">
        <f t="shared" si="3"/>
        <v>0.88856684708563227</v>
      </c>
      <c r="AD19" s="45">
        <f t="shared" si="3"/>
        <v>0.90107355262201316</v>
      </c>
      <c r="AE19" s="45">
        <f t="shared" si="3"/>
        <v>-1.0074240638254293</v>
      </c>
      <c r="AF19" s="45">
        <f t="shared" si="3"/>
        <v>2.2671779801930083</v>
      </c>
      <c r="AG19" s="45">
        <f t="shared" si="3"/>
        <v>1.3235016844984433</v>
      </c>
      <c r="AH19" s="45">
        <f t="shared" si="3"/>
        <v>1.5115446378393291</v>
      </c>
      <c r="AI19" s="45">
        <f t="shared" si="3"/>
        <v>2.5663206464927679</v>
      </c>
      <c r="AJ19" s="45">
        <f t="shared" si="3"/>
        <v>0.27546815735673924</v>
      </c>
      <c r="AK19" s="45">
        <f t="shared" si="3"/>
        <v>0.39845879848995541</v>
      </c>
      <c r="AL19" s="45">
        <f t="shared" si="3"/>
        <v>-0.82425701260132089</v>
      </c>
      <c r="AM19" s="45">
        <f t="shared" si="3"/>
        <v>0.91478130965578874</v>
      </c>
      <c r="AN19" s="45">
        <f t="shared" si="3"/>
        <v>1.1434124605544975</v>
      </c>
      <c r="AO19" s="45">
        <f t="shared" si="3"/>
        <v>0.80447696881082476</v>
      </c>
      <c r="AP19" s="45">
        <f t="shared" si="3"/>
        <v>0.90752370256528125</v>
      </c>
      <c r="AQ19" s="45">
        <f t="shared" si="3"/>
        <v>0.60080086367976981</v>
      </c>
      <c r="AR19" s="45">
        <f t="shared" si="3"/>
        <v>0.97055590649581369</v>
      </c>
    </row>
    <row r="20" spans="1:44" ht="15" customHeight="1" x14ac:dyDescent="0.25">
      <c r="A20" s="13" t="s">
        <v>43</v>
      </c>
      <c r="B20" s="14">
        <v>8640671</v>
      </c>
      <c r="C20" s="14">
        <v>768997</v>
      </c>
      <c r="D20" s="14">
        <v>169911</v>
      </c>
      <c r="E20" s="14">
        <v>10938493</v>
      </c>
      <c r="F20" s="14">
        <v>0</v>
      </c>
      <c r="G20" s="14">
        <v>-249022</v>
      </c>
      <c r="H20" s="15">
        <v>0</v>
      </c>
      <c r="I20" s="14">
        <v>397951</v>
      </c>
      <c r="J20" s="15">
        <v>0</v>
      </c>
      <c r="K20" s="14">
        <v>5881715.7800000003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9673549</v>
      </c>
      <c r="C21" s="14">
        <v>29891</v>
      </c>
      <c r="D21" s="14">
        <v>198556</v>
      </c>
      <c r="E21" s="14">
        <v>13071482</v>
      </c>
      <c r="F21" s="14">
        <v>0</v>
      </c>
      <c r="G21" s="14">
        <v>-154261</v>
      </c>
      <c r="H21" s="15">
        <v>0</v>
      </c>
      <c r="I21" s="14">
        <v>397951</v>
      </c>
      <c r="J21" s="15">
        <v>0</v>
      </c>
      <c r="K21" s="14">
        <v>2682189.7400000002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11002078</v>
      </c>
      <c r="C22" s="14">
        <v>-182126</v>
      </c>
      <c r="D22" s="14">
        <v>212739</v>
      </c>
      <c r="E22" s="14">
        <v>15147822</v>
      </c>
      <c r="F22" s="14">
        <v>0</v>
      </c>
      <c r="G22" s="14">
        <v>-83242</v>
      </c>
      <c r="H22" s="15">
        <v>0</v>
      </c>
      <c r="I22" s="14">
        <v>1090033</v>
      </c>
      <c r="J22" s="15">
        <v>0</v>
      </c>
      <c r="K22" s="14">
        <v>7652031.6600000001</v>
      </c>
      <c r="L22" s="47" t="str">
        <f>+L24</f>
        <v>Suzano S.A. ON</v>
      </c>
      <c r="M22" s="39" t="s">
        <v>46</v>
      </c>
      <c r="N22" s="32"/>
      <c r="O22" s="32"/>
      <c r="P22" s="30">
        <v>1442587</v>
      </c>
      <c r="Q22" s="30">
        <v>1415596</v>
      </c>
      <c r="R22" s="30">
        <v>1365778</v>
      </c>
      <c r="S22" s="30">
        <v>10502002</v>
      </c>
      <c r="T22" s="30">
        <v>10565590</v>
      </c>
      <c r="U22" s="30">
        <v>1283342</v>
      </c>
      <c r="V22" s="30">
        <v>1754959</v>
      </c>
      <c r="W22" s="30">
        <v>2318893</v>
      </c>
      <c r="X22" s="30">
        <v>2746261</v>
      </c>
      <c r="Y22" s="30">
        <v>3109497</v>
      </c>
      <c r="Z22" s="30">
        <v>4013486</v>
      </c>
      <c r="AA22" s="30">
        <v>4391656</v>
      </c>
      <c r="AB22" s="30">
        <v>3736659</v>
      </c>
      <c r="AC22" s="30">
        <v>4383780</v>
      </c>
      <c r="AD22" s="30">
        <v>8640671</v>
      </c>
      <c r="AE22" s="30">
        <v>9673549</v>
      </c>
      <c r="AF22" s="30">
        <v>11002078</v>
      </c>
      <c r="AG22" s="30">
        <v>10687239</v>
      </c>
      <c r="AH22" s="30">
        <v>10315132</v>
      </c>
      <c r="AI22" s="30">
        <v>9192081</v>
      </c>
      <c r="AJ22" s="30">
        <v>10143494</v>
      </c>
      <c r="AK22" s="30">
        <v>11621554</v>
      </c>
      <c r="AL22" s="30">
        <v>12012007</v>
      </c>
      <c r="AM22" s="30">
        <v>17972630</v>
      </c>
      <c r="AN22" s="30">
        <v>7231822</v>
      </c>
      <c r="AO22" s="30">
        <v>15075467</v>
      </c>
      <c r="AP22" s="30">
        <v>33061032</v>
      </c>
      <c r="AQ22" s="30">
        <v>33061032</v>
      </c>
      <c r="AR22" s="30">
        <v>33061032</v>
      </c>
    </row>
    <row r="23" spans="1:44" ht="15" customHeight="1" x14ac:dyDescent="0.25">
      <c r="A23" s="13" t="s">
        <v>47</v>
      </c>
      <c r="B23" s="14">
        <v>10687239</v>
      </c>
      <c r="C23" s="14">
        <v>-220459</v>
      </c>
      <c r="D23" s="14">
        <v>224590</v>
      </c>
      <c r="E23" s="14">
        <v>16551707</v>
      </c>
      <c r="F23" s="14">
        <v>0</v>
      </c>
      <c r="G23" s="14">
        <v>-99977</v>
      </c>
      <c r="H23" s="15">
        <v>0</v>
      </c>
      <c r="I23" s="14">
        <v>1084798</v>
      </c>
      <c r="J23" s="15">
        <v>0</v>
      </c>
      <c r="K23" s="14">
        <v>10023533.52</v>
      </c>
      <c r="L23" s="47" t="str">
        <f>+L25</f>
        <v>Suzano S.A. ON</v>
      </c>
      <c r="M23" s="39" t="s">
        <v>48</v>
      </c>
      <c r="N23" s="32"/>
      <c r="O23" s="32"/>
      <c r="P23" s="30">
        <f>P22+P9+P10+P14</f>
        <v>1722813.6396000001</v>
      </c>
      <c r="Q23" s="33">
        <f>Q22+Q9+Q10+Q14+((P9+P10+P14)*(1+Q5))</f>
        <v>1859019.7474582396</v>
      </c>
      <c r="R23" s="33">
        <f>R22+R9+R10+R14+((Q9+Q10+Q14)*(1+R5))+(((P9+P10+P14)*(1+R5)*(1+Q5)))</f>
        <v>1839302.6079985029</v>
      </c>
      <c r="S23" s="33">
        <f>S22+S9+S10+S14+((R9+R10+R14)*(1+S5))+(((Q9+Q10+Q14)*(1+S5)*(1+R5)))+(((P9+P10+P14)*(1+S5)*(1+R5)*(1+Q5)))</f>
        <v>11233738.524676148</v>
      </c>
      <c r="T23" s="33">
        <f>T22+T9+T10+T14+((S9+S10+S14)*(1+T5))+(((R9+R10+R14)*(1+T5)*(1+S5)))+(((Q9+Q10+Q14)*(1+T5)*(1+S5)*(1+R5)))+(((P9+P10+P14)*(1+T5)*(1+S5)*(1+R5)*(1+Q5)))</f>
        <v>11460064.570140552</v>
      </c>
      <c r="U23" s="33">
        <f>U22+U9+U10+U14+((T9+T10+T14)*(1+U5))+((S9+S10+S14)*(1+U5)*(1+T5))+((R9+R10+R14)*(1+U5)*(1+T5)*(1+S5))+((Q9+Q10+Q14)*(1+U5)*(1+T5)*(1+S5)*(1+R5))+((P9+P10+P14)*(1+U5)*(1+T5)*(1+S5)*(1+R5)*(1+Q5))</f>
        <v>2430190.0517533487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3444424.8426719499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4480007.360297286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5340286.6457115449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6043120.1474438794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7062007.1417626683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7792108.2921501528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7707378.4974721801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8721445.1259926353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13717749.403227545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15838899.744498167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18145115.441633232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19106153.225280039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20175936.561518002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20396662.6649382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21866225.979936246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23120615.335337721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24033391.773411088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31665203.137165934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20906756.431681808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30236183.920717344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48725547.077932604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48751636.683964185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50089668.544208132</v>
      </c>
    </row>
    <row r="24" spans="1:44" ht="15" customHeight="1" x14ac:dyDescent="0.25">
      <c r="A24" s="13" t="s">
        <v>49</v>
      </c>
      <c r="B24" s="14">
        <v>10315132</v>
      </c>
      <c r="C24" s="14">
        <v>-261506</v>
      </c>
      <c r="D24" s="14">
        <v>292070</v>
      </c>
      <c r="E24" s="14">
        <v>16681253</v>
      </c>
      <c r="F24" s="14">
        <v>0</v>
      </c>
      <c r="G24" s="14">
        <v>-122180</v>
      </c>
      <c r="H24" s="15">
        <v>0</v>
      </c>
      <c r="I24" s="14">
        <v>1086598</v>
      </c>
      <c r="J24" s="15">
        <v>0</v>
      </c>
      <c r="K24" s="14">
        <v>12224227.5</v>
      </c>
      <c r="L24" s="47" t="str">
        <f>+L25</f>
        <v>Suzano S.A. ON</v>
      </c>
      <c r="M24" s="39" t="s">
        <v>50</v>
      </c>
      <c r="N24" s="32"/>
      <c r="O24" s="32"/>
      <c r="P24" s="30">
        <v>603760.51066000003</v>
      </c>
      <c r="Q24" s="30">
        <v>451162</v>
      </c>
      <c r="R24" s="30">
        <v>122668.91164999999</v>
      </c>
      <c r="S24" s="30">
        <v>17428087.655999999</v>
      </c>
      <c r="T24" s="30">
        <v>16748049.408</v>
      </c>
      <c r="U24" s="30">
        <v>1238686.3788999999</v>
      </c>
      <c r="V24" s="30">
        <v>1344288.3507000001</v>
      </c>
      <c r="W24" s="30">
        <v>3470918.04</v>
      </c>
      <c r="X24" s="30">
        <v>3893128.3064000001</v>
      </c>
      <c r="Y24" s="30">
        <v>3343715.76</v>
      </c>
      <c r="Z24" s="30">
        <v>6638186.4000000004</v>
      </c>
      <c r="AA24" s="30">
        <v>9080596</v>
      </c>
      <c r="AB24" s="30">
        <v>3705778.44</v>
      </c>
      <c r="AC24" s="30">
        <v>6277187.7196000004</v>
      </c>
      <c r="AD24" s="30">
        <v>5881715.7800000003</v>
      </c>
      <c r="AE24" s="30">
        <v>2682189.7400000002</v>
      </c>
      <c r="AF24" s="30">
        <v>7652031.6600000001</v>
      </c>
      <c r="AG24" s="30">
        <v>10023533.52</v>
      </c>
      <c r="AH24" s="30">
        <v>12224227.5</v>
      </c>
      <c r="AI24" s="30">
        <v>20340586.355999999</v>
      </c>
      <c r="AJ24" s="30">
        <v>15480754.800000001</v>
      </c>
      <c r="AK24" s="30">
        <v>20409180.960000001</v>
      </c>
      <c r="AL24" s="30">
        <v>41651294.719999999</v>
      </c>
      <c r="AM24" s="30">
        <v>53537112.294</v>
      </c>
      <c r="AN24" s="30">
        <v>78983431.292999998</v>
      </c>
      <c r="AO24" s="30">
        <v>81101709.173999995</v>
      </c>
      <c r="AP24" s="30">
        <v>63163141.204000004</v>
      </c>
      <c r="AQ24" s="30">
        <f>+K33</f>
        <v>69461026.948010698</v>
      </c>
      <c r="AR24" s="30">
        <f>+K34</f>
        <v>76560241.733335897</v>
      </c>
    </row>
    <row r="25" spans="1:44" ht="15" customHeight="1" x14ac:dyDescent="0.25">
      <c r="A25" s="13" t="s">
        <v>51</v>
      </c>
      <c r="B25" s="14">
        <v>9192081</v>
      </c>
      <c r="C25" s="14">
        <v>-925354</v>
      </c>
      <c r="D25" s="14">
        <v>329625</v>
      </c>
      <c r="E25" s="14">
        <v>16346234</v>
      </c>
      <c r="F25" s="14">
        <v>0</v>
      </c>
      <c r="G25" s="14">
        <v>-269936</v>
      </c>
      <c r="H25" s="15">
        <v>0</v>
      </c>
      <c r="I25" s="14">
        <v>1088398</v>
      </c>
      <c r="J25" s="15">
        <v>0</v>
      </c>
      <c r="K25" s="14">
        <v>20340586.355999999</v>
      </c>
      <c r="L25" s="39" t="str">
        <f>+A1</f>
        <v>Suzano S.A. ON</v>
      </c>
      <c r="M25" s="39" t="s">
        <v>52</v>
      </c>
      <c r="N25" s="18"/>
      <c r="O25" s="18"/>
      <c r="P25" s="31">
        <f t="shared" ref="P25:AR25" si="4">P24/P23</f>
        <v>0.35045027319390165</v>
      </c>
      <c r="Q25" s="31">
        <f t="shared" si="4"/>
        <v>0.2426881159368291</v>
      </c>
      <c r="R25" s="31">
        <f t="shared" si="4"/>
        <v>6.669316463563664E-2</v>
      </c>
      <c r="S25" s="31">
        <f t="shared" si="4"/>
        <v>1.5514058492386376</v>
      </c>
      <c r="T25" s="31">
        <f t="shared" si="4"/>
        <v>1.461427141661785</v>
      </c>
      <c r="U25" s="31">
        <f t="shared" si="4"/>
        <v>0.50970761649127183</v>
      </c>
      <c r="V25" s="31">
        <f t="shared" si="4"/>
        <v>0.39027948412344887</v>
      </c>
      <c r="W25" s="31">
        <f t="shared" si="4"/>
        <v>0.77475721820458698</v>
      </c>
      <c r="X25" s="31">
        <f t="shared" si="4"/>
        <v>0.72901111207697655</v>
      </c>
      <c r="Y25" s="31">
        <f t="shared" si="4"/>
        <v>0.55330949549535691</v>
      </c>
      <c r="Z25" s="31">
        <f t="shared" si="4"/>
        <v>0.9399857953617301</v>
      </c>
      <c r="AA25" s="31">
        <f t="shared" si="4"/>
        <v>1.1653580339929159</v>
      </c>
      <c r="AB25" s="31">
        <f t="shared" si="4"/>
        <v>0.48080919358189028</v>
      </c>
      <c r="AC25" s="31">
        <f t="shared" si="4"/>
        <v>0.71974169749598227</v>
      </c>
      <c r="AD25" s="31">
        <f t="shared" si="4"/>
        <v>0.42876681933088351</v>
      </c>
      <c r="AE25" s="31">
        <f t="shared" si="4"/>
        <v>0.16934192294080852</v>
      </c>
      <c r="AF25" s="31">
        <f t="shared" si="4"/>
        <v>0.42171303261277265</v>
      </c>
      <c r="AG25" s="31">
        <f t="shared" si="4"/>
        <v>0.52462331908536675</v>
      </c>
      <c r="AH25" s="31">
        <f t="shared" si="4"/>
        <v>0.60588153926472643</v>
      </c>
      <c r="AI25" s="31">
        <f t="shared" si="4"/>
        <v>0.99725071155711187</v>
      </c>
      <c r="AJ25" s="31">
        <f t="shared" si="4"/>
        <v>0.70797561564600353</v>
      </c>
      <c r="AK25" s="31">
        <f t="shared" si="4"/>
        <v>0.88272654788760996</v>
      </c>
      <c r="AL25" s="31">
        <f t="shared" si="4"/>
        <v>1.7330593664303413</v>
      </c>
      <c r="AM25" s="31">
        <f t="shared" si="4"/>
        <v>1.6907237910993431</v>
      </c>
      <c r="AN25" s="31">
        <f t="shared" si="4"/>
        <v>3.7778902505081851</v>
      </c>
      <c r="AO25" s="31">
        <f t="shared" si="4"/>
        <v>2.6822733115613318</v>
      </c>
      <c r="AP25" s="31">
        <f t="shared" si="4"/>
        <v>1.2963044027597193</v>
      </c>
      <c r="AQ25" s="31">
        <f t="shared" si="4"/>
        <v>1.4247937438141114</v>
      </c>
      <c r="AR25" s="31">
        <f t="shared" si="4"/>
        <v>1.5284637323116916</v>
      </c>
    </row>
    <row r="26" spans="1:44" ht="15" customHeight="1" x14ac:dyDescent="0.25">
      <c r="A26" s="13" t="s">
        <v>53</v>
      </c>
      <c r="B26" s="14">
        <v>10143494</v>
      </c>
      <c r="C26" s="14">
        <v>1691998</v>
      </c>
      <c r="D26" s="14">
        <v>219588</v>
      </c>
      <c r="E26" s="14">
        <v>16235280</v>
      </c>
      <c r="F26" s="14">
        <v>873</v>
      </c>
      <c r="G26" s="14">
        <v>-299926</v>
      </c>
      <c r="H26" s="15">
        <v>0</v>
      </c>
      <c r="I26" s="14">
        <v>1090194</v>
      </c>
      <c r="J26" s="15">
        <v>0</v>
      </c>
      <c r="K26" s="14">
        <v>15480754.800000001</v>
      </c>
    </row>
    <row r="27" spans="1:44" ht="15" customHeight="1" x14ac:dyDescent="0.25">
      <c r="A27" s="13" t="s">
        <v>54</v>
      </c>
      <c r="B27" s="14">
        <v>11621554</v>
      </c>
      <c r="C27" s="14">
        <v>1807433</v>
      </c>
      <c r="D27" s="14">
        <v>188426</v>
      </c>
      <c r="E27" s="14">
        <v>16211228</v>
      </c>
      <c r="F27" s="14">
        <v>6764</v>
      </c>
      <c r="G27" s="14">
        <v>-570568</v>
      </c>
      <c r="H27" s="15">
        <v>0</v>
      </c>
      <c r="I27" s="14">
        <v>1091984</v>
      </c>
      <c r="J27" s="17">
        <v>17.346929503999998</v>
      </c>
      <c r="K27" s="14">
        <v>20409180.960000001</v>
      </c>
      <c r="S27" s="67"/>
    </row>
    <row r="28" spans="1:44" ht="15" customHeight="1" x14ac:dyDescent="0.25">
      <c r="A28" s="13" t="s">
        <v>55</v>
      </c>
      <c r="B28" s="14">
        <v>12012007</v>
      </c>
      <c r="C28" s="14">
        <v>318339</v>
      </c>
      <c r="D28" s="14">
        <v>339841</v>
      </c>
      <c r="E28" s="14">
        <v>17020259</v>
      </c>
      <c r="F28" s="14">
        <v>14338</v>
      </c>
      <c r="G28" s="14">
        <v>-210205</v>
      </c>
      <c r="H28" s="20">
        <v>0.50480149684999998</v>
      </c>
      <c r="I28" s="14">
        <v>1093784</v>
      </c>
      <c r="J28" s="17">
        <v>35.514227832000003</v>
      </c>
      <c r="K28" s="14">
        <v>41651294.719999999</v>
      </c>
    </row>
    <row r="29" spans="1:44" ht="15" customHeight="1" x14ac:dyDescent="0.25">
      <c r="A29" s="13" t="s">
        <v>56</v>
      </c>
      <c r="B29" s="14">
        <v>17972630</v>
      </c>
      <c r="C29" s="14">
        <v>-2817518</v>
      </c>
      <c r="D29" s="14">
        <v>17712803</v>
      </c>
      <c r="E29" s="14">
        <v>44971182</v>
      </c>
      <c r="F29" s="14">
        <v>322446</v>
      </c>
      <c r="G29" s="14">
        <v>-606632</v>
      </c>
      <c r="H29" s="20">
        <v>1.1207178930999999</v>
      </c>
      <c r="I29" s="14">
        <v>1349221.58</v>
      </c>
      <c r="J29" s="17">
        <v>37.411908701999998</v>
      </c>
      <c r="K29" s="14">
        <v>53537112.294</v>
      </c>
    </row>
    <row r="30" spans="1:44" ht="15" customHeight="1" x14ac:dyDescent="0.25">
      <c r="A30" s="13" t="s">
        <v>57</v>
      </c>
      <c r="B30" s="14">
        <v>7231822</v>
      </c>
      <c r="C30" s="14">
        <v>-10724828</v>
      </c>
      <c r="D30" s="14">
        <v>16759528</v>
      </c>
      <c r="E30" s="14">
        <v>43500968</v>
      </c>
      <c r="F30" s="14">
        <v>359071</v>
      </c>
      <c r="G30" s="14">
        <v>0</v>
      </c>
      <c r="H30" s="20">
        <v>0</v>
      </c>
      <c r="I30" s="14">
        <v>1349221.58</v>
      </c>
      <c r="J30" s="17">
        <v>55.193879420999998</v>
      </c>
      <c r="K30" s="14">
        <v>78983431.292999998</v>
      </c>
    </row>
    <row r="31" spans="1:44" ht="15" customHeight="1" x14ac:dyDescent="0.25">
      <c r="A31" s="13" t="s">
        <v>58</v>
      </c>
      <c r="B31" s="14">
        <v>15075467</v>
      </c>
      <c r="C31" s="14">
        <v>8626386</v>
      </c>
      <c r="D31" s="14">
        <v>16034339</v>
      </c>
      <c r="E31" s="14">
        <v>42963726</v>
      </c>
      <c r="F31" s="14">
        <v>524066</v>
      </c>
      <c r="G31" s="14">
        <v>-9683</v>
      </c>
      <c r="H31" s="20">
        <v>0</v>
      </c>
      <c r="I31" s="14">
        <v>1349221.58</v>
      </c>
      <c r="J31" s="17">
        <v>56.674138913</v>
      </c>
      <c r="K31" s="14">
        <v>81101709.173999995</v>
      </c>
    </row>
    <row r="32" spans="1:44" ht="15" customHeight="1" x14ac:dyDescent="0.25">
      <c r="A32" s="13" t="s">
        <v>59</v>
      </c>
      <c r="B32" s="14">
        <v>33061032</v>
      </c>
      <c r="C32" s="14">
        <v>23381617</v>
      </c>
      <c r="D32" s="14">
        <v>7173183</v>
      </c>
      <c r="E32" s="14">
        <v>55765860</v>
      </c>
      <c r="F32" s="14">
        <v>612516</v>
      </c>
      <c r="G32" s="14">
        <v>-4150782</v>
      </c>
      <c r="H32" s="20">
        <v>6.4858095647000003</v>
      </c>
      <c r="I32" s="14">
        <v>1309352.0149999999</v>
      </c>
      <c r="J32" s="17">
        <v>48.24</v>
      </c>
      <c r="K32" s="14">
        <v>59770226.905879401</v>
      </c>
    </row>
    <row r="33" spans="1:42" ht="15" customHeight="1" x14ac:dyDescent="0.25">
      <c r="A33" s="13" t="s">
        <v>60</v>
      </c>
      <c r="B33" s="14">
        <v>44692770</v>
      </c>
      <c r="C33" s="14">
        <v>14084848</v>
      </c>
      <c r="D33" s="14">
        <v>6557009</v>
      </c>
      <c r="E33" s="14">
        <v>64485700</v>
      </c>
      <c r="F33" s="14"/>
      <c r="G33" s="14"/>
      <c r="H33" s="14"/>
      <c r="I33" s="14"/>
      <c r="J33" s="14"/>
      <c r="K33" s="14">
        <v>69461026.948010698</v>
      </c>
    </row>
    <row r="34" spans="1:42" ht="15" customHeight="1" x14ac:dyDescent="0.25">
      <c r="A34" s="13" t="s">
        <v>61</v>
      </c>
      <c r="B34" s="14">
        <v>32284269</v>
      </c>
      <c r="C34" s="14">
        <v>-7074198</v>
      </c>
      <c r="D34" s="14">
        <v>5709964</v>
      </c>
      <c r="E34" s="14">
        <v>70166731</v>
      </c>
      <c r="F34" s="14"/>
      <c r="G34" s="14"/>
      <c r="H34" s="14"/>
      <c r="I34" s="14"/>
      <c r="J34" s="14"/>
      <c r="K34" s="14">
        <v>76560241.733335897</v>
      </c>
    </row>
    <row r="46" spans="1:42" ht="15" customHeight="1" x14ac:dyDescent="0.25">
      <c r="M46" s="46" t="s">
        <v>62</v>
      </c>
      <c r="N46" s="1"/>
      <c r="O46" s="1"/>
      <c r="P46" s="35">
        <f>-G6/P17</f>
        <v>0</v>
      </c>
      <c r="Q46" s="35">
        <f>-G7/Q17</f>
        <v>0</v>
      </c>
      <c r="R46" s="35">
        <f>-G8/R17</f>
        <v>0</v>
      </c>
      <c r="S46" s="35">
        <f>-G9/S17</f>
        <v>0</v>
      </c>
      <c r="T46" s="35">
        <f>-G10/T17</f>
        <v>7.2058820582394309E-2</v>
      </c>
      <c r="U46" s="35">
        <f>-G11/U17</f>
        <v>5.6596790042581065E-2</v>
      </c>
      <c r="V46" s="35">
        <f>-G12/V17</f>
        <v>0.20089690983695849</v>
      </c>
      <c r="W46" s="35">
        <f>-G13/W17</f>
        <v>0.13645276018809313</v>
      </c>
      <c r="X46" s="35">
        <f>-G14/X17</f>
        <v>0.29650772274731779</v>
      </c>
      <c r="Y46" s="35">
        <f>-G15/Y17</f>
        <v>0.20215991626121538</v>
      </c>
      <c r="Z46" s="35">
        <f>-G16/Z17</f>
        <v>0.41101895467556177</v>
      </c>
      <c r="AA46" s="35">
        <f>-G17/AA17</f>
        <v>0.27279536778325142</v>
      </c>
      <c r="AB46" s="35">
        <f>-G18/AB17</f>
        <v>-0.14318159660364985</v>
      </c>
      <c r="AC46" s="35">
        <f>-G19/AC17</f>
        <v>4.0261660356382956E-2</v>
      </c>
      <c r="AD46" s="35">
        <f>-G20/AD17</f>
        <v>0.32382701102865163</v>
      </c>
      <c r="AE46" s="35">
        <f>-G21/AE17</f>
        <v>5.1607841825298584</v>
      </c>
      <c r="AF46" s="35">
        <f>-G22/AF17</f>
        <v>-0.45705720215674861</v>
      </c>
      <c r="AG46" s="35">
        <f>-G23/AG17</f>
        <v>-0.45349475412661766</v>
      </c>
      <c r="AH46" s="35">
        <f>-G24/AH17</f>
        <v>-0.46721681338095494</v>
      </c>
      <c r="AI46" s="35">
        <f>-G25/AI17</f>
        <v>-0.29171106409006714</v>
      </c>
      <c r="AJ46" s="35">
        <f>-G26/AJ17</f>
        <v>0.17726143884330833</v>
      </c>
      <c r="AK46" s="35">
        <f>-G27/AK17</f>
        <v>0.31567864479623864</v>
      </c>
      <c r="AL46" s="35">
        <f>-G28/AL17</f>
        <v>0.66031808857852792</v>
      </c>
      <c r="AM46" s="35">
        <f>-G29/AM17</f>
        <v>-0.21530723140011881</v>
      </c>
      <c r="AN46" s="35">
        <f>-G30/AN17</f>
        <v>0</v>
      </c>
      <c r="AO46" s="35">
        <f>-G31/AO17</f>
        <v>1.12248628800056E-3</v>
      </c>
      <c r="AP46" s="35">
        <f>-G32/AP17</f>
        <v>0.17752330816127901</v>
      </c>
    </row>
    <row r="47" spans="1:42" ht="15" customHeight="1" x14ac:dyDescent="0.25">
      <c r="M47" s="39" t="s">
        <v>63</v>
      </c>
      <c r="N47" s="32"/>
      <c r="O47" s="32"/>
      <c r="P47" s="36">
        <f>-G6/P18</f>
        <v>0</v>
      </c>
      <c r="Q47" s="36">
        <f>-G7/Q18</f>
        <v>0</v>
      </c>
      <c r="R47" s="36">
        <f>-G8/R18</f>
        <v>0</v>
      </c>
      <c r="S47" s="36">
        <f>-G9/S18</f>
        <v>0</v>
      </c>
      <c r="T47" s="36">
        <f>-G10/T18</f>
        <v>7.4912580730222292E-2</v>
      </c>
      <c r="U47" s="36">
        <f>-G11/U18</f>
        <v>5.5990678152640035E-2</v>
      </c>
      <c r="V47" s="36">
        <f>-G12/V18</f>
        <v>7.7881030852294281E-2</v>
      </c>
      <c r="W47" s="36">
        <f>-G13/W18</f>
        <v>0.13697522732112943</v>
      </c>
      <c r="X47" s="36">
        <f>-G14/X18</f>
        <v>0.32435641601387116</v>
      </c>
      <c r="Y47" s="36">
        <f>-G15/Y18</f>
        <v>0.24400576553735587</v>
      </c>
      <c r="Z47" s="36">
        <f>-G16/Z18</f>
        <v>0.63473483962148713</v>
      </c>
      <c r="AA47" s="36">
        <f>-G17/AA18</f>
        <v>0.31223079206571869</v>
      </c>
      <c r="AB47" s="36">
        <f>-G18/AB18</f>
        <v>-0.1398512072989293</v>
      </c>
      <c r="AC47" s="36">
        <f>-G19/AC18</f>
        <v>4.5310783863290918E-2</v>
      </c>
      <c r="AD47" s="36">
        <f>-G20/AD18</f>
        <v>0.35937910960359987</v>
      </c>
      <c r="AE47" s="36">
        <f>-G21/AE18</f>
        <v>-5.122752540705779</v>
      </c>
      <c r="AF47" s="36">
        <f>-G22/AF18</f>
        <v>-0.20159740706278323</v>
      </c>
      <c r="AG47" s="36">
        <f>-G23/AG18</f>
        <v>-0.34264765918939866</v>
      </c>
      <c r="AH47" s="36">
        <f>-G24/AH18</f>
        <v>-0.30909891887070962</v>
      </c>
      <c r="AI47" s="36">
        <f>-G25/AI18</f>
        <v>-0.11366898539694589</v>
      </c>
      <c r="AJ47" s="36">
        <f>-G26/AJ18</f>
        <v>0.64349157646467881</v>
      </c>
      <c r="AK47" s="36">
        <f>-G27/AK18</f>
        <v>0.79224915096007464</v>
      </c>
      <c r="AL47" s="36">
        <f>-G28/AL18</f>
        <v>-0.80110703152478069</v>
      </c>
      <c r="AM47" s="36">
        <f>-G29/AM18</f>
        <v>-0.23536470315635769</v>
      </c>
      <c r="AN47" s="36">
        <f>-G30/AN18</f>
        <v>0</v>
      </c>
      <c r="AO47" s="36">
        <f>-G31/AO18</f>
        <v>1.3952994697409619E-3</v>
      </c>
      <c r="AP47" s="36">
        <f>-G32/AP18</f>
        <v>0.19561286130541497</v>
      </c>
    </row>
    <row r="48" spans="1:42" ht="15" customHeight="1" x14ac:dyDescent="0.25">
      <c r="M48" s="39" t="s">
        <v>64</v>
      </c>
      <c r="N48" s="32"/>
      <c r="O48" s="32"/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50">
        <v>0</v>
      </c>
      <c r="AH48" s="50">
        <v>0</v>
      </c>
      <c r="AI48" s="50">
        <v>0</v>
      </c>
      <c r="AJ48" s="50">
        <v>0</v>
      </c>
      <c r="AK48" s="50">
        <v>0</v>
      </c>
      <c r="AL48" s="37">
        <v>0.50480149684999998</v>
      </c>
      <c r="AM48" s="37">
        <v>1.1207178930999999</v>
      </c>
      <c r="AN48" s="37">
        <v>0</v>
      </c>
      <c r="AO48" s="37">
        <v>0</v>
      </c>
      <c r="AP48" s="37">
        <v>6.4858095647000003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R49"/>
  <sheetViews>
    <sheetView showGridLines="0" topLeftCell="M1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4" customWidth="1"/>
    <col min="17" max="28" width="9.28515625" customWidth="1"/>
    <col min="29" max="29" width="12.85546875" customWidth="1"/>
    <col min="30" max="30" width="14.5703125" customWidth="1"/>
    <col min="31" max="31" width="10" customWidth="1"/>
    <col min="32" max="33" width="14.5703125" customWidth="1"/>
    <col min="34" max="34" width="14.28515625" customWidth="1"/>
    <col min="35" max="36" width="12.85546875" customWidth="1"/>
    <col min="37" max="40" width="14.5703125" customWidth="1"/>
    <col min="41" max="42" width="15.5703125" customWidth="1"/>
    <col min="43" max="43" width="12" customWidth="1"/>
    <col min="44" max="44" width="14.7109375" customWidth="1"/>
  </cols>
  <sheetData>
    <row r="1" spans="1:44" ht="15" customHeight="1" x14ac:dyDescent="0.25">
      <c r="A1" s="6" t="s">
        <v>93</v>
      </c>
      <c r="M1" t="s">
        <v>1</v>
      </c>
      <c r="N1" s="7">
        <v>8.8999999999999999E-3</v>
      </c>
    </row>
    <row r="2" spans="1:44" ht="15" customHeight="1" x14ac:dyDescent="0.25">
      <c r="A2" s="6"/>
    </row>
    <row r="3" spans="1:44" ht="15" customHeight="1" x14ac:dyDescent="0.25">
      <c r="M3" s="2" t="s">
        <v>94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M7" s="1" t="s">
        <v>20</v>
      </c>
      <c r="N7" s="1"/>
      <c r="O7" s="5"/>
      <c r="P7" s="4">
        <f>((D5+E5)*P5)</f>
        <v>0</v>
      </c>
      <c r="Q7" s="4">
        <f>((D6+E6+P7+P8)*Q5)</f>
        <v>0</v>
      </c>
      <c r="R7" s="4">
        <f>((D7+E7+Q7+P7+P8+Q8)*R5)</f>
        <v>0</v>
      </c>
      <c r="S7" s="4">
        <f>((D8+E8+R7+Q7+P7+SUM($P$8:R8))*S5)</f>
        <v>0</v>
      </c>
      <c r="T7" s="4">
        <f>((D9+E9+S7+R7+Q7+P7+SUM($P$8:S8))*T5)</f>
        <v>0</v>
      </c>
      <c r="U7" s="4">
        <f>((D10+E10+T7+S7+R7+Q7+P7+SUM($P$8:T8))*U5)</f>
        <v>0</v>
      </c>
      <c r="V7" s="4">
        <f>((D11+E11+U7+T7+S7+R7+Q7+P7+SUM($P$8:U8))*V5)</f>
        <v>0</v>
      </c>
      <c r="W7" s="4">
        <f>((D12+E12+V7+U7+T7+S7+R7+Q7+P7+SUM($P$8:V8))*W5)</f>
        <v>0</v>
      </c>
      <c r="X7" s="4">
        <f>((D13+E13+W7+V7+U7+T7+S7+R7+Q7+P7+SUM($P$8:W8))*X5)</f>
        <v>0</v>
      </c>
      <c r="Y7" s="4">
        <f>((D14+E14+X7+W7+V7+U7+T7+S7+R7+Q7+P7+SUM($P$8:X8))*Y5)</f>
        <v>0</v>
      </c>
      <c r="Z7" s="4">
        <f>((E14+F14+Y7+X7+W7+V7+U7+T7+S7+R7+Q7+P7+SUM($P$8:Y8))*Z5)</f>
        <v>0</v>
      </c>
      <c r="AA7" s="4">
        <f>((D16+E16+Z7+Y7+X7+W7+V7+U7+T7+S7+R7+P7+Q7+SUM($P$8:Z8))*AA5)</f>
        <v>0</v>
      </c>
      <c r="AB7" s="4">
        <f>((D17+E17+AA7+Z7+Y7+X7+W7+V7+U7+T7+S7+P7+Q7+R7+SUM($P$8:AA8))*AB5)</f>
        <v>0</v>
      </c>
      <c r="AC7" s="4">
        <f>((D18+E18+AB7+AA7+Z7+Y7+X7+W7+V7+U7+T7+S7+R7+Q7+P7+SUM($P$8:AB8))*AC5)</f>
        <v>0</v>
      </c>
      <c r="AD7" s="4">
        <f>((D19+E19+AC7+AB7+AA7+Z7+Y7+X7+W7+V7+U7+T7+S7+R7+Q7+P7+SUM($P$8:AC8))*AD5)</f>
        <v>270.775618425</v>
      </c>
      <c r="AE7" s="4">
        <f>((D20+E20+AD7+AC7+AB7+AA7+Z7+Y7+X7+W7+V7+U7+T7+S7+R7+Q7+P7+SUM($P$8:AD8))*AE5)</f>
        <v>14203.404105697626</v>
      </c>
      <c r="AF7" s="4">
        <f>((E20+F20+AE7+AD7+AC7+AB7+AA7+Z7+Y7+X7+W7+V7+U7+T7+S7+R7+Q7+P7+SUM($P$8:AE8))*AF5)</f>
        <v>7821.7709119687615</v>
      </c>
      <c r="AG7" s="4">
        <f>((D22+E22+AF7+AE7+AD7+AC7+AB7+AA7+Z7+Y7+X7+W7+V7+U7+T7+R7+S7+Q7+P7+SUM($P$8:AF8))*AG5)</f>
        <v>191379.308128623</v>
      </c>
      <c r="AH7" s="4">
        <f>((E22+F22+AG7+AF7+AE7+AD7+AC7+AB7+AA7+Z7+Y7+X7+W7+V7+U7+S7+T7+R7+Q7+P7+SUM($P$8:AG8))*AH5)</f>
        <v>41498.165479078198</v>
      </c>
      <c r="AI7" s="4">
        <f>((F22+G22+AH7+AG7+AF7+AE7+AD7+AC7+AB7+AA7+Z7+Y7+X7+W7+V7+T7+U7+S7+R7+Q7+P7+SUM($P$8:AH8))*AI5)</f>
        <v>28479.035445627665</v>
      </c>
      <c r="AJ7" s="4">
        <f>((G22+H22+AI7+AH7+AG7+AF7+AE7+AD7+AC7+AB7+AA7+Z7+Y7+X7+W7+U7+V7+T7+S7+R7+Q7+P7+SUM($P$8:AI8))*AJ5)</f>
        <v>18518.873002254531</v>
      </c>
      <c r="AK7" s="4">
        <f>((H22+I22+AJ7+AI7+AH7+AG7+AF7+AE7+AD7+AC7+AB7+AA7+Z7+Y7+X7+V7+W7+U7+T7+S7+R7+Q7+P7+SUM($P$8:AJ8))*AK5)</f>
        <v>17941.757682904401</v>
      </c>
      <c r="AL7" s="4">
        <f>((D27+E27+AK7+AJ7+AI7+AH7+AG7+AF7+AE7+AD7+AC7++AB7+AA7+Z7+Y7+X7+W7+V7+U7+T7+S7+R7+Q7+P7+SUM($P$8:AK8))*AL5)</f>
        <v>24523.491904671719</v>
      </c>
      <c r="AM7" s="4">
        <f>((E27+F27+AL7+AK7+AJ7+AI7+AH7+AG7+AF7+AE7+AD7++AC7+AB7+AA7+Z7+Y7+X7+W7+V7+U7+T7+S7+R7+Q7+P7+SUM($P$8:AL8))*AM5)</f>
        <v>18101.420079985714</v>
      </c>
      <c r="AN7" s="4">
        <f>((F27+G27+AM7+AL7+AK7+AJ7+AI7+AH7+AG7+AF7+AE7++AD7+AC7+AB7+AA7+Z7+Y7+X7+W7+V7+U7+T7+S7+R7+Q7+P7+SUM($P$8:AM8))*AN5)</f>
        <v>20258.396600677494</v>
      </c>
      <c r="AO7" s="4">
        <f>((G27+H27+AN7+AM7+AL7+AK7+AJ7+AI7+AH7+AG7+AF7++AE7+AD7+AC7+AB7+AA7+Z7+Y7+X7+W7+V7+U7+T7+S7+R7+Q7+P7+SUM($P$8:AN8))*AO5)</f>
        <v>49267.147974747357</v>
      </c>
      <c r="AP7" s="4">
        <f>((H27+I27+AO7+AN7+AM7+AL7+AK7+AJ7+AI7+AH7+AG7++AF7+AE7+AD7+AC7+AB7+AA7+Z7+Y7+X7+W7+V7+U7+T7+S7+R7+Q7+P7+SUM($P$8:AO8))*AP5)</f>
        <v>34937.144991596899</v>
      </c>
      <c r="AQ7" s="4">
        <f>((I27+J27+AP7+AO7+AN7+AM7+AL7+AK7+AJ7+AI7+AH7++AG7+AF7+AE7+AD7+AC7+AB7+AA7+Z7+Y7+X7+W7+V7+U7+T7+S7+R7+Q7+P7+SUM($P$8:AP8))*AQ5)</f>
        <v>33842.194955473133</v>
      </c>
      <c r="AR7" s="4">
        <f>((J27+K27+AQ7+AP7+AO7+AN7+AM7+AL7+AK7+AJ7+AI7++AH7+AG7+AF7+AE7+AD7+AC7+AB7+AA7+Z7+Y7+X7+W7+V7+U7+T7+S7+R7+Q7+P7+SUM($P$8:AQ8))*AR5)</f>
        <v>89501.894001827648</v>
      </c>
    </row>
    <row r="8" spans="1:44" ht="15" customHeight="1" x14ac:dyDescent="0.25">
      <c r="A8" s="13" t="s">
        <v>21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M8" s="1" t="s">
        <v>22</v>
      </c>
      <c r="N8" s="1"/>
      <c r="O8" s="4"/>
      <c r="P8" s="4">
        <f>((D6+E6)-(D5+E5))*(P5^1/2)</f>
        <v>0</v>
      </c>
      <c r="Q8" s="4">
        <f>((D7+E7)-(D6+E6))*(Q5^1/2)</f>
        <v>0</v>
      </c>
      <c r="R8" s="4">
        <f>((D8+E8)-(D7+E7))*(R5^1/2)</f>
        <v>0</v>
      </c>
      <c r="S8" s="4">
        <f>((D9+E9)-(D8+E8))*(S5^1/2)</f>
        <v>0</v>
      </c>
      <c r="T8" s="4">
        <f>((D10+E10)-(D9+E9))*(T5^1/2)</f>
        <v>0</v>
      </c>
      <c r="U8" s="4">
        <f>((D11+E11)-(D10+E10))*(U5^1/2)</f>
        <v>0</v>
      </c>
      <c r="V8" s="4">
        <f>((D12+E12)-(D11+E11))*(V5^1/2)</f>
        <v>0</v>
      </c>
      <c r="W8" s="4">
        <f>((D13+E13)-(D12+E12))*(W5^1/2)</f>
        <v>0</v>
      </c>
      <c r="X8" s="4">
        <f>((D14+E14)-(D13+E13))*(X5^1/2)</f>
        <v>0</v>
      </c>
      <c r="Y8" s="4">
        <f>((D15+E15)-(D14+E14))*(Y5^1/2)</f>
        <v>0</v>
      </c>
      <c r="Z8" s="4">
        <f>((E15+F15)-(E14+F14))*(Z5^1/2)</f>
        <v>0</v>
      </c>
      <c r="AA8" s="4">
        <f>((D17+E17)-(D16+E16))*(AA5^1/2)</f>
        <v>0</v>
      </c>
      <c r="AB8" s="4">
        <f>((D18+E18)-(D17+E17))*(AB5^1/2)</f>
        <v>0</v>
      </c>
      <c r="AC8" s="4">
        <f>((D19+E19)-(D18+E18))*(AC5^1/2)</f>
        <v>96.651749999999993</v>
      </c>
      <c r="AD8" s="4">
        <f>((D20+E20)-(D19+E19))*(AD5/2)</f>
        <v>6132.4819500000003</v>
      </c>
      <c r="AE8" s="4">
        <f>((D21+E21)-(D20+E20))*(AE5^1/2)</f>
        <v>74818.12</v>
      </c>
      <c r="AF8" s="4">
        <f>((D22+E22)-(D21+E21))*(AF5^1/2)</f>
        <v>17612.3596</v>
      </c>
      <c r="AG8" s="4">
        <f>((D23+E23)-(D22+E22))*(AG5^1/2)</f>
        <v>-58799.594700000001</v>
      </c>
      <c r="AH8" s="4">
        <f>((D24+E24)-(D23+E23))*(AH5^1/2)</f>
        <v>-28125.89415</v>
      </c>
      <c r="AI8" s="4">
        <f>((D25+E25)-(D24+E24))*(AI5^1/2)</f>
        <v>-968.88935000000004</v>
      </c>
      <c r="AJ8" s="4">
        <f>((D26+E26)-(D25+E25))*(AJ5^1/2)</f>
        <v>-154.0421</v>
      </c>
      <c r="AK8" s="4">
        <f>((D27+E27)-(D26+E26))*(AK5/2)</f>
        <v>1401.5007499999999</v>
      </c>
      <c r="AL8" s="4">
        <f>((D28+E28)-(D27+E27))*(AL5^1/2)</f>
        <v>2051.2687499999997</v>
      </c>
      <c r="AM8" s="4">
        <f>((D29+E29)-(D28+E28))*(AM5^1/2)</f>
        <v>71392.650200000004</v>
      </c>
      <c r="AN8" s="4">
        <f>((D30+E30)-(D29+E29))*(AN5^1/2)</f>
        <v>21280.069599999999</v>
      </c>
      <c r="AO8" s="4">
        <f>((D31+E31)-(D30+E30))*(AO5^1/2)</f>
        <v>51885.606899999999</v>
      </c>
      <c r="AP8" s="4">
        <f>((D32+E32)-(D31+E31))*(AP5^1/2)</f>
        <v>94171.339200000002</v>
      </c>
      <c r="AQ8" s="4">
        <f>((D32+E32)-(D31+E31))*(AQ5^1/2)</f>
        <v>75141.897599999997</v>
      </c>
      <c r="AR8" s="4">
        <f>((E32+F32)-(E31+F31))*(AR5^1/2)</f>
        <v>52194.598050000001</v>
      </c>
    </row>
    <row r="9" spans="1:44" ht="15" customHeight="1" x14ac:dyDescent="0.25">
      <c r="A9" s="13" t="s">
        <v>23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M9" s="1" t="s">
        <v>24</v>
      </c>
      <c r="N9" s="1"/>
      <c r="O9" s="4"/>
      <c r="P9" s="4">
        <f>+B5*P5</f>
        <v>0</v>
      </c>
      <c r="Q9" s="4">
        <f>+(B6+P9+P10+P14)*Q5</f>
        <v>0</v>
      </c>
      <c r="R9" s="4">
        <f>+(B7+Q9+P9+P10+Q10+P14+Q14)*R5</f>
        <v>0</v>
      </c>
      <c r="S9" s="4">
        <f>+(B8+R9+Q9+P9+P10+Q10+R10+P14+Q14+R14)*S5</f>
        <v>0</v>
      </c>
      <c r="T9" s="4">
        <f>+(B9+S9+R9+Q9+P9+P10+Q10+R10+S10+P14+Q14+R14+S14)*T5</f>
        <v>0</v>
      </c>
      <c r="U9" s="4">
        <f>+(B10+T9+S9+R9+Q9+P9+P10+Q10+R10+S10+T10+P14+Q14+R14+S14+T14)*U5</f>
        <v>0</v>
      </c>
      <c r="V9" s="4">
        <f>+(B11+U9+T9+S9+R9+Q9+P9+P10+Q10+R10+S10+T10+U10+P14+Q14+R14+S14+T14+U14)*V5</f>
        <v>0</v>
      </c>
      <c r="W9" s="4">
        <f>+(B12+V9+U9+T9+S9+R9+Q9+P9+P10+Q10+R10+S10+T10+U10+V10+P14+Q14+R14+S14+T14+U14+V14)*W5</f>
        <v>0</v>
      </c>
      <c r="X9" s="4">
        <f>+(B13+W9+V9+U9+T9+S9+R9+Q9+P9+P10+Q10+R10+S10+T10+U10+V10+W10+P14+Q14+R14+S14+T14+U14+V14+W14)*X5</f>
        <v>0</v>
      </c>
      <c r="Y9" s="4">
        <f>+(B14+X9+W9+V9+U9+T9+S9+R9+Q9+P9+P10+Q10+R10+S10+T10+U10+V10+W10+X10+P14+Q14+R14+S14+T14+U14+V14+W14+X14)*Y5</f>
        <v>0</v>
      </c>
      <c r="Z9" s="4">
        <f>+(B15+Y9+X9+W9+V9+U9+T9+S9+R9+Q9+P9+P10+Q10+R10+S10+T10+U10+V10+W10+X10+Y10+P14+Q14+R14+S14+T14+U14+V14+W14+X14+Y14)*Z5</f>
        <v>0</v>
      </c>
      <c r="AA9" s="4">
        <f>+(B16+Z9+Y9+X9+W9+V9+U9+T9+S9+R9+Q9+P9+P10+Q10+R10+S10+T10+U10+V10+W10+X10+Y10+Z10+P14+Q14+R14+S14+T14+U14+V14+W14+X14+Y14+Z14)*AA5</f>
        <v>0</v>
      </c>
      <c r="AB9" s="4">
        <f>+(B17+AA9+Z9+Y9+X9+W9+V9+U9+T9+S9+R9+Q9+P9+P10+Q10+R10+S10+T10+U10+V10+W10+X10+Y10+Z10+AA10+P14+Q14+R14+S14+T14+U14+V14+W14+X14+Y14+Z14+AA14)*AB5</f>
        <v>0</v>
      </c>
      <c r="AC9" s="4">
        <f>+(B18+AB9+AA9+Z9+Y9+X9+W9+V9+U9+T9+S9+R9+Q9+P9+P10+Q10+R10+S10+T10+U10+V10+W10+X10+Y10+Z10+AA10+AB10+P14+Q14+R14+S14+T14+U14+V14+W14+X14+Y14+Z14+AA14+AB14)*AC5</f>
        <v>0</v>
      </c>
      <c r="AD9" s="4">
        <f>+(B19+AC9+AB9+AA9+Z9+Y9+X9+W9+V9+U9+T9+S9+R9+Q9+P9+P10+Q10+R10+S10+T10+U10+V10+W10+X10+Y10+Z10+AA10+AB10+AC10+P14+Q14+R14+S14+T14+U14+V14+W14+X14+Y14+Z14+AA14+AB14+AC14)*AD5</f>
        <v>24051.492718425001</v>
      </c>
      <c r="AE9" s="4">
        <f>+(B20+AD9+AC9+AB9+AA9+Z9+Y9+X9+W9+V9+U9+T9+S9+R9+Q9+P9+P10+Q10+R10+S10+T10+U10+V10+W10+X10+Y10+Z10+AA10+AB10+AC10+AD10+P14+Q14+S14++R14+T14+U14+V14+W14+X14+Y14+Z14+AA14+AB14+AC14+AD14)*AE5</f>
        <v>173352.13988819972</v>
      </c>
      <c r="AF9" s="4">
        <f>+(B21+AE9+AD9+AC9+AB9+AA9+Z9+Y9+X9+W9+V9+U9+T9+S9+R9+Q9+P9+P10+Q10+R10+S10+T10+U10+V10+W10+X10+Y10+Z10+AA10+AB10+AC10+AD10+AE10+P14+Q14+R14+S14+T14+U14+V14+W14+X14+Y14+Z14+AA14+AB14+AC14+AD14+AE14)*AF5</f>
        <v>231683.1869570096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223360.54025043067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109352.67011967074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94317.236492082855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75536.554024557248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33510.095850578284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44173.739136608354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58042.57897105864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117048.10045835881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363343.46123418951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415513.26210383588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488315.24097241717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707865.80974533979</v>
      </c>
    </row>
    <row r="10" spans="1:44" ht="15" customHeight="1" x14ac:dyDescent="0.25">
      <c r="A10" s="13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M10" s="22" t="s">
        <v>26</v>
      </c>
      <c r="N10" s="22"/>
      <c r="O10" s="23"/>
      <c r="P10" s="23">
        <f>((B6-B5)*(P5^1/2))</f>
        <v>0</v>
      </c>
      <c r="Q10" s="23">
        <f>((B7-B6)*(Q5^1/2))</f>
        <v>0</v>
      </c>
      <c r="R10" s="23">
        <f>((B8-B7)*(R5/2))</f>
        <v>0</v>
      </c>
      <c r="S10" s="23"/>
      <c r="T10" s="23">
        <f>((B10-B9)*(T5^1/2))</f>
        <v>0</v>
      </c>
      <c r="U10" s="23">
        <f>((B11-B10)*(U5^1/2))</f>
        <v>0</v>
      </c>
      <c r="V10" s="23">
        <f>((B12-B11)*(V5^1/2))</f>
        <v>0</v>
      </c>
      <c r="W10" s="23"/>
      <c r="X10" s="23"/>
      <c r="Y10" s="23">
        <f>((B15-B14)*(Y5/2))</f>
        <v>0</v>
      </c>
      <c r="Z10" s="23"/>
      <c r="AA10" s="23"/>
      <c r="AB10" s="23">
        <f>((B18-B17)*(AB5^1/2))</f>
        <v>0</v>
      </c>
      <c r="AC10" s="23">
        <f>((B19-B18)*(AC5^1/2))</f>
        <v>8767.9622999999992</v>
      </c>
      <c r="AD10" s="23">
        <f>((B20-B19)*(AD5/2))</f>
        <v>66593.614050000004</v>
      </c>
      <c r="AE10" s="23">
        <f>((B21-B20)*(AE5^1/2))</f>
        <v>39366.014999999999</v>
      </c>
      <c r="AF10" s="23">
        <f>((B22-B21)*(AF5^1/2))</f>
        <v>-6200.3864000000003</v>
      </c>
      <c r="AG10" s="23">
        <f>((B23-B22)*(AG5/2))</f>
        <v>-65151.219449999997</v>
      </c>
      <c r="AH10" s="23">
        <f>((B24-B23)*(AH5/2))</f>
        <v>-26693.323250000001</v>
      </c>
      <c r="AI10" s="23">
        <f>((B25-B24)*(AI5^1/2))</f>
        <v>15598.046200000001</v>
      </c>
      <c r="AJ10" s="23">
        <f>((B26-B25)*(AJ5/2))</f>
        <v>-2514.5218500000001</v>
      </c>
      <c r="AK10" s="23">
        <f>((B27-B26)*(AK5/2))</f>
        <v>388.38225</v>
      </c>
      <c r="AL10" s="23">
        <f>((B28-B27)*(AL5^1/2))</f>
        <v>2739.6187500000001</v>
      </c>
      <c r="AM10" s="23">
        <f>((B29-B28)*(AM5/2))</f>
        <v>24949.426299999999</v>
      </c>
      <c r="AN10" s="23">
        <f>((B30-B29)*(AN5/2))</f>
        <v>22285.227199999998</v>
      </c>
      <c r="AO10" s="23">
        <f>((B31-B30)*(AO5/2))</f>
        <v>174532.70049999998</v>
      </c>
      <c r="AP10" s="23">
        <f>((B32-B31)*(AP5^1/2))</f>
        <v>94717.683600000004</v>
      </c>
      <c r="AQ10" s="23">
        <f>((C32-C31)*(AQ5/2))</f>
        <v>48372.000599999999</v>
      </c>
      <c r="AR10" s="23">
        <f>((D32-D31)*(AR5^1/2))</f>
        <v>26362.840350000002</v>
      </c>
    </row>
    <row r="11" spans="1:44" ht="15" customHeight="1" x14ac:dyDescent="0.25">
      <c r="A11" s="13" t="s">
        <v>27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M12" s="1" t="s">
        <v>30</v>
      </c>
      <c r="N12" s="1"/>
      <c r="O12" s="1"/>
      <c r="P12" s="4">
        <v>0</v>
      </c>
      <c r="Q12" s="24">
        <f>-($P$7+$P$8)*$N$1</f>
        <v>0</v>
      </c>
      <c r="R12" s="24">
        <f>-((($P$7+$P$8)*(1+Q5))+($Q$7+$Q$8))*N1</f>
        <v>0</v>
      </c>
      <c r="S12" s="24">
        <f>-((($P$7+$P$8)*(1+Q5)*(1+R5))+(($Q$7+$Q$8)*(1+R5))+((R7+R8)))*$N$1</f>
        <v>0</v>
      </c>
      <c r="T12" s="24">
        <f>-((($P$7+$P$8)*(1+R5)*(1+S5)*(1+Q5))+(($Q$7+$Q$8)*(1+S5)*(1+R5))+((R7+R8)*(1+S5))+((S7+S8)))*$N$1</f>
        <v>0</v>
      </c>
      <c r="U12" s="24">
        <f>-((($P$7+$P$8)*(1+T5)*(1+R5)*(1+S5)*(1+Q5))+(($Q$7+$Q$8)*(1+T5)*(1+S5)*(1+R5))+((R7+R8)*(1+S5)*(1+T5))+((S7+S8)*(1+T5))+(T7+T8))*$N$1</f>
        <v>0</v>
      </c>
      <c r="V12" s="24">
        <f>-((($P$7+$P$8)*(1+U5)*(1+S5)*(1+T5)*(1+R5)*(1+Q5))+(($Q$7+$Q$8)*(1+U5)*(1+T5)*(1+S5)*(1+R5))+(($R$7+$R$8)*(1+U5)*(1+T5)*(1+S5))+((S7+S8)*(1+T5)*(1+U5))+((T7+T8)*(1+U5))+(U7+U8))*$N$1</f>
        <v>0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0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0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0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0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0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0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0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-0.86020057499999991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-57.900030787965001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-853.9550973298916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-1130.1898365704792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-2376.9435054265386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-2648.3187989531762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-3175.734715052567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-3538.935423659439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-3815.4890187102396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-4195.0852267384544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-5172.3906255027541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-5775.8750309615061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-7257.1875774614873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-8826.4442475017186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-8548.846548984875</v>
      </c>
    </row>
    <row r="13" spans="1:44" ht="15" customHeight="1" x14ac:dyDescent="0.25">
      <c r="A13" s="13" t="s">
        <v>31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M13" t="s">
        <v>32</v>
      </c>
      <c r="P13">
        <v>0</v>
      </c>
      <c r="Q13" s="24">
        <f t="shared" ref="Q13:AR13" si="0">Q12*Q5</f>
        <v>0</v>
      </c>
      <c r="R13" s="24">
        <f t="shared" si="0"/>
        <v>0</v>
      </c>
      <c r="S13" s="24">
        <f t="shared" si="0"/>
        <v>0</v>
      </c>
      <c r="T13" s="24">
        <f t="shared" si="0"/>
        <v>0</v>
      </c>
      <c r="U13" s="24">
        <f t="shared" si="0"/>
        <v>0</v>
      </c>
      <c r="V13" s="24">
        <f t="shared" si="0"/>
        <v>0</v>
      </c>
      <c r="W13" s="24">
        <f t="shared" si="0"/>
        <v>0</v>
      </c>
      <c r="X13" s="24">
        <f t="shared" si="0"/>
        <v>0</v>
      </c>
      <c r="Y13" s="24">
        <f t="shared" si="0"/>
        <v>0</v>
      </c>
      <c r="Z13" s="24">
        <f t="shared" si="0"/>
        <v>0</v>
      </c>
      <c r="AA13" s="24">
        <f t="shared" si="0"/>
        <v>0</v>
      </c>
      <c r="AB13" s="24">
        <f t="shared" si="0"/>
        <v>0</v>
      </c>
      <c r="AC13" s="24">
        <f t="shared" si="0"/>
        <v>0</v>
      </c>
      <c r="AD13" s="24">
        <f t="shared" si="0"/>
        <v>-5.0837853982499993E-2</v>
      </c>
      <c r="AE13" s="24">
        <f t="shared" si="0"/>
        <v>-3.7635020012177254</v>
      </c>
      <c r="AF13" s="24">
        <f t="shared" si="0"/>
        <v>-49.870977684065672</v>
      </c>
      <c r="AG13" s="24">
        <f t="shared" si="0"/>
        <v>-66.794219341315326</v>
      </c>
      <c r="AH13" s="24">
        <f t="shared" si="0"/>
        <v>-152.36207869784113</v>
      </c>
      <c r="AI13" s="24">
        <f t="shared" si="0"/>
        <v>-282.57561584830393</v>
      </c>
      <c r="AJ13" s="24">
        <f t="shared" si="0"/>
        <v>-199.75371357680646</v>
      </c>
      <c r="AK13" s="24">
        <f t="shared" si="0"/>
        <v>-104.39859499795345</v>
      </c>
      <c r="AL13" s="24">
        <f t="shared" si="0"/>
        <v>-143.08083820163398</v>
      </c>
      <c r="AM13" s="24">
        <f t="shared" si="0"/>
        <v>-180.80817327242738</v>
      </c>
      <c r="AN13" s="24">
        <f t="shared" si="0"/>
        <v>-233.79205627272447</v>
      </c>
      <c r="AO13" s="24">
        <f t="shared" si="0"/>
        <v>-581.05302811472745</v>
      </c>
      <c r="AP13" s="24">
        <f t="shared" si="0"/>
        <v>-420.19116073502011</v>
      </c>
      <c r="AQ13" s="24">
        <f t="shared" si="0"/>
        <v>-407.78172423457937</v>
      </c>
      <c r="AR13" s="24">
        <f t="shared" si="0"/>
        <v>-412.90928831596949</v>
      </c>
    </row>
    <row r="14" spans="1:44" ht="15" customHeight="1" x14ac:dyDescent="0.25">
      <c r="A14" s="13" t="s">
        <v>33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M14" s="39" t="s">
        <v>34</v>
      </c>
      <c r="N14" s="39"/>
      <c r="O14" s="40"/>
      <c r="P14" s="40">
        <f t="shared" ref="P14:AR14" si="1">(P7+P8)-(P9+P10)+P12+P13</f>
        <v>0</v>
      </c>
      <c r="Q14" s="40">
        <f t="shared" si="1"/>
        <v>0</v>
      </c>
      <c r="R14" s="40">
        <f t="shared" si="1"/>
        <v>0</v>
      </c>
      <c r="S14" s="40">
        <f t="shared" si="1"/>
        <v>0</v>
      </c>
      <c r="T14" s="40">
        <f t="shared" si="1"/>
        <v>0</v>
      </c>
      <c r="U14" s="40">
        <f t="shared" si="1"/>
        <v>0</v>
      </c>
      <c r="V14" s="40">
        <f t="shared" si="1"/>
        <v>0</v>
      </c>
      <c r="W14" s="40">
        <f t="shared" si="1"/>
        <v>0</v>
      </c>
      <c r="X14" s="40">
        <f t="shared" si="1"/>
        <v>0</v>
      </c>
      <c r="Y14" s="40">
        <f t="shared" si="1"/>
        <v>0</v>
      </c>
      <c r="Z14" s="40">
        <f t="shared" si="1"/>
        <v>0</v>
      </c>
      <c r="AA14" s="40">
        <f t="shared" si="1"/>
        <v>0</v>
      </c>
      <c r="AB14" s="40">
        <f t="shared" si="1"/>
        <v>0</v>
      </c>
      <c r="AC14" s="40">
        <f t="shared" si="1"/>
        <v>-8671.3105499999983</v>
      </c>
      <c r="AD14" s="40">
        <f t="shared" si="1"/>
        <v>-84242.760238428978</v>
      </c>
      <c r="AE14" s="40">
        <f t="shared" si="1"/>
        <v>-123758.29431529126</v>
      </c>
      <c r="AF14" s="40">
        <f t="shared" si="1"/>
        <v>-200952.4961200548</v>
      </c>
      <c r="AG14" s="40">
        <f t="shared" si="1"/>
        <v>-26826.591427719475</v>
      </c>
      <c r="AH14" s="40">
        <f t="shared" si="1"/>
        <v>-71816.381124716921</v>
      </c>
      <c r="AI14" s="40">
        <f t="shared" si="1"/>
        <v>-85336.031011256651</v>
      </c>
      <c r="AJ14" s="40">
        <f t="shared" si="1"/>
        <v>-58032.689700932089</v>
      </c>
      <c r="AK14" s="40">
        <f t="shared" si="1"/>
        <v>-18198.553686331281</v>
      </c>
      <c r="AL14" s="40">
        <f t="shared" si="1"/>
        <v>-24297.16708884851</v>
      </c>
      <c r="AM14" s="40">
        <f t="shared" si="1"/>
        <v>2126.1716089161969</v>
      </c>
      <c r="AN14" s="40">
        <f t="shared" si="1"/>
        <v>-103201.0441394568</v>
      </c>
      <c r="AO14" s="40">
        <f t="shared" si="1"/>
        <v>-443080.33491851838</v>
      </c>
      <c r="AP14" s="40">
        <f t="shared" si="1"/>
        <v>-388799.84025043546</v>
      </c>
      <c r="AQ14" s="40">
        <f t="shared" si="1"/>
        <v>-436937.37498868041</v>
      </c>
      <c r="AR14" s="40">
        <f t="shared" si="1"/>
        <v>-601493.91388081294</v>
      </c>
    </row>
    <row r="15" spans="1:44" ht="15" customHeight="1" x14ac:dyDescent="0.25">
      <c r="A15" s="13" t="s">
        <v>35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</row>
    <row r="16" spans="1:44" ht="15" customHeight="1" x14ac:dyDescent="0.25">
      <c r="A16" s="13" t="s">
        <v>36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41" t="str">
        <f>+L19</f>
        <v>Petrorio ON</v>
      </c>
      <c r="M17" s="2" t="s">
        <v>38</v>
      </c>
      <c r="N17" s="2"/>
      <c r="O17" s="28"/>
      <c r="P17" s="42">
        <f>+C6</f>
        <v>0</v>
      </c>
      <c r="Q17" s="42">
        <f>C7</f>
        <v>0</v>
      </c>
      <c r="R17" s="42">
        <f>C8</f>
        <v>0</v>
      </c>
      <c r="S17" s="42">
        <f>C9</f>
        <v>0</v>
      </c>
      <c r="T17" s="42">
        <f>C10</f>
        <v>0</v>
      </c>
      <c r="U17" s="42">
        <f>C11</f>
        <v>0</v>
      </c>
      <c r="V17" s="42"/>
      <c r="W17" s="42"/>
      <c r="X17" s="42"/>
      <c r="Y17" s="42"/>
      <c r="Z17" s="42"/>
      <c r="AA17" s="42"/>
      <c r="AB17" s="42"/>
      <c r="AC17" s="42">
        <f>C19</f>
        <v>-12635</v>
      </c>
      <c r="AD17" s="42">
        <f>C20</f>
        <v>-142370</v>
      </c>
      <c r="AE17" s="42">
        <f>C21</f>
        <v>-304035</v>
      </c>
      <c r="AF17" s="42">
        <f>C22</f>
        <v>-277566</v>
      </c>
      <c r="AG17" s="42">
        <f>C23</f>
        <v>-2237870</v>
      </c>
      <c r="AH17" s="42">
        <f>C24</f>
        <v>-1003073</v>
      </c>
      <c r="AI17" s="42">
        <f>C25</f>
        <v>110421</v>
      </c>
      <c r="AJ17" s="42">
        <f>C26</f>
        <v>241622</v>
      </c>
      <c r="AK17" s="42">
        <f>C27</f>
        <v>30627</v>
      </c>
      <c r="AL17" s="42">
        <f>C28</f>
        <v>204875</v>
      </c>
      <c r="AM17" s="42">
        <f>C29</f>
        <v>842346</v>
      </c>
      <c r="AN17" s="42">
        <f>C30</f>
        <v>452766</v>
      </c>
      <c r="AO17" s="42">
        <f>C31</f>
        <v>1333046</v>
      </c>
      <c r="AP17" s="42">
        <f>C32</f>
        <v>3427072</v>
      </c>
      <c r="AQ17" s="42">
        <f>D32</f>
        <v>2833955</v>
      </c>
      <c r="AR17" s="42">
        <f>E32</f>
        <v>6136179</v>
      </c>
    </row>
    <row r="18" spans="1:44" ht="15" customHeight="1" x14ac:dyDescent="0.25">
      <c r="A18" s="13" t="s">
        <v>39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43" t="str">
        <f>+L19</f>
        <v>Petrorio ON</v>
      </c>
      <c r="M18" s="18" t="s">
        <v>40</v>
      </c>
      <c r="N18" s="18"/>
      <c r="O18" s="25"/>
      <c r="P18" s="44">
        <f t="shared" ref="P18:V18" si="2">P14+P17</f>
        <v>0</v>
      </c>
      <c r="Q18" s="44">
        <f t="shared" si="2"/>
        <v>0</v>
      </c>
      <c r="R18" s="44">
        <f t="shared" si="2"/>
        <v>0</v>
      </c>
      <c r="S18" s="44">
        <f t="shared" si="2"/>
        <v>0</v>
      </c>
      <c r="T18" s="44">
        <f t="shared" si="2"/>
        <v>0</v>
      </c>
      <c r="U18" s="44">
        <f t="shared" si="2"/>
        <v>0</v>
      </c>
      <c r="V18" s="44">
        <f t="shared" si="2"/>
        <v>0</v>
      </c>
      <c r="W18" s="44"/>
      <c r="X18" s="44">
        <f t="shared" ref="X18:AR18" si="3">X14+X17</f>
        <v>0</v>
      </c>
      <c r="Y18" s="44">
        <f t="shared" si="3"/>
        <v>0</v>
      </c>
      <c r="Z18" s="44">
        <f t="shared" si="3"/>
        <v>0</v>
      </c>
      <c r="AA18" s="44">
        <f t="shared" si="3"/>
        <v>0</v>
      </c>
      <c r="AB18" s="44">
        <f t="shared" si="3"/>
        <v>0</v>
      </c>
      <c r="AC18" s="44">
        <f t="shared" si="3"/>
        <v>-21306.310549999998</v>
      </c>
      <c r="AD18" s="44">
        <f t="shared" si="3"/>
        <v>-226612.76023842898</v>
      </c>
      <c r="AE18" s="44">
        <f t="shared" si="3"/>
        <v>-427793.29431529128</v>
      </c>
      <c r="AF18" s="44">
        <f t="shared" si="3"/>
        <v>-478518.4961200548</v>
      </c>
      <c r="AG18" s="44">
        <f t="shared" si="3"/>
        <v>-2264696.5914277197</v>
      </c>
      <c r="AH18" s="44">
        <f t="shared" si="3"/>
        <v>-1074889.381124717</v>
      </c>
      <c r="AI18" s="44">
        <f t="shared" si="3"/>
        <v>25084.968988743349</v>
      </c>
      <c r="AJ18" s="44">
        <f t="shared" si="3"/>
        <v>183589.3102990679</v>
      </c>
      <c r="AK18" s="44">
        <f t="shared" si="3"/>
        <v>12428.446313668719</v>
      </c>
      <c r="AL18" s="44">
        <f t="shared" si="3"/>
        <v>180577.83291115149</v>
      </c>
      <c r="AM18" s="44">
        <f t="shared" si="3"/>
        <v>844472.17160891625</v>
      </c>
      <c r="AN18" s="44">
        <f t="shared" si="3"/>
        <v>349564.95586054318</v>
      </c>
      <c r="AO18" s="44">
        <f t="shared" si="3"/>
        <v>889965.66508148168</v>
      </c>
      <c r="AP18" s="44">
        <f t="shared" si="3"/>
        <v>3038272.1597495647</v>
      </c>
      <c r="AQ18" s="44">
        <f t="shared" si="3"/>
        <v>2397017.6250113198</v>
      </c>
      <c r="AR18" s="44">
        <f t="shared" si="3"/>
        <v>5534685.0861191871</v>
      </c>
    </row>
    <row r="19" spans="1:44" ht="15" customHeight="1" x14ac:dyDescent="0.25">
      <c r="A19" s="13" t="s">
        <v>41</v>
      </c>
      <c r="B19" s="14">
        <v>406866</v>
      </c>
      <c r="C19" s="14">
        <v>-12635</v>
      </c>
      <c r="D19" s="15">
        <v>0</v>
      </c>
      <c r="E19" s="14">
        <v>4485</v>
      </c>
      <c r="F19" s="15">
        <v>0</v>
      </c>
      <c r="G19" s="15">
        <v>0</v>
      </c>
      <c r="H19" s="15">
        <v>0</v>
      </c>
      <c r="I19" s="14">
        <v>241.18199999999999</v>
      </c>
      <c r="J19" s="15">
        <v>0</v>
      </c>
      <c r="K19" s="15">
        <v>0</v>
      </c>
      <c r="L19" s="18" t="str">
        <f>+A1</f>
        <v>Petrorio ON</v>
      </c>
      <c r="M19" s="18" t="s">
        <v>42</v>
      </c>
      <c r="N19" s="18"/>
      <c r="O19" s="31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>
        <f t="shared" ref="AC19:AR19" si="4">AC18/AC17</f>
        <v>1.6862928808864264</v>
      </c>
      <c r="AD19" s="45">
        <f t="shared" si="4"/>
        <v>1.5917170769012361</v>
      </c>
      <c r="AE19" s="45">
        <f t="shared" si="4"/>
        <v>1.4070527877227663</v>
      </c>
      <c r="AF19" s="45">
        <f t="shared" si="4"/>
        <v>1.7239809491077971</v>
      </c>
      <c r="AG19" s="45">
        <f t="shared" si="4"/>
        <v>1.0119875557685298</v>
      </c>
      <c r="AH19" s="45">
        <f t="shared" si="4"/>
        <v>1.0715963654935552</v>
      </c>
      <c r="AI19" s="45">
        <f t="shared" si="4"/>
        <v>0.22717570922870967</v>
      </c>
      <c r="AJ19" s="45">
        <f t="shared" si="4"/>
        <v>0.75982034044527358</v>
      </c>
      <c r="AK19" s="45">
        <f t="shared" si="4"/>
        <v>0.4058003171603069</v>
      </c>
      <c r="AL19" s="45">
        <f t="shared" si="4"/>
        <v>0.88140491963954359</v>
      </c>
      <c r="AM19" s="45">
        <f t="shared" si="4"/>
        <v>1.0025241072064404</v>
      </c>
      <c r="AN19" s="45">
        <f t="shared" si="4"/>
        <v>0.77206538446028006</v>
      </c>
      <c r="AO19" s="45">
        <f t="shared" si="4"/>
        <v>0.66761812051608249</v>
      </c>
      <c r="AP19" s="45">
        <f t="shared" si="4"/>
        <v>0.88655043131558509</v>
      </c>
      <c r="AQ19" s="45">
        <f t="shared" si="4"/>
        <v>0.84582063759351145</v>
      </c>
      <c r="AR19" s="45">
        <f t="shared" si="4"/>
        <v>0.90197582015113753</v>
      </c>
    </row>
    <row r="20" spans="1:44" ht="15" customHeight="1" x14ac:dyDescent="0.25">
      <c r="A20" s="13" t="s">
        <v>43</v>
      </c>
      <c r="B20" s="14">
        <v>2660457</v>
      </c>
      <c r="C20" s="14">
        <v>-142370</v>
      </c>
      <c r="D20" s="14">
        <v>173601</v>
      </c>
      <c r="E20" s="14">
        <v>38413</v>
      </c>
      <c r="F20" s="14">
        <v>0</v>
      </c>
      <c r="G20" s="14">
        <v>0</v>
      </c>
      <c r="H20" s="15">
        <v>0</v>
      </c>
      <c r="I20" s="14">
        <v>4619.3490000000002</v>
      </c>
      <c r="J20" s="17">
        <v>31.8</v>
      </c>
      <c r="K20" s="14">
        <v>7344764.9100000001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3871719</v>
      </c>
      <c r="C21" s="14">
        <v>-304035</v>
      </c>
      <c r="D21" s="14">
        <v>2190842</v>
      </c>
      <c r="E21" s="14">
        <v>323268</v>
      </c>
      <c r="F21" s="14">
        <v>0</v>
      </c>
      <c r="G21" s="14">
        <v>0</v>
      </c>
      <c r="H21" s="20">
        <v>0</v>
      </c>
      <c r="I21" s="14">
        <v>5856.2470000000003</v>
      </c>
      <c r="J21" s="17">
        <v>11.36</v>
      </c>
      <c r="K21" s="14">
        <v>3326348.2960000001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3659377</v>
      </c>
      <c r="C22" s="14">
        <v>-277566</v>
      </c>
      <c r="D22" s="14">
        <v>2723411</v>
      </c>
      <c r="E22" s="14">
        <v>393862</v>
      </c>
      <c r="F22" s="14">
        <v>0</v>
      </c>
      <c r="G22" s="14">
        <v>0</v>
      </c>
      <c r="H22" s="20">
        <v>0</v>
      </c>
      <c r="I22" s="14">
        <v>295412.65000000002</v>
      </c>
      <c r="J22" s="17">
        <v>4.7300000000000004</v>
      </c>
      <c r="K22" s="14">
        <v>1397301.8345000001</v>
      </c>
      <c r="L22" s="47" t="str">
        <f>+L24</f>
        <v>Petrorio ON</v>
      </c>
      <c r="M22" s="39" t="s">
        <v>46</v>
      </c>
      <c r="N22" s="32"/>
      <c r="O22" s="32"/>
      <c r="P22" s="30">
        <v>0</v>
      </c>
      <c r="Q22" s="30">
        <v>0</v>
      </c>
      <c r="R22" s="30">
        <v>0</v>
      </c>
      <c r="S22" s="30">
        <v>10502002</v>
      </c>
      <c r="T22" s="30">
        <v>10565590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406866</v>
      </c>
      <c r="AD22" s="30">
        <v>2660457</v>
      </c>
      <c r="AE22" s="30">
        <v>3871719</v>
      </c>
      <c r="AF22" s="30">
        <v>3659377</v>
      </c>
      <c r="AG22" s="30">
        <v>1454598</v>
      </c>
      <c r="AH22" s="30">
        <v>621733</v>
      </c>
      <c r="AI22" s="30">
        <v>914105</v>
      </c>
      <c r="AJ22" s="30">
        <v>834152</v>
      </c>
      <c r="AK22" s="30">
        <v>860483</v>
      </c>
      <c r="AL22" s="30">
        <v>1006596</v>
      </c>
      <c r="AM22" s="30">
        <v>2164342</v>
      </c>
      <c r="AN22" s="30">
        <v>3150414</v>
      </c>
      <c r="AO22" s="30">
        <v>6620249</v>
      </c>
      <c r="AP22" s="30">
        <v>9892017</v>
      </c>
      <c r="AQ22" s="30">
        <v>9892017</v>
      </c>
      <c r="AR22" s="30">
        <v>9892017</v>
      </c>
    </row>
    <row r="23" spans="1:44" ht="15" customHeight="1" x14ac:dyDescent="0.25">
      <c r="A23" s="13" t="s">
        <v>47</v>
      </c>
      <c r="B23" s="14">
        <v>1454598</v>
      </c>
      <c r="C23" s="14">
        <v>-2237870</v>
      </c>
      <c r="D23" s="14">
        <v>988315</v>
      </c>
      <c r="E23" s="14">
        <v>139124</v>
      </c>
      <c r="F23" s="14">
        <v>0</v>
      </c>
      <c r="G23" s="14">
        <v>0</v>
      </c>
      <c r="H23" s="20">
        <v>0</v>
      </c>
      <c r="I23" s="14">
        <v>297466.74599999998</v>
      </c>
      <c r="J23" s="17">
        <v>0.91</v>
      </c>
      <c r="K23" s="14">
        <v>270694.73885999998</v>
      </c>
      <c r="L23" s="47" t="str">
        <f>+L25</f>
        <v>Petrorio ON</v>
      </c>
      <c r="M23" s="39" t="s">
        <v>48</v>
      </c>
      <c r="N23" s="32"/>
      <c r="O23" s="32"/>
      <c r="P23" s="30">
        <f>P22+P9+P10+P14</f>
        <v>0</v>
      </c>
      <c r="Q23" s="33">
        <f>Q22+Q9+Q10+Q14+((P9+P10+P14)*(1+Q5))</f>
        <v>0</v>
      </c>
      <c r="R23" s="33">
        <f>R22+R9+R10+R14+((Q9+Q10+Q14)*(1+R5))+(((P9+P10+P14)*(1+R5)*(1+Q5)))</f>
        <v>0</v>
      </c>
      <c r="S23" s="33">
        <f>S22+S9+S10+S14+((R9+R10+R14)*(1+S5))+(((Q9+Q10+Q14)*(1+S5)*(1+R5)))+(((P9+P10+P14)*(1+S5)*(1+R5)*(1+Q5)))</f>
        <v>10502002</v>
      </c>
      <c r="T23" s="33">
        <f>T22+T9+T10+T14+((S9+S10+S14)*(1+T5))+(((R9+R10+R14)*(1+T5)*(1+S5)))+(((Q9+Q10+Q14)*(1+T5)*(1+S5)*(1+R5)))+(((P9+P10+P14)*(1+T5)*(1+S5)*(1+R5)*(1+Q5)))</f>
        <v>10565590</v>
      </c>
      <c r="U23" s="33">
        <f>U22+U9+U10+U14+((T9+T10+T14)*(1+U5))+((S9+S10+S14)*(1+U5)*(1+T5))+((R9+R10+R14)*(1+U5)*(1+T5)*(1+S5))+((Q9+Q10+Q14)*(1+U5)*(1+T5)*(1+S5)*(1+R5))+((P9+P10+P14)*(1+U5)*(1+T5)*(1+S5)*(1+R5)*(1+Q5))</f>
        <v>0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0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0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0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0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0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0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0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406962.65175000002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2666961.7103984212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3967606.3771472271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3785394.5044095796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1719445.868292897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914400.58239542565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1262579.4651178438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1219534.8514473811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1272934.5699793259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1457130.6946513103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2719412.916870757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3766706.4058322171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7393336.2486746097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10831297.105826264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10974441.713299178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11159457.563166058</v>
      </c>
    </row>
    <row r="24" spans="1:44" ht="15" customHeight="1" x14ac:dyDescent="0.25">
      <c r="A24" s="13" t="s">
        <v>49</v>
      </c>
      <c r="B24" s="14">
        <v>621733</v>
      </c>
      <c r="C24" s="14">
        <v>-1003073</v>
      </c>
      <c r="D24" s="14">
        <v>176951</v>
      </c>
      <c r="E24" s="14">
        <v>72925</v>
      </c>
      <c r="F24" s="14">
        <v>0</v>
      </c>
      <c r="G24" s="14">
        <v>0</v>
      </c>
      <c r="H24" s="20">
        <v>0</v>
      </c>
      <c r="I24" s="14">
        <v>29748.449000000001</v>
      </c>
      <c r="J24" s="17">
        <v>0.46200000000000002</v>
      </c>
      <c r="K24" s="14">
        <v>137437.83437999999</v>
      </c>
      <c r="L24" s="47" t="str">
        <f>+L25</f>
        <v>Petrorio ON</v>
      </c>
      <c r="M24" s="39" t="s">
        <v>50</v>
      </c>
      <c r="N24" s="32"/>
      <c r="O24" s="32"/>
      <c r="P24" s="30">
        <v>0</v>
      </c>
      <c r="Q24" s="30">
        <v>0</v>
      </c>
      <c r="R24" s="30">
        <v>0</v>
      </c>
      <c r="S24" s="30">
        <v>17428087.655999999</v>
      </c>
      <c r="T24" s="30">
        <v>16748049.408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7344764.9100000001</v>
      </c>
      <c r="AE24" s="30">
        <v>3326348.2960000001</v>
      </c>
      <c r="AF24" s="30">
        <v>1397301.8345000001</v>
      </c>
      <c r="AG24" s="30">
        <v>270694.73885999998</v>
      </c>
      <c r="AH24" s="30">
        <v>137437.83437999999</v>
      </c>
      <c r="AI24" s="30">
        <v>161553.67864999999</v>
      </c>
      <c r="AJ24" s="30">
        <v>286357.95143999998</v>
      </c>
      <c r="AK24" s="30">
        <v>1024061.2348</v>
      </c>
      <c r="AL24" s="30">
        <v>1206248.3903999999</v>
      </c>
      <c r="AM24" s="30">
        <v>4419458.8163999999</v>
      </c>
      <c r="AN24" s="30">
        <v>9606915.6179000009</v>
      </c>
      <c r="AO24" s="30">
        <v>17347365.298</v>
      </c>
      <c r="AP24" s="30">
        <v>31386412.484000001</v>
      </c>
      <c r="AQ24" s="30">
        <f>+K33</f>
        <v>38448572.281398199</v>
      </c>
      <c r="AR24" s="30">
        <f>+K34</f>
        <v>33498190.8154805</v>
      </c>
    </row>
    <row r="25" spans="1:44" ht="15" customHeight="1" x14ac:dyDescent="0.25">
      <c r="A25" s="13" t="s">
        <v>51</v>
      </c>
      <c r="B25" s="14">
        <v>914105</v>
      </c>
      <c r="C25" s="14">
        <v>110421</v>
      </c>
      <c r="D25" s="14">
        <v>161766</v>
      </c>
      <c r="E25" s="14">
        <v>69949</v>
      </c>
      <c r="F25" s="14">
        <v>0</v>
      </c>
      <c r="G25" s="15">
        <v>0</v>
      </c>
      <c r="H25" s="20">
        <v>0</v>
      </c>
      <c r="I25" s="14">
        <v>65940.277000000002</v>
      </c>
      <c r="J25" s="17">
        <v>0.245</v>
      </c>
      <c r="K25" s="14">
        <v>161553.67864999999</v>
      </c>
      <c r="L25" s="39" t="str">
        <f>+A1</f>
        <v>Petrorio ON</v>
      </c>
      <c r="M25" s="39" t="s">
        <v>52</v>
      </c>
      <c r="N25" s="18"/>
      <c r="O25" s="18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>
        <f t="shared" ref="AC25:AR25" si="5">AC24/AC23</f>
        <v>0</v>
      </c>
      <c r="AD25" s="31">
        <f t="shared" si="5"/>
        <v>2.7539821368124389</v>
      </c>
      <c r="AE25" s="31">
        <f t="shared" si="5"/>
        <v>0.83837658774802604</v>
      </c>
      <c r="AF25" s="31">
        <f t="shared" si="5"/>
        <v>0.36912977838169653</v>
      </c>
      <c r="AG25" s="31">
        <f t="shared" si="5"/>
        <v>0.15743138173273902</v>
      </c>
      <c r="AH25" s="31">
        <f t="shared" si="5"/>
        <v>0.15030374764193449</v>
      </c>
      <c r="AI25" s="31">
        <f t="shared" si="5"/>
        <v>0.12795525597663768</v>
      </c>
      <c r="AJ25" s="31">
        <f t="shared" si="5"/>
        <v>0.23480915785239073</v>
      </c>
      <c r="AK25" s="31">
        <f t="shared" si="5"/>
        <v>0.80448850942639738</v>
      </c>
      <c r="AL25" s="31">
        <f t="shared" si="5"/>
        <v>0.82782443251506255</v>
      </c>
      <c r="AM25" s="31">
        <f t="shared" si="5"/>
        <v>1.6251518072089968</v>
      </c>
      <c r="AN25" s="31">
        <f t="shared" si="5"/>
        <v>2.5504816629788394</v>
      </c>
      <c r="AO25" s="31">
        <f t="shared" si="5"/>
        <v>2.3463514595470794</v>
      </c>
      <c r="AP25" s="31">
        <f t="shared" si="5"/>
        <v>2.8977519661164988</v>
      </c>
      <c r="AQ25" s="31">
        <f t="shared" si="5"/>
        <v>3.5034649858138112</v>
      </c>
      <c r="AR25" s="31">
        <f t="shared" si="5"/>
        <v>3.0017759040589698</v>
      </c>
    </row>
    <row r="26" spans="1:44" ht="15" customHeight="1" x14ac:dyDescent="0.25">
      <c r="A26" s="13" t="s">
        <v>53</v>
      </c>
      <c r="B26" s="14">
        <v>834152</v>
      </c>
      <c r="C26" s="14">
        <v>241622</v>
      </c>
      <c r="D26" s="14">
        <v>182583</v>
      </c>
      <c r="E26" s="14">
        <v>44234</v>
      </c>
      <c r="F26" s="14">
        <v>0</v>
      </c>
      <c r="G26" s="14">
        <v>0</v>
      </c>
      <c r="H26" s="20">
        <v>0</v>
      </c>
      <c r="I26" s="14">
        <v>13147.748</v>
      </c>
      <c r="J26" s="17">
        <v>0.43559999999999999</v>
      </c>
      <c r="K26" s="14">
        <v>286357.95143999998</v>
      </c>
    </row>
    <row r="27" spans="1:44" ht="15" customHeight="1" x14ac:dyDescent="0.25">
      <c r="A27" s="13" t="s">
        <v>54</v>
      </c>
      <c r="B27" s="14">
        <v>860483</v>
      </c>
      <c r="C27" s="14">
        <v>30627</v>
      </c>
      <c r="D27" s="14">
        <v>260548</v>
      </c>
      <c r="E27" s="14">
        <v>61286</v>
      </c>
      <c r="F27" s="14">
        <v>0</v>
      </c>
      <c r="G27" s="14">
        <v>0</v>
      </c>
      <c r="H27" s="20">
        <v>0</v>
      </c>
      <c r="I27" s="14">
        <v>12519.085999999999</v>
      </c>
      <c r="J27" s="17">
        <v>1.6359999999999999</v>
      </c>
      <c r="K27" s="14">
        <v>1024061.2348</v>
      </c>
      <c r="S27" s="67"/>
    </row>
    <row r="28" spans="1:44" ht="15" customHeight="1" x14ac:dyDescent="0.25">
      <c r="A28" s="13" t="s">
        <v>55</v>
      </c>
      <c r="B28" s="14">
        <v>1006596</v>
      </c>
      <c r="C28" s="14">
        <v>204875</v>
      </c>
      <c r="D28" s="14">
        <v>385943</v>
      </c>
      <c r="E28" s="14">
        <v>45292</v>
      </c>
      <c r="F28" s="14">
        <v>0</v>
      </c>
      <c r="G28" s="14">
        <v>0</v>
      </c>
      <c r="H28" s="20">
        <v>0</v>
      </c>
      <c r="I28" s="14">
        <v>12159.762000000001</v>
      </c>
      <c r="J28" s="17">
        <v>1.984</v>
      </c>
      <c r="K28" s="14">
        <v>1206248.3903999999</v>
      </c>
    </row>
    <row r="29" spans="1:44" ht="15" customHeight="1" x14ac:dyDescent="0.25">
      <c r="A29" s="13" t="s">
        <v>56</v>
      </c>
      <c r="B29" s="14">
        <v>2164342</v>
      </c>
      <c r="C29" s="14">
        <v>842346</v>
      </c>
      <c r="D29" s="14">
        <v>689529</v>
      </c>
      <c r="E29" s="14">
        <v>3054590</v>
      </c>
      <c r="F29" s="14">
        <v>0</v>
      </c>
      <c r="G29" s="14">
        <v>0</v>
      </c>
      <c r="H29" s="20">
        <v>0</v>
      </c>
      <c r="I29" s="14">
        <v>133679.94</v>
      </c>
      <c r="J29" s="17">
        <v>6.6120000000000001</v>
      </c>
      <c r="K29" s="14">
        <v>4419458.8163999999</v>
      </c>
    </row>
    <row r="30" spans="1:44" ht="15" customHeight="1" x14ac:dyDescent="0.25">
      <c r="A30" s="13" t="s">
        <v>57</v>
      </c>
      <c r="B30" s="14">
        <v>3150414</v>
      </c>
      <c r="C30" s="14">
        <v>452766</v>
      </c>
      <c r="D30" s="14">
        <v>956866</v>
      </c>
      <c r="E30" s="14">
        <v>3728849</v>
      </c>
      <c r="F30" s="14">
        <v>0</v>
      </c>
      <c r="G30" s="14">
        <v>0</v>
      </c>
      <c r="H30" s="20">
        <v>0</v>
      </c>
      <c r="I30" s="14">
        <v>136870.147</v>
      </c>
      <c r="J30" s="17">
        <v>14.038</v>
      </c>
      <c r="K30" s="14">
        <v>9606915.6179000009</v>
      </c>
    </row>
    <row r="31" spans="1:44" ht="15" customHeight="1" x14ac:dyDescent="0.25">
      <c r="A31" s="13" t="s">
        <v>58</v>
      </c>
      <c r="B31" s="14">
        <v>6620249</v>
      </c>
      <c r="C31" s="14">
        <v>1333046</v>
      </c>
      <c r="D31" s="14">
        <v>1742326</v>
      </c>
      <c r="E31" s="14">
        <v>3974912</v>
      </c>
      <c r="F31" s="14">
        <v>0</v>
      </c>
      <c r="G31" s="14">
        <v>0</v>
      </c>
      <c r="H31" s="20">
        <v>0</v>
      </c>
      <c r="I31" s="14">
        <v>839253.28</v>
      </c>
      <c r="J31" s="17">
        <v>20.67</v>
      </c>
      <c r="K31" s="14">
        <v>17347365.298</v>
      </c>
    </row>
    <row r="32" spans="1:44" ht="15" customHeight="1" x14ac:dyDescent="0.25">
      <c r="A32" s="13" t="s">
        <v>59</v>
      </c>
      <c r="B32" s="14">
        <v>9892017</v>
      </c>
      <c r="C32" s="14">
        <v>3427072</v>
      </c>
      <c r="D32" s="14">
        <v>2833955</v>
      </c>
      <c r="E32" s="14">
        <v>6136179</v>
      </c>
      <c r="F32" s="14">
        <v>0</v>
      </c>
      <c r="G32" s="14">
        <v>0</v>
      </c>
      <c r="H32" s="20">
        <v>0</v>
      </c>
      <c r="I32" s="14">
        <v>843494.02</v>
      </c>
      <c r="J32" s="17">
        <v>37.21</v>
      </c>
      <c r="K32" s="14">
        <v>31489549.0101992</v>
      </c>
    </row>
    <row r="33" spans="1:42" ht="15" customHeight="1" x14ac:dyDescent="0.25">
      <c r="A33" s="13" t="s">
        <v>60</v>
      </c>
      <c r="B33" s="14">
        <v>13878280</v>
      </c>
      <c r="C33" s="14">
        <v>5179905</v>
      </c>
      <c r="D33" s="14">
        <v>9576089</v>
      </c>
      <c r="E33" s="14">
        <v>11469479</v>
      </c>
      <c r="F33" s="14"/>
      <c r="G33" s="14"/>
      <c r="H33" s="14"/>
      <c r="I33" s="14"/>
      <c r="J33" s="14"/>
      <c r="K33" s="14">
        <v>38448572.281398199</v>
      </c>
    </row>
    <row r="34" spans="1:42" ht="15" customHeight="1" x14ac:dyDescent="0.25">
      <c r="A34" s="13" t="s">
        <v>61</v>
      </c>
      <c r="B34" s="14">
        <v>25924192</v>
      </c>
      <c r="C34" s="14">
        <v>10301606</v>
      </c>
      <c r="D34" s="14">
        <v>14790074</v>
      </c>
      <c r="E34" s="14">
        <v>25297509</v>
      </c>
      <c r="F34" s="14"/>
      <c r="G34" s="14"/>
      <c r="H34" s="14"/>
      <c r="I34" s="14"/>
      <c r="J34" s="14"/>
      <c r="K34" s="14">
        <v>33498190.8154805</v>
      </c>
    </row>
    <row r="46" spans="1:42" ht="15" customHeight="1" x14ac:dyDescent="0.25">
      <c r="M46" s="46" t="s">
        <v>62</v>
      </c>
      <c r="N46" s="1"/>
      <c r="O46" s="1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>
        <f>-G19/AC17</f>
        <v>0</v>
      </c>
      <c r="AD46" s="35">
        <f>-G20/AD17</f>
        <v>0</v>
      </c>
      <c r="AE46" s="35">
        <f>-G21/AE17</f>
        <v>0</v>
      </c>
      <c r="AF46" s="35">
        <f>-G22/AF17</f>
        <v>0</v>
      </c>
      <c r="AG46" s="35">
        <f>-G23/AG17</f>
        <v>0</v>
      </c>
      <c r="AH46" s="35">
        <f>-G24/AH17</f>
        <v>0</v>
      </c>
      <c r="AI46" s="35">
        <f>-G25/AI17</f>
        <v>0</v>
      </c>
      <c r="AJ46" s="35">
        <f>-G26/AJ17</f>
        <v>0</v>
      </c>
      <c r="AK46" s="35">
        <f>-G27/AK17</f>
        <v>0</v>
      </c>
      <c r="AL46" s="35">
        <f>-G28/AL17</f>
        <v>0</v>
      </c>
      <c r="AM46" s="35">
        <f>-G29/AM17</f>
        <v>0</v>
      </c>
      <c r="AN46" s="35">
        <f>-G30/AN17</f>
        <v>0</v>
      </c>
      <c r="AO46" s="35">
        <f>-G31/AO17</f>
        <v>0</v>
      </c>
      <c r="AP46" s="35">
        <f>-G32/AP17</f>
        <v>0</v>
      </c>
    </row>
    <row r="47" spans="1:42" ht="15" customHeight="1" x14ac:dyDescent="0.25">
      <c r="M47" s="39" t="s">
        <v>63</v>
      </c>
      <c r="N47" s="32"/>
      <c r="O47" s="32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>
        <f>-G19/AC18</f>
        <v>0</v>
      </c>
      <c r="AD47" s="36">
        <f>-G20/AD18</f>
        <v>0</v>
      </c>
      <c r="AE47" s="36">
        <f>-G21/AE18</f>
        <v>0</v>
      </c>
      <c r="AF47" s="36">
        <f>-G22/AF18</f>
        <v>0</v>
      </c>
      <c r="AG47" s="36">
        <f>-G23/AG18</f>
        <v>0</v>
      </c>
      <c r="AH47" s="36">
        <f>-G24/AH18</f>
        <v>0</v>
      </c>
      <c r="AI47" s="36">
        <f>-G25/AI18</f>
        <v>0</v>
      </c>
      <c r="AJ47" s="36">
        <f>-G26/AJ18</f>
        <v>0</v>
      </c>
      <c r="AK47" s="36">
        <f>-G27/AK18</f>
        <v>0</v>
      </c>
      <c r="AL47" s="36">
        <f>-G28/AL18</f>
        <v>0</v>
      </c>
      <c r="AM47" s="36">
        <f>-G29/AM18</f>
        <v>0</v>
      </c>
      <c r="AN47" s="36">
        <f>-G30/AN18</f>
        <v>0</v>
      </c>
      <c r="AO47" s="36">
        <f>-G31/AO18</f>
        <v>0</v>
      </c>
      <c r="AP47" s="36">
        <f>-G32/AP18</f>
        <v>0</v>
      </c>
    </row>
    <row r="48" spans="1:42" ht="15" customHeight="1" x14ac:dyDescent="0.25">
      <c r="M48" s="39" t="s">
        <v>64</v>
      </c>
      <c r="N48" s="32"/>
      <c r="O48" s="32"/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37">
        <v>0</v>
      </c>
      <c r="AF48" s="37">
        <v>0</v>
      </c>
      <c r="AG48" s="37">
        <v>0</v>
      </c>
      <c r="AH48" s="37">
        <v>0</v>
      </c>
      <c r="AI48" s="37">
        <v>0</v>
      </c>
      <c r="AJ48" s="37">
        <v>0</v>
      </c>
      <c r="AK48" s="37">
        <v>0</v>
      </c>
      <c r="AL48" s="37">
        <v>0</v>
      </c>
      <c r="AM48" s="37">
        <v>0</v>
      </c>
      <c r="AN48" s="37">
        <v>0</v>
      </c>
      <c r="AO48" s="37">
        <v>0</v>
      </c>
      <c r="AP48" s="37">
        <v>0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R49"/>
  <sheetViews>
    <sheetView showGridLines="0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3.7109375" customWidth="1"/>
    <col min="17" max="18" width="10.5703125" customWidth="1"/>
    <col min="19" max="19" width="11.5703125" customWidth="1"/>
    <col min="20" max="23" width="10.5703125" customWidth="1"/>
    <col min="24" max="25" width="11.5703125" customWidth="1"/>
    <col min="26" max="28" width="12.5703125" customWidth="1"/>
    <col min="29" max="30" width="14.28515625" customWidth="1"/>
    <col min="31" max="31" width="10" customWidth="1"/>
    <col min="32" max="34" width="14.28515625" customWidth="1"/>
    <col min="35" max="42" width="15.28515625" customWidth="1"/>
    <col min="43" max="43" width="11" customWidth="1"/>
    <col min="44" max="44" width="14.7109375" customWidth="1"/>
  </cols>
  <sheetData>
    <row r="1" spans="1:44" ht="15" customHeight="1" x14ac:dyDescent="0.25">
      <c r="A1" s="6" t="s">
        <v>95</v>
      </c>
      <c r="M1" t="s">
        <v>1</v>
      </c>
      <c r="N1" s="7">
        <v>0.1419</v>
      </c>
    </row>
    <row r="2" spans="1:44" ht="15" customHeight="1" x14ac:dyDescent="0.25">
      <c r="A2" s="6"/>
    </row>
    <row r="3" spans="1:44" ht="15" customHeight="1" x14ac:dyDescent="0.25">
      <c r="M3" s="2" t="s">
        <v>96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6">
        <v>79037</v>
      </c>
      <c r="C5" s="16">
        <v>-330</v>
      </c>
      <c r="D5" s="15">
        <v>0</v>
      </c>
      <c r="E5" s="15">
        <v>0</v>
      </c>
      <c r="F5" s="15">
        <v>0</v>
      </c>
      <c r="G5" s="16"/>
      <c r="H5" s="15">
        <v>0</v>
      </c>
      <c r="I5" s="15">
        <v>0</v>
      </c>
      <c r="J5" s="15">
        <v>0</v>
      </c>
      <c r="K5" s="15">
        <v>0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6">
        <v>83298</v>
      </c>
      <c r="C6" s="16">
        <v>1891</v>
      </c>
      <c r="D6" s="15">
        <v>0</v>
      </c>
      <c r="E6" s="15">
        <v>0</v>
      </c>
      <c r="F6" s="15">
        <v>0</v>
      </c>
      <c r="G6" s="16">
        <v>-546</v>
      </c>
      <c r="H6" s="15">
        <v>0</v>
      </c>
      <c r="I6" s="15">
        <v>0</v>
      </c>
      <c r="J6" s="17">
        <v>1.9425872920999999E-2</v>
      </c>
      <c r="K6" s="15">
        <v>0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6">
        <v>82966</v>
      </c>
      <c r="C7" s="16">
        <v>155</v>
      </c>
      <c r="D7" s="15">
        <v>0</v>
      </c>
      <c r="E7" s="15">
        <v>0</v>
      </c>
      <c r="F7" s="15">
        <v>0</v>
      </c>
      <c r="G7" s="16">
        <v>-105</v>
      </c>
      <c r="H7" s="20">
        <v>1.7841204462</v>
      </c>
      <c r="I7" s="14">
        <v>2354</v>
      </c>
      <c r="J7" s="17">
        <v>1.7100165745E-2</v>
      </c>
      <c r="K7" s="15">
        <v>0</v>
      </c>
      <c r="M7" s="1" t="s">
        <v>20</v>
      </c>
      <c r="N7" s="1"/>
      <c r="O7" s="5"/>
      <c r="P7" s="4">
        <f>((D5+E5)*P5)</f>
        <v>0</v>
      </c>
      <c r="Q7" s="4">
        <f>((D6+E6+P7+P8)*Q5)</f>
        <v>0</v>
      </c>
      <c r="R7" s="4">
        <f>((D7+E7+Q7+P7+P8+Q8)*R5)</f>
        <v>0</v>
      </c>
      <c r="S7" s="4">
        <f>((D8+E8+R7+Q7+P7+SUM($P$8:R8))*S5)</f>
        <v>0</v>
      </c>
      <c r="T7" s="4">
        <f>((D9+E9+S7+R7+Q7+P7+SUM($P$8:S8))*T5)</f>
        <v>0</v>
      </c>
      <c r="U7" s="4">
        <f>((D10+E10+T7+S7+R7+Q7+P7+SUM($P$8:T8))*U5)</f>
        <v>0</v>
      </c>
      <c r="V7" s="4">
        <f>((D11+E11+U7+T7+S7+R7+Q7+P7+SUM($P$8:U8))*V5)</f>
        <v>0</v>
      </c>
      <c r="W7" s="4">
        <f>((D12+E12+V7+U7+T7+S7+R7+Q7+P7+SUM($P$8:V8))*W5)</f>
        <v>0</v>
      </c>
      <c r="X7" s="4">
        <f>((D13+E13+W7+V7+U7+T7+S7+R7+Q7+P7+SUM($P$8:W8))*X5)</f>
        <v>0</v>
      </c>
      <c r="Y7" s="4">
        <f>((D14+E14+X7+W7+V7+U7+T7+S7+R7+Q7+P7+SUM($P$8:X8))*Y5)</f>
        <v>0</v>
      </c>
      <c r="Z7" s="4">
        <f>((E14+F14+Y7+X7+W7+V7+U7+T7+S7+R7+Q7+P7+SUM($P$8:Y8))*Z5)</f>
        <v>0</v>
      </c>
      <c r="AA7" s="4">
        <f>((D16+E16+Z7+Y7+X7+W7+V7+U7+T7+S7+R7+P7+Q7+SUM($P$8:Z8))*AA5)</f>
        <v>0</v>
      </c>
      <c r="AB7" s="4">
        <f>((D17+E17+AA7+Z7+Y7+X7+W7+V7+U7+T7+S7+P7+Q7+R7+SUM($P$8:AA8))*AB5)</f>
        <v>0</v>
      </c>
      <c r="AC7" s="4">
        <f>((D18+E18+AB7+AA7+Z7+Y7+X7+W7+V7+U7+T7+S7+R7+Q7+P7+SUM($P$8:AB8))*AC5)</f>
        <v>0</v>
      </c>
      <c r="AD7" s="4">
        <f>((D19+E19+AC7+AB7+AA7+Z7+Y7+X7+W7+V7+U7+T7+S7+R7+Q7+P7+SUM($P$8:AC8))*AD5)</f>
        <v>6998.0253027600002</v>
      </c>
      <c r="AE7" s="4">
        <f>((D20+E20+AD7+AC7+AB7+AA7+Z7+Y7+X7+W7+V7+U7+T7+S7+R7+Q7+P7+SUM($P$8:AD8))*AE5)</f>
        <v>10719.1976354294</v>
      </c>
      <c r="AF7" s="4">
        <f>((E20+F20+AE7+AD7+AC7+AB7+AA7+Z7+Y7+X7+W7+V7+U7+T7+S7+R7+Q7+P7+SUM($P$8:AE8))*AF5)</f>
        <v>9963.9626025102607</v>
      </c>
      <c r="AG7" s="4">
        <f>((D22+E22+AF7+AE7+AD7+AC7+AB7+AA7+Z7+Y7+X7+W7+V7+U7+T7+R7+S7+Q7+P7+SUM($P$8:AF8))*AG5)</f>
        <v>29188.719512750347</v>
      </c>
      <c r="AH7" s="4">
        <f>((E22+F22+AG7+AF7+AE7+AD7+AC7+AB7+AA7+Z7+Y7+X7+W7+V7+U7+S7+T7+R7+Q7+P7+SUM($P$8:AG8))*AH5)</f>
        <v>33685.053464056145</v>
      </c>
      <c r="AI7" s="4">
        <f>((F22+G22+AH7+AG7+AF7+AE7+AD7+AC7+AB7+AA7+Z7+Y7+X7+W7+V7+T7+U7+S7+R7+Q7+P7+SUM($P$8:AH8))*AI5)</f>
        <v>7933.0242174679061</v>
      </c>
      <c r="AJ7" s="4">
        <f>((G22+H22+AI7+AH7+AG7+AF7+AE7+AD7+AC7+AB7+AA7+Z7+Y7+X7+W7+U7+V7+T7+S7+R7+Q7+P7+SUM($P$8:AI8))*AJ5)</f>
        <v>9609.0843535417534</v>
      </c>
      <c r="AK7" s="4">
        <f>((H22+I22+AJ7+AI7+AH7+AG7+AF7+AE7+AD7+AC7+AB7+AA7+Z7+Y7+X7+V7+W7+U7+T7+S7+R7+Q7+P7+SUM($P$8:AJ8))*AK5)</f>
        <v>15738.396229576885</v>
      </c>
      <c r="AL7" s="4">
        <f>((D27+E27+AK7+AJ7+AI7+AH7+AG7+AF7+AE7+AD7+AC7++AB7+AA7+Z7+Y7+X7+W7+V7+U7+T7+S7+R7+Q7+P7+SUM($P$8:AK8))*AL5)</f>
        <v>100889.12328255347</v>
      </c>
      <c r="AM7" s="4">
        <f>((E27+F27+AL7+AK7+AJ7+AI7+AH7+AG7+AF7+AE7+AD7++AC7+AB7+AA7+Z7+Y7+X7+W7+V7+U7+T7+S7+R7+Q7+P7+SUM($P$8:AL8))*AM5)</f>
        <v>69198.700477892853</v>
      </c>
      <c r="AN7" s="4">
        <f>((F27+G27+AM7+AL7+AK7+AJ7+AI7+AH7+AG7+AF7+AE7++AD7+AC7+AB7+AA7+Z7+Y7+X7+W7+V7+U7+T7+S7+R7+Q7+P7+SUM($P$8:AM8))*AN5)</f>
        <v>13512.635000389962</v>
      </c>
      <c r="AO7" s="4">
        <f>((G27+H27+AN7+AM7+AL7+AK7+AJ7+AI7+AH7+AG7+AF7++AE7+AD7+AC7+AB7+AA7+Z7+Y7+X7+W7+V7+U7+T7+S7+R7+Q7+P7+SUM($P$8:AN8))*AO5)</f>
        <v>31939.825538599725</v>
      </c>
      <c r="AP7" s="4">
        <f>((H27+I27+AO7+AN7+AM7+AL7+AK7+AJ7+AI7+AH7+AG7++AF7+AE7+AD7+AC7+AB7+AA7+Z7+Y7+X7+W7+V7+U7+T7+S7+R7+Q7+P7+SUM($P$8:AO8))*AP5)</f>
        <v>50768.76192171844</v>
      </c>
      <c r="AQ7" s="4">
        <f>((I27+J27+AP7+AO7+AN7+AM7+AL7+AK7+AJ7+AI7+AH7++AG7+AF7+AE7+AD7+AC7+AB7+AA7+Z7+Y7+X7+W7+V7+U7+T7+S7+R7+Q7+P7+SUM($P$8:AP8))*AQ5)</f>
        <v>42069.397318414434</v>
      </c>
      <c r="AR7" s="4">
        <f>((J27+K27+AQ7+AP7+AO7+AN7+AM7+AL7+AK7+AJ7+AI7++AH7+AG7+AF7+AE7+AD7+AC7+AB7+AA7+Z7+Y7+X7+W7+V7+U7+T7+S7+R7+Q7+P7+SUM($P$8:AQ8))*AR5)</f>
        <v>1491354.831548769</v>
      </c>
    </row>
    <row r="8" spans="1:44" ht="15" customHeight="1" x14ac:dyDescent="0.25">
      <c r="A8" s="13" t="s">
        <v>21</v>
      </c>
      <c r="B8" s="16">
        <v>84732</v>
      </c>
      <c r="C8" s="16">
        <v>2344</v>
      </c>
      <c r="D8" s="15">
        <v>0</v>
      </c>
      <c r="E8" s="15">
        <v>0</v>
      </c>
      <c r="F8" s="15">
        <v>0</v>
      </c>
      <c r="G8" s="16">
        <v>-652</v>
      </c>
      <c r="H8" s="20">
        <v>0.4471579</v>
      </c>
      <c r="I8" s="14">
        <v>2353</v>
      </c>
      <c r="J8" s="17">
        <v>1.3199375225999999E-2</v>
      </c>
      <c r="K8" s="15">
        <v>0</v>
      </c>
      <c r="M8" s="1" t="s">
        <v>22</v>
      </c>
      <c r="N8" s="1"/>
      <c r="O8" s="4"/>
      <c r="P8" s="4">
        <f>((D6+E6)-(D5+E5))*(P5^1/2)</f>
        <v>0</v>
      </c>
      <c r="Q8" s="4">
        <f>((D7+E7)-(D6+E6))*(Q5^1/2)</f>
        <v>0</v>
      </c>
      <c r="R8" s="4">
        <f>((D8+E8)-(D7+E7))*(R5^1/2)</f>
        <v>0</v>
      </c>
      <c r="S8" s="4">
        <f>((D9+E9)-(D8+E8))*(S5^1/2)</f>
        <v>0</v>
      </c>
      <c r="T8" s="4">
        <f>((D10+E10)-(D9+E9))*(T5^1/2)</f>
        <v>0</v>
      </c>
      <c r="U8" s="4">
        <f>((D11+E11)-(D10+E10))*(U5^1/2)</f>
        <v>0</v>
      </c>
      <c r="V8" s="4">
        <f>((D12+E12)-(D11+E11))*(V5^1/2)</f>
        <v>0</v>
      </c>
      <c r="W8" s="4">
        <f>((D13+E13)-(D12+E12))*(W5^1/2)</f>
        <v>0</v>
      </c>
      <c r="X8" s="4">
        <f>((D14+E14)-(D13+E13))*(X5^1/2)</f>
        <v>0</v>
      </c>
      <c r="Y8" s="4">
        <f>((D15+E15)-(D14+E14))*(Y5^1/2)</f>
        <v>0</v>
      </c>
      <c r="Z8" s="4">
        <f>((E15+F15)-(E14+F14))*(Z5^1/2)</f>
        <v>0</v>
      </c>
      <c r="AA8" s="4">
        <f>((D17+E17)-(D16+E16))*(AA5^1/2)</f>
        <v>0</v>
      </c>
      <c r="AB8" s="4">
        <f>((D18+E18)-(D17+E17))*(AB5^1/2)</f>
        <v>0</v>
      </c>
      <c r="AC8" s="4">
        <f>((D19+E19)-(D18+E18))*(AC5^1/2)</f>
        <v>2497.9036000000001</v>
      </c>
      <c r="AD8" s="4">
        <f>((D20+E20)-(D19+E19))*(AD5/2)</f>
        <v>1133.80395</v>
      </c>
      <c r="AE8" s="4">
        <f>((D21+E21)-(D20+E20))*(AE5^1/2)</f>
        <v>-5014.1325000000006</v>
      </c>
      <c r="AF8" s="4">
        <f>((D22+E22)-(D21+E21))*(AF5^1/2)</f>
        <v>13266.2024</v>
      </c>
      <c r="AG8" s="4">
        <f>((D23+E23)-(D22+E22))*(AG5^1/2)</f>
        <v>2432.1718500000002</v>
      </c>
      <c r="AH8" s="4">
        <f>((D24+E24)-(D23+E23))*(AH5^1/2)</f>
        <v>3558.9602000000004</v>
      </c>
      <c r="AI8" s="4">
        <f>((D25+E25)-(D24+E24))*(AI5^1/2)</f>
        <v>70485.219750000004</v>
      </c>
      <c r="AJ8" s="4">
        <f>((D26+E26)-(D25+E25))*(AJ5^1/2)</f>
        <v>6661.2357999999995</v>
      </c>
      <c r="AK8" s="4">
        <f>((D27+E27)-(D26+E26))*(AK5/2)</f>
        <v>4227.7924999999996</v>
      </c>
      <c r="AL8" s="4">
        <f>((D28+E28)-(D27+E27))*(AL5^1/2)</f>
        <v>5288.55</v>
      </c>
      <c r="AM8" s="4">
        <f>((D29+E29)-(D28+E28))*(AM5^1/2)</f>
        <v>71338.107149999996</v>
      </c>
      <c r="AN8" s="4">
        <f>((D30+E30)-(D29+E29))*(AN5^1/2)</f>
        <v>5027.8897999999999</v>
      </c>
      <c r="AO8" s="4">
        <f>((D31+E31)-(D30+E30))*(AO5^1/2)</f>
        <v>26843.299199999998</v>
      </c>
      <c r="AP8" s="4">
        <f>((D32+E32)-(D31+E31))*(AP5^1/2)</f>
        <v>-17027.1162</v>
      </c>
      <c r="AQ8" s="4">
        <f>((D32+E32)-(D31+E31))*(AQ5^1/2)</f>
        <v>-13586.4036</v>
      </c>
      <c r="AR8" s="4">
        <f>((E32+F32)-(E31+F31))*(AR5^1/2)</f>
        <v>6011.3938500000004</v>
      </c>
    </row>
    <row r="9" spans="1:44" ht="15" customHeight="1" x14ac:dyDescent="0.25">
      <c r="A9" s="13" t="s">
        <v>23</v>
      </c>
      <c r="B9" s="16">
        <v>85133</v>
      </c>
      <c r="C9" s="16">
        <v>2866</v>
      </c>
      <c r="D9" s="15">
        <v>0</v>
      </c>
      <c r="E9" s="15">
        <v>0</v>
      </c>
      <c r="F9" s="15">
        <v>0</v>
      </c>
      <c r="G9" s="16">
        <v>-1622</v>
      </c>
      <c r="H9" s="20">
        <v>14.003408642</v>
      </c>
      <c r="I9" s="14">
        <v>2353</v>
      </c>
      <c r="J9" s="17">
        <v>1.0120889960000001E-2</v>
      </c>
      <c r="K9" s="14">
        <v>16226.288</v>
      </c>
      <c r="M9" s="1" t="s">
        <v>24</v>
      </c>
      <c r="N9" s="1"/>
      <c r="O9" s="4"/>
      <c r="P9" s="4">
        <f>+B5*P5</f>
        <v>7555.9372000000003</v>
      </c>
      <c r="Q9" s="4">
        <f>+(B6+P9+P10+P14)*Q5</f>
        <v>4348.1556</v>
      </c>
      <c r="R9" s="4">
        <f>+(B7+Q9+P9+P10+Q10+P14+Q14)*R5</f>
        <v>1377.2356</v>
      </c>
      <c r="S9" s="4">
        <f>+(B8+R9+Q9+P9+P10+Q10+R10+P14+Q14+R14)*S5</f>
        <v>7575.0407999999998</v>
      </c>
      <c r="T9" s="4">
        <f>+(B9+S9+R9+Q9+P9+P10+Q10+R10+S10+P14+Q14+R14+S14)*T5</f>
        <v>5082.4401000000007</v>
      </c>
      <c r="U9" s="4">
        <f>+(B10+T9+S9+R9+Q9+P9+P10+Q10+R10+S10+T10+P14+Q14+R14+S14+T14)*U5</f>
        <v>6534.3798000000015</v>
      </c>
      <c r="V9" s="4">
        <f>+(B11+U9+T9+S9+R9+Q9+P9+P10+Q10+R10+S10+T10+U10+P14+Q14+R14+S14+T14+U14)*V5</f>
        <v>10911.124</v>
      </c>
      <c r="W9" s="4">
        <f>+(B12+V9+U9+T9+S9+R9+Q9+P9+P10+Q10+R10+S10+T10+U10+V10+P14+Q14+R14+S14+T14+U14+V14)*W5</f>
        <v>8595.6180000000004</v>
      </c>
      <c r="X9" s="4">
        <f>+(B13+W9+V9+U9+T9+S9+R9+Q9+P9+P10+Q10+R10+S10+T10+U10+V10+W10+P14+Q14+R14+S14+T14+U14+V14+W14)*X5</f>
        <v>7361.8919999999962</v>
      </c>
      <c r="Y9" s="4">
        <f>+(B14+X9+W9+V9+U9+T9+S9+R9+Q9+P9+P10+Q10+R10+S10+T10+U10+V10+W10+X10+P14+Q14+R14+S14+T14+U14+V14+W14+X14)*Y5</f>
        <v>5776.7724999999973</v>
      </c>
      <c r="Z9" s="4">
        <f>+(B15+Y9+X9+W9+V9+U9+T9+S9+R9+Q9+P9+P10+Q10+R10+S10+T10+U10+V10+W10+X10+Y10+P14+Q14+R14+S14+T14+U14+V14+W14+X14+Y14)*Z5</f>
        <v>3366.6137999999969</v>
      </c>
      <c r="AA9" s="4">
        <f>+(B16+Z9+Y9+X9+W9+V9+U9+T9+S9+R9+Q9+P9+P10+Q10+R10+S10+T10+U10+V10+W10+X10+Y10+Z10+P14+Q14+R14+S14+T14+U14+V14+W14+X14+Y14+Z14)*AA5</f>
        <v>5417.9187999999967</v>
      </c>
      <c r="AB9" s="4">
        <f>+(B17+AA9+Z9+Y9+X9+W9+V9+U9+T9+S9+R9+Q9+P9+P10+Q10+R10+S10+T10+U10+V10+W10+X10+Y10+Z10+AA10+P14+Q14+R14+S14+T14+U14+V14+W14+X14+Y14+Z14+AA14)*AB5</f>
        <v>21742.680000000004</v>
      </c>
      <c r="AC9" s="4">
        <f>+(B18+AB9+AA9+Z9+Y9+X9+W9+V9+U9+T9+S9+R9+Q9+P9+P10+Q10+R10+S10+T10+U10+V10+W10+X10+Y10+Z10+AA10+AB10+P14+Q14+R14+S14+T14+U14+V14+W14+X14+Y14+Z14+AA14+AB14)*AC5</f>
        <v>15313.990300000003</v>
      </c>
      <c r="AD9" s="4">
        <f>+(B19+AC9+AB9+AA9+Z9+Y9+X9+W9+V9+U9+T9+S9+R9+Q9+P9+P10+Q10+R10+S10+T10+U10+V10+W10+X10+Y10+Z10+AA10+AB10+AC10+P14+Q14+R14+S14+T14+U14+V14+W14+X14+Y14+Z14+AA14+AB14+AC14)*AD5</f>
        <v>24473.422502760004</v>
      </c>
      <c r="AE9" s="4">
        <f>+(B20+AD9+AC9+AB9+AA9+Z9+Y9+X9+W9+V9+U9+T9+S9+R9+Q9+P9+P10+Q10+R10+S10+T10+U10+V10+W10+X10+Y10+Z10+AA10+AB10+AC10+AD10+P14+Q14+S14++R14+T14+U14+V14+W14+X14+Y14+Z14+AA14+AB14+AC14+AD14)*AE5</f>
        <v>39576.636592215989</v>
      </c>
      <c r="AF9" s="4">
        <f>+(B21+AE9+AD9+AC9+AB9+AA9+Z9+Y9+X9+W9+V9+U9+T9+S9+R9+Q9+P9+P10+Q10+R10+S10+T10+U10+V10+W10+X10+Y10+Z10+AA10+AB10+AC10+AD10+AE10+P14+Q14+R14+S14+T14+U14+V14+W14+X14+Y14+Z14+AA14+AB14+AC14+AD14+AE14)*AF5</f>
        <v>129385.47361084755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135908.6764086328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153029.75924799484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271355.15095276851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174861.18914470781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89703.119169082449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125201.98005981778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158747.7262078808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194022.74612267595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459681.98301026679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280932.10108666291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251520.4504976662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288503.13250276394</v>
      </c>
    </row>
    <row r="10" spans="1:44" ht="15" customHeight="1" x14ac:dyDescent="0.25">
      <c r="A10" s="13" t="s">
        <v>25</v>
      </c>
      <c r="B10" s="16">
        <v>85194</v>
      </c>
      <c r="C10" s="16">
        <v>1931</v>
      </c>
      <c r="D10" s="15">
        <v>0</v>
      </c>
      <c r="E10" s="15">
        <v>0</v>
      </c>
      <c r="F10" s="15">
        <v>0</v>
      </c>
      <c r="G10" s="16">
        <v>-821</v>
      </c>
      <c r="H10" s="20">
        <v>3.1894934334</v>
      </c>
      <c r="I10" s="14">
        <v>2353</v>
      </c>
      <c r="J10" s="17">
        <v>1.6144111015999999E-2</v>
      </c>
      <c r="K10" s="15">
        <v>0</v>
      </c>
      <c r="M10" s="22" t="s">
        <v>26</v>
      </c>
      <c r="N10" s="22"/>
      <c r="O10" s="23"/>
      <c r="P10" s="23">
        <f>((B6-B5)*(P5^1/2))</f>
        <v>203.67580000000001</v>
      </c>
      <c r="Q10" s="23">
        <f>((B7-B6)*(Q5^1/2))</f>
        <v>-8.6652000000000005</v>
      </c>
      <c r="R10" s="23">
        <f>((B8-B7)*(R5/2))</f>
        <v>14.6578</v>
      </c>
      <c r="S10" s="23"/>
      <c r="T10" s="23">
        <f>((B10-B9)*(T5^1/2))</f>
        <v>1.8208500000000001</v>
      </c>
      <c r="U10" s="23">
        <f>((B11-B10)*(U5^1/2))</f>
        <v>72.328100000000006</v>
      </c>
      <c r="V10" s="23">
        <f>((B12-B11)*(V5^1/2))</f>
        <v>334.92689999999999</v>
      </c>
      <c r="W10" s="23"/>
      <c r="X10" s="23"/>
      <c r="Y10" s="23">
        <f>((B15-B14)*(Y5/2))</f>
        <v>161.9374</v>
      </c>
      <c r="Z10" s="23"/>
      <c r="AA10" s="23"/>
      <c r="AB10" s="23">
        <f>((B18-B17)*(AB5^1/2))</f>
        <v>-389.60649999999998</v>
      </c>
      <c r="AC10" s="23">
        <f>((B19-B18)*(AC5^1/2))</f>
        <v>1213.07105</v>
      </c>
      <c r="AD10" s="23"/>
      <c r="AE10" s="23">
        <f>((B21-B20)*(AE5^1/2))</f>
        <v>52083.102500000001</v>
      </c>
      <c r="AF10" s="23">
        <f>((B22-B21)*(AF5^1/2))</f>
        <v>1853.7619999999999</v>
      </c>
      <c r="AG10" s="23"/>
      <c r="AH10" s="23"/>
      <c r="AI10" s="23">
        <f>((B25-B24)*(AI5^1/2))</f>
        <v>9436.1211999999996</v>
      </c>
      <c r="AJ10" s="23">
        <f>((B26-B25)*(AJ5/2))</f>
        <v>8679.5080999999991</v>
      </c>
      <c r="AK10" s="23">
        <f>((B27-B26)*(AK5/2))</f>
        <v>4612.7084999999997</v>
      </c>
      <c r="AL10" s="23">
        <f>((B28-B27)*(AL5^1/2))</f>
        <v>5200.2</v>
      </c>
      <c r="AM10" s="23">
        <f>((B29-B28)*(AM5/2))</f>
        <v>11317.111800000001</v>
      </c>
      <c r="AN10" s="23">
        <f>((B30-B29)*(AN5/2))</f>
        <v>7641.3537999999999</v>
      </c>
      <c r="AO10" s="23">
        <f>((B31-B30)*(AO5/2))</f>
        <v>15821.714099999999</v>
      </c>
      <c r="AP10" s="23">
        <f>((B32-B31)*(AP5^1/2))</f>
        <v>19199.321550000001</v>
      </c>
      <c r="AQ10" s="23">
        <f>((C32-C31)*(AQ5/2))</f>
        <v>5640.5117999999993</v>
      </c>
      <c r="AR10" s="23">
        <f>((D32-D31)*(AR5^1/2))</f>
        <v>-20127.2379</v>
      </c>
    </row>
    <row r="11" spans="1:44" ht="15" customHeight="1" x14ac:dyDescent="0.25">
      <c r="A11" s="13" t="s">
        <v>27</v>
      </c>
      <c r="B11" s="16">
        <v>87080</v>
      </c>
      <c r="C11" s="16">
        <v>5040</v>
      </c>
      <c r="D11" s="15">
        <v>0</v>
      </c>
      <c r="E11" s="15">
        <v>0</v>
      </c>
      <c r="F11" s="15">
        <v>0</v>
      </c>
      <c r="G11" s="16">
        <v>-2071</v>
      </c>
      <c r="H11" s="20">
        <v>9.3266865126999998E-2</v>
      </c>
      <c r="I11" s="14">
        <v>2353</v>
      </c>
      <c r="J11" s="15">
        <v>0</v>
      </c>
      <c r="K11" s="15">
        <v>0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6">
        <v>92426</v>
      </c>
      <c r="C12" s="16">
        <v>8022</v>
      </c>
      <c r="D12" s="15">
        <v>0</v>
      </c>
      <c r="E12" s="15">
        <v>0</v>
      </c>
      <c r="F12" s="15">
        <v>0</v>
      </c>
      <c r="G12" s="16">
        <v>-3036</v>
      </c>
      <c r="H12" s="20">
        <v>11.937857726000001</v>
      </c>
      <c r="I12" s="14">
        <v>2353</v>
      </c>
      <c r="J12" s="17">
        <v>2.2189196311000001E-2</v>
      </c>
      <c r="K12" s="15">
        <v>0</v>
      </c>
      <c r="M12" s="1" t="s">
        <v>30</v>
      </c>
      <c r="N12" s="1"/>
      <c r="O12" s="1"/>
      <c r="P12" s="4">
        <v>0</v>
      </c>
      <c r="Q12" s="24">
        <f>-($P$7+$P$8)*$N$1</f>
        <v>0</v>
      </c>
      <c r="R12" s="24">
        <f>-((($P$7+$P$8)*(1+Q5))+($Q$7+$Q$8))*N1</f>
        <v>0</v>
      </c>
      <c r="S12" s="24">
        <f>-((($P$7+$P$8)*(1+Q5)*(1+R5))+(($Q$7+$Q$8)*(1+R5))+((R7+R8)))*$N$1</f>
        <v>0</v>
      </c>
      <c r="T12" s="24">
        <f>-((($P$7+$P$8)*(1+R5)*(1+S5)*(1+Q5))+(($Q$7+$Q$8)*(1+S5)*(1+R5))+((R7+R8)*(1+S5))+((S7+S8)))*$N$1</f>
        <v>0</v>
      </c>
      <c r="U12" s="24">
        <f>-((($P$7+$P$8)*(1+T5)*(1+R5)*(1+S5)*(1+Q5))+(($Q$7+$Q$8)*(1+T5)*(1+S5)*(1+R5))+((R7+R8)*(1+S5)*(1+T5))+((S7+S8)*(1+T5))+(T7+T8))*$N$1</f>
        <v>0</v>
      </c>
      <c r="V12" s="24">
        <f>-((($P$7+$P$8)*(1+U5)*(1+S5)*(1+T5)*(1+R5)*(1+Q5))+(($Q$7+$Q$8)*(1+U5)*(1+T5)*(1+S5)*(1+R5))+(($R$7+$R$8)*(1+U5)*(1+T5)*(1+S5))+((S7+S8)*(1+T5)*(1+U5))+((T7+T8)*(1+U5))+(U7+U8))*$N$1</f>
        <v>0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0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0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0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0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0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0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0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-354.45252084000003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-1529.3072357882882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-2438.2609488319586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-5877.0158020999506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-10711.351920378333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-16682.87511740415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-29590.486711414866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-33760.486755350437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-37589.623295360238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-54065.846007730579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-76338.256973061769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-82419.646657419478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-99052.3885115632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-109575.46133429457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-107761.08464334115</v>
      </c>
    </row>
    <row r="13" spans="1:44" ht="15" customHeight="1" x14ac:dyDescent="0.25">
      <c r="A13" s="13" t="s">
        <v>31</v>
      </c>
      <c r="B13" s="16">
        <v>96867</v>
      </c>
      <c r="C13" s="16">
        <v>6959</v>
      </c>
      <c r="D13" s="15">
        <v>0</v>
      </c>
      <c r="E13" s="15">
        <v>0</v>
      </c>
      <c r="F13" s="15">
        <v>0</v>
      </c>
      <c r="G13" s="16">
        <v>-2354</v>
      </c>
      <c r="H13" s="20">
        <v>9.3849080533000002</v>
      </c>
      <c r="I13" s="14">
        <v>2353</v>
      </c>
      <c r="J13" s="17">
        <v>3.1224902459999999E-2</v>
      </c>
      <c r="K13" s="15">
        <v>0</v>
      </c>
      <c r="M13" t="s">
        <v>32</v>
      </c>
      <c r="P13">
        <v>0</v>
      </c>
      <c r="Q13" s="24">
        <f t="shared" ref="Q13:AR13" si="0">Q12*Q5</f>
        <v>0</v>
      </c>
      <c r="R13" s="24">
        <f t="shared" si="0"/>
        <v>0</v>
      </c>
      <c r="S13" s="24">
        <f t="shared" si="0"/>
        <v>0</v>
      </c>
      <c r="T13" s="24">
        <f t="shared" si="0"/>
        <v>0</v>
      </c>
      <c r="U13" s="24">
        <f t="shared" si="0"/>
        <v>0</v>
      </c>
      <c r="V13" s="24">
        <f t="shared" si="0"/>
        <v>0</v>
      </c>
      <c r="W13" s="24">
        <f t="shared" si="0"/>
        <v>0</v>
      </c>
      <c r="X13" s="24">
        <f t="shared" si="0"/>
        <v>0</v>
      </c>
      <c r="Y13" s="24">
        <f t="shared" si="0"/>
        <v>0</v>
      </c>
      <c r="Z13" s="24">
        <f t="shared" si="0"/>
        <v>0</v>
      </c>
      <c r="AA13" s="24">
        <f t="shared" si="0"/>
        <v>0</v>
      </c>
      <c r="AB13" s="24">
        <f t="shared" si="0"/>
        <v>0</v>
      </c>
      <c r="AC13" s="24">
        <f t="shared" si="0"/>
        <v>0</v>
      </c>
      <c r="AD13" s="24">
        <f t="shared" si="0"/>
        <v>-20.948143981644002</v>
      </c>
      <c r="AE13" s="24">
        <f t="shared" si="0"/>
        <v>-99.40497032623874</v>
      </c>
      <c r="AF13" s="24">
        <f t="shared" si="0"/>
        <v>-142.39443941178638</v>
      </c>
      <c r="AG13" s="24">
        <f t="shared" si="0"/>
        <v>-347.33163390410709</v>
      </c>
      <c r="AH13" s="24">
        <f t="shared" si="0"/>
        <v>-686.59765809625117</v>
      </c>
      <c r="AI13" s="24">
        <f t="shared" si="0"/>
        <v>-1780.0627750270228</v>
      </c>
      <c r="AJ13" s="24">
        <f t="shared" si="0"/>
        <v>-1861.2416141479951</v>
      </c>
      <c r="AK13" s="24">
        <f t="shared" si="0"/>
        <v>-995.93435928283782</v>
      </c>
      <c r="AL13" s="24">
        <f t="shared" si="0"/>
        <v>-1409.6108735760088</v>
      </c>
      <c r="AM13" s="24">
        <f t="shared" si="0"/>
        <v>-2330.2379629331881</v>
      </c>
      <c r="AN13" s="24">
        <f t="shared" si="0"/>
        <v>-3450.4892151823919</v>
      </c>
      <c r="AO13" s="24">
        <f t="shared" si="0"/>
        <v>-8291.4164537363995</v>
      </c>
      <c r="AP13" s="24">
        <f t="shared" si="0"/>
        <v>-5735.1332948195095</v>
      </c>
      <c r="AQ13" s="24">
        <f t="shared" si="0"/>
        <v>-5062.3863136444088</v>
      </c>
      <c r="AR13" s="24">
        <f t="shared" si="0"/>
        <v>-5204.8603882733778</v>
      </c>
    </row>
    <row r="14" spans="1:44" ht="15" customHeight="1" x14ac:dyDescent="0.25">
      <c r="A14" s="13" t="s">
        <v>33</v>
      </c>
      <c r="B14" s="16">
        <v>101525</v>
      </c>
      <c r="C14" s="16">
        <v>7951</v>
      </c>
      <c r="D14" s="15">
        <v>0</v>
      </c>
      <c r="E14" s="15">
        <v>0</v>
      </c>
      <c r="F14" s="15">
        <v>0</v>
      </c>
      <c r="G14" s="16">
        <v>-2847</v>
      </c>
      <c r="H14" s="20">
        <v>3.6844836533000001</v>
      </c>
      <c r="I14" s="14">
        <v>2353</v>
      </c>
      <c r="J14" s="17">
        <v>4.0825137721E-2</v>
      </c>
      <c r="K14" s="14">
        <v>45342.31</v>
      </c>
      <c r="M14" s="39" t="s">
        <v>34</v>
      </c>
      <c r="N14" s="39"/>
      <c r="O14" s="40"/>
      <c r="P14" s="40">
        <f t="shared" ref="P14:AR14" si="1">(P7+P8)-(P9+P10)+P12+P13</f>
        <v>-7759.6130000000003</v>
      </c>
      <c r="Q14" s="40">
        <f t="shared" si="1"/>
        <v>-4339.4903999999997</v>
      </c>
      <c r="R14" s="40">
        <f t="shared" si="1"/>
        <v>-1391.8933999999999</v>
      </c>
      <c r="S14" s="40">
        <f t="shared" si="1"/>
        <v>-7575.0407999999998</v>
      </c>
      <c r="T14" s="40">
        <f t="shared" si="1"/>
        <v>-5084.2609500000008</v>
      </c>
      <c r="U14" s="40">
        <f t="shared" si="1"/>
        <v>-6606.7079000000012</v>
      </c>
      <c r="V14" s="40">
        <f t="shared" si="1"/>
        <v>-11246.0509</v>
      </c>
      <c r="W14" s="40">
        <f t="shared" si="1"/>
        <v>-8595.6180000000004</v>
      </c>
      <c r="X14" s="40">
        <f t="shared" si="1"/>
        <v>-7361.8919999999962</v>
      </c>
      <c r="Y14" s="40">
        <f t="shared" si="1"/>
        <v>-5938.7098999999971</v>
      </c>
      <c r="Z14" s="40">
        <f t="shared" si="1"/>
        <v>-3366.6137999999969</v>
      </c>
      <c r="AA14" s="40">
        <f t="shared" si="1"/>
        <v>-5417.9187999999967</v>
      </c>
      <c r="AB14" s="40">
        <f t="shared" si="1"/>
        <v>-21353.073500000002</v>
      </c>
      <c r="AC14" s="40">
        <f t="shared" si="1"/>
        <v>-14029.157750000004</v>
      </c>
      <c r="AD14" s="40">
        <f t="shared" si="1"/>
        <v>-16716.993914821647</v>
      </c>
      <c r="AE14" s="40">
        <f t="shared" si="1"/>
        <v>-87583.386162901123</v>
      </c>
      <c r="AF14" s="40">
        <f t="shared" si="1"/>
        <v>-110589.72599658102</v>
      </c>
      <c r="AG14" s="40">
        <f t="shared" si="1"/>
        <v>-110512.13248188651</v>
      </c>
      <c r="AH14" s="40">
        <f t="shared" si="1"/>
        <v>-127183.69516241328</v>
      </c>
      <c r="AI14" s="40">
        <f t="shared" si="1"/>
        <v>-220835.96607773178</v>
      </c>
      <c r="AJ14" s="40">
        <f t="shared" si="1"/>
        <v>-198722.10541672891</v>
      </c>
      <c r="AK14" s="40">
        <f t="shared" si="1"/>
        <v>-109106.06005413883</v>
      </c>
      <c r="AL14" s="40">
        <f t="shared" si="1"/>
        <v>-63223.740946200553</v>
      </c>
      <c r="AM14" s="40">
        <f t="shared" si="1"/>
        <v>-85924.114350651726</v>
      </c>
      <c r="AN14" s="40">
        <f t="shared" si="1"/>
        <v>-262912.32131053013</v>
      </c>
      <c r="AO14" s="40">
        <f t="shared" si="1"/>
        <v>-507431.63548282295</v>
      </c>
      <c r="AP14" s="40">
        <f t="shared" si="1"/>
        <v>-371177.29872132716</v>
      </c>
      <c r="AQ14" s="40">
        <f t="shared" si="1"/>
        <v>-343315.81622719078</v>
      </c>
      <c r="AR14" s="40">
        <f t="shared" si="1"/>
        <v>1116024.3857643907</v>
      </c>
    </row>
    <row r="15" spans="1:44" ht="15" customHeight="1" x14ac:dyDescent="0.25">
      <c r="A15" s="13" t="s">
        <v>35</v>
      </c>
      <c r="B15" s="16">
        <v>107217</v>
      </c>
      <c r="C15" s="16">
        <v>9725</v>
      </c>
      <c r="D15" s="15">
        <v>0</v>
      </c>
      <c r="E15" s="15">
        <v>0</v>
      </c>
      <c r="F15" s="15">
        <v>0</v>
      </c>
      <c r="G15" s="16">
        <v>-3366</v>
      </c>
      <c r="H15" s="20">
        <v>10.169491525</v>
      </c>
      <c r="I15" s="14">
        <v>2353</v>
      </c>
      <c r="J15" s="17">
        <v>3.8274218136000002E-2</v>
      </c>
      <c r="K15" s="14">
        <v>38871.56</v>
      </c>
    </row>
    <row r="16" spans="1:44" ht="15" customHeight="1" x14ac:dyDescent="0.25">
      <c r="A16" s="13" t="s">
        <v>36</v>
      </c>
      <c r="B16" s="16">
        <v>121478</v>
      </c>
      <c r="C16" s="16">
        <v>20795</v>
      </c>
      <c r="D16" s="15">
        <v>0</v>
      </c>
      <c r="E16" s="15">
        <v>0</v>
      </c>
      <c r="F16" s="15">
        <v>0</v>
      </c>
      <c r="G16" s="16">
        <v>-6473</v>
      </c>
      <c r="H16" s="20">
        <v>2.4439304033</v>
      </c>
      <c r="I16" s="14">
        <v>2353</v>
      </c>
      <c r="J16" s="17">
        <v>0.26130931287999998</v>
      </c>
      <c r="K16" s="14">
        <v>233958.79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6">
        <v>368520</v>
      </c>
      <c r="C17" s="16">
        <v>21626</v>
      </c>
      <c r="D17" s="15">
        <v>0</v>
      </c>
      <c r="E17" s="15">
        <v>0</v>
      </c>
      <c r="F17" s="15">
        <v>0</v>
      </c>
      <c r="G17" s="16">
        <v>-5526</v>
      </c>
      <c r="H17" s="20">
        <v>1.1149825784</v>
      </c>
      <c r="I17" s="14">
        <v>62766</v>
      </c>
      <c r="J17" s="17">
        <v>0.76208378172000002</v>
      </c>
      <c r="K17" s="14">
        <v>900692.1</v>
      </c>
      <c r="L17" s="41" t="str">
        <f>+L19</f>
        <v>RaiaDrogasil ON</v>
      </c>
      <c r="M17" s="2" t="s">
        <v>38</v>
      </c>
      <c r="N17" s="2"/>
      <c r="O17" s="28"/>
      <c r="P17" s="42">
        <f>+C6</f>
        <v>1891</v>
      </c>
      <c r="Q17" s="42">
        <f>C7</f>
        <v>155</v>
      </c>
      <c r="R17" s="42">
        <f>C8</f>
        <v>2344</v>
      </c>
      <c r="S17" s="42">
        <f>C9</f>
        <v>2866</v>
      </c>
      <c r="T17" s="42">
        <f>C10</f>
        <v>1931</v>
      </c>
      <c r="U17" s="42">
        <f>C11</f>
        <v>5040</v>
      </c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>
        <f>C22</f>
        <v>104855</v>
      </c>
      <c r="AG17" s="42">
        <f>C23</f>
        <v>100985</v>
      </c>
      <c r="AH17" s="42"/>
      <c r="AI17" s="42">
        <f>C25</f>
        <v>340206</v>
      </c>
      <c r="AJ17" s="42">
        <f>C26</f>
        <v>447685</v>
      </c>
      <c r="AK17" s="42">
        <f>C27</f>
        <v>511163</v>
      </c>
      <c r="AL17" s="42">
        <f>C28</f>
        <v>502447</v>
      </c>
      <c r="AM17" s="42">
        <f>C29</f>
        <v>772240</v>
      </c>
      <c r="AN17" s="42">
        <f>C30</f>
        <v>484444</v>
      </c>
      <c r="AO17" s="42">
        <f>C31</f>
        <v>751934</v>
      </c>
      <c r="AP17" s="42">
        <f>C32</f>
        <v>996112</v>
      </c>
      <c r="AQ17" s="42">
        <f>D32</f>
        <v>652825</v>
      </c>
      <c r="AR17" s="42">
        <f>E32</f>
        <v>5574857</v>
      </c>
    </row>
    <row r="18" spans="1:44" ht="15" customHeight="1" x14ac:dyDescent="0.25">
      <c r="A18" s="13" t="s">
        <v>39</v>
      </c>
      <c r="B18" s="16">
        <v>355313</v>
      </c>
      <c r="C18" s="16">
        <v>51173</v>
      </c>
      <c r="D18" s="15">
        <v>0</v>
      </c>
      <c r="E18" s="15">
        <v>0</v>
      </c>
      <c r="F18" s="15">
        <v>0</v>
      </c>
      <c r="G18" s="16">
        <v>-8991</v>
      </c>
      <c r="H18" s="20">
        <v>3.6801605099999999</v>
      </c>
      <c r="I18" s="14">
        <v>59060</v>
      </c>
      <c r="J18" s="17">
        <v>0.54762071059999995</v>
      </c>
      <c r="K18" s="14">
        <v>590600</v>
      </c>
      <c r="L18" s="43" t="str">
        <f>+L19</f>
        <v>RaiaDrogasil ON</v>
      </c>
      <c r="M18" s="18" t="s">
        <v>40</v>
      </c>
      <c r="N18" s="18"/>
      <c r="O18" s="25"/>
      <c r="P18" s="44">
        <f t="shared" ref="P18:V18" si="2">P14+P17</f>
        <v>-5868.6130000000003</v>
      </c>
      <c r="Q18" s="44">
        <f t="shared" si="2"/>
        <v>-4184.4903999999997</v>
      </c>
      <c r="R18" s="44">
        <f t="shared" si="2"/>
        <v>952.10660000000007</v>
      </c>
      <c r="S18" s="44">
        <f t="shared" si="2"/>
        <v>-4709.0407999999998</v>
      </c>
      <c r="T18" s="44">
        <f t="shared" si="2"/>
        <v>-3153.2609500000008</v>
      </c>
      <c r="U18" s="44">
        <f t="shared" si="2"/>
        <v>-1566.7079000000012</v>
      </c>
      <c r="V18" s="44">
        <f t="shared" si="2"/>
        <v>-11246.0509</v>
      </c>
      <c r="W18" s="44"/>
      <c r="X18" s="44">
        <f t="shared" ref="X18:AR18" si="3">X14+X17</f>
        <v>-7361.8919999999962</v>
      </c>
      <c r="Y18" s="44">
        <f t="shared" si="3"/>
        <v>-5938.7098999999971</v>
      </c>
      <c r="Z18" s="44">
        <f t="shared" si="3"/>
        <v>-3366.6137999999969</v>
      </c>
      <c r="AA18" s="44">
        <f t="shared" si="3"/>
        <v>-5417.9187999999967</v>
      </c>
      <c r="AB18" s="44">
        <f t="shared" si="3"/>
        <v>-21353.073500000002</v>
      </c>
      <c r="AC18" s="44">
        <f t="shared" si="3"/>
        <v>-14029.157750000004</v>
      </c>
      <c r="AD18" s="44">
        <f t="shared" si="3"/>
        <v>-16716.993914821647</v>
      </c>
      <c r="AE18" s="44">
        <f t="shared" si="3"/>
        <v>-87583.386162901123</v>
      </c>
      <c r="AF18" s="44">
        <f t="shared" si="3"/>
        <v>-5734.7259965810226</v>
      </c>
      <c r="AG18" s="44">
        <f t="shared" si="3"/>
        <v>-9527.1324818865105</v>
      </c>
      <c r="AH18" s="44">
        <f t="shared" si="3"/>
        <v>-127183.69516241328</v>
      </c>
      <c r="AI18" s="44">
        <f t="shared" si="3"/>
        <v>119370.03392226822</v>
      </c>
      <c r="AJ18" s="44">
        <f t="shared" si="3"/>
        <v>248962.89458327109</v>
      </c>
      <c r="AK18" s="44">
        <f t="shared" si="3"/>
        <v>402056.93994586117</v>
      </c>
      <c r="AL18" s="44">
        <f t="shared" si="3"/>
        <v>439223.25905379944</v>
      </c>
      <c r="AM18" s="44">
        <f t="shared" si="3"/>
        <v>686315.88564934826</v>
      </c>
      <c r="AN18" s="44">
        <f t="shared" si="3"/>
        <v>221531.67868946987</v>
      </c>
      <c r="AO18" s="44">
        <f t="shared" si="3"/>
        <v>244502.36451717705</v>
      </c>
      <c r="AP18" s="44">
        <f t="shared" si="3"/>
        <v>624934.70127867279</v>
      </c>
      <c r="AQ18" s="44">
        <f t="shared" si="3"/>
        <v>309509.18377280922</v>
      </c>
      <c r="AR18" s="44">
        <f t="shared" si="3"/>
        <v>6690881.3857643902</v>
      </c>
    </row>
    <row r="19" spans="1:44" ht="15" customHeight="1" x14ac:dyDescent="0.25">
      <c r="A19" s="13" t="s">
        <v>41</v>
      </c>
      <c r="B19" s="16">
        <v>411604</v>
      </c>
      <c r="C19" s="16">
        <v>74590</v>
      </c>
      <c r="D19" s="15">
        <v>0</v>
      </c>
      <c r="E19" s="16">
        <v>115912</v>
      </c>
      <c r="F19" s="15">
        <v>0</v>
      </c>
      <c r="G19" s="16">
        <v>-16821</v>
      </c>
      <c r="H19" s="20">
        <v>1.2337197893</v>
      </c>
      <c r="I19" s="14">
        <v>59321</v>
      </c>
      <c r="J19" s="17">
        <v>1.5658969173999999</v>
      </c>
      <c r="K19" s="14">
        <v>1660988</v>
      </c>
      <c r="L19" s="18" t="str">
        <f>+A1</f>
        <v>RaiaDrogasil ON</v>
      </c>
      <c r="M19" s="18" t="s">
        <v>42</v>
      </c>
      <c r="N19" s="18"/>
      <c r="O19" s="31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>
        <f t="shared" ref="AI19:AR19" si="4">AI18/AI17</f>
        <v>0.35087574564313451</v>
      </c>
      <c r="AJ19" s="45">
        <f t="shared" si="4"/>
        <v>0.55611176292096243</v>
      </c>
      <c r="AK19" s="45">
        <f t="shared" si="4"/>
        <v>0.78655329111430439</v>
      </c>
      <c r="AL19" s="45">
        <f t="shared" si="4"/>
        <v>0.87416833826015372</v>
      </c>
      <c r="AM19" s="45">
        <f t="shared" si="4"/>
        <v>0.88873392423255493</v>
      </c>
      <c r="AN19" s="45">
        <f t="shared" si="4"/>
        <v>0.45729058196503597</v>
      </c>
      <c r="AO19" s="45">
        <f t="shared" si="4"/>
        <v>0.32516466141599804</v>
      </c>
      <c r="AP19" s="45">
        <f t="shared" si="4"/>
        <v>0.62737393112287854</v>
      </c>
      <c r="AQ19" s="45">
        <f t="shared" si="4"/>
        <v>0.47410743119949333</v>
      </c>
      <c r="AR19" s="45">
        <f t="shared" si="4"/>
        <v>1.2001888812151398</v>
      </c>
    </row>
    <row r="20" spans="1:44" ht="15" customHeight="1" x14ac:dyDescent="0.25">
      <c r="A20" s="13" t="s">
        <v>43</v>
      </c>
      <c r="B20" s="16">
        <v>598617</v>
      </c>
      <c r="C20" s="16">
        <v>89015</v>
      </c>
      <c r="D20" s="15">
        <v>0</v>
      </c>
      <c r="E20" s="16">
        <v>154281</v>
      </c>
      <c r="F20" s="15">
        <v>0</v>
      </c>
      <c r="G20" s="16">
        <v>-31251</v>
      </c>
      <c r="H20" s="20">
        <v>1.2079404815000001</v>
      </c>
      <c r="I20" s="14">
        <v>187536.64799999999</v>
      </c>
      <c r="J20" s="17">
        <v>2.2968369200000001</v>
      </c>
      <c r="K20" s="14">
        <v>2531744.7480000001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6">
        <v>2201174</v>
      </c>
      <c r="C21" s="16">
        <v>68696</v>
      </c>
      <c r="D21" s="15">
        <v>0</v>
      </c>
      <c r="E21" s="16">
        <v>0</v>
      </c>
      <c r="F21" s="15">
        <v>0</v>
      </c>
      <c r="G21" s="16">
        <v>-40863</v>
      </c>
      <c r="H21" s="20">
        <v>1.1618831842999999</v>
      </c>
      <c r="I21" s="14">
        <v>330386</v>
      </c>
      <c r="J21" s="17">
        <v>2.2353910027000001</v>
      </c>
      <c r="K21" s="14">
        <v>4285106.42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6">
        <v>2264659</v>
      </c>
      <c r="C22" s="16">
        <v>104855</v>
      </c>
      <c r="D22" s="15">
        <v>0</v>
      </c>
      <c r="E22" s="16">
        <v>454322</v>
      </c>
      <c r="F22" s="15">
        <v>0</v>
      </c>
      <c r="G22" s="16">
        <v>-34081</v>
      </c>
      <c r="H22" s="20">
        <v>0.52479629389000004</v>
      </c>
      <c r="I22" s="14">
        <v>330386</v>
      </c>
      <c r="J22" s="17">
        <v>3.9999726273</v>
      </c>
      <c r="K22" s="14">
        <v>7622005.0199999996</v>
      </c>
      <c r="L22" s="47" t="str">
        <f>+L24</f>
        <v>RaiaDrogasil ON</v>
      </c>
      <c r="M22" s="39" t="s">
        <v>46</v>
      </c>
      <c r="N22" s="32"/>
      <c r="O22" s="32"/>
      <c r="P22" s="30">
        <v>83298</v>
      </c>
      <c r="Q22" s="30">
        <v>82966</v>
      </c>
      <c r="R22" s="30">
        <v>84732</v>
      </c>
      <c r="S22" s="30">
        <v>10502002</v>
      </c>
      <c r="T22" s="30">
        <v>10565590</v>
      </c>
      <c r="U22" s="30">
        <v>87080</v>
      </c>
      <c r="V22" s="30">
        <v>92426</v>
      </c>
      <c r="W22" s="30">
        <v>96867</v>
      </c>
      <c r="X22" s="30">
        <v>101525</v>
      </c>
      <c r="Y22" s="30">
        <v>107217</v>
      </c>
      <c r="Z22" s="30">
        <v>121478</v>
      </c>
      <c r="AA22" s="30">
        <v>368520</v>
      </c>
      <c r="AB22" s="30">
        <v>355313</v>
      </c>
      <c r="AC22" s="30">
        <v>411604</v>
      </c>
      <c r="AD22" s="30">
        <v>598617</v>
      </c>
      <c r="AE22" s="30">
        <v>2201174</v>
      </c>
      <c r="AF22" s="30">
        <v>2264659</v>
      </c>
      <c r="AG22" s="30">
        <v>2326983</v>
      </c>
      <c r="AH22" s="30">
        <v>2456937</v>
      </c>
      <c r="AI22" s="30">
        <v>2633809</v>
      </c>
      <c r="AJ22" s="30">
        <v>2909787</v>
      </c>
      <c r="AK22" s="30">
        <v>3222513</v>
      </c>
      <c r="AL22" s="30">
        <v>3499857</v>
      </c>
      <c r="AM22" s="30">
        <v>4025013</v>
      </c>
      <c r="AN22" s="30">
        <v>4363126</v>
      </c>
      <c r="AO22" s="30">
        <v>4677673</v>
      </c>
      <c r="AP22" s="30">
        <v>5340862</v>
      </c>
      <c r="AQ22" s="30">
        <v>5340862</v>
      </c>
      <c r="AR22" s="30">
        <v>5340862</v>
      </c>
    </row>
    <row r="23" spans="1:44" ht="15" customHeight="1" x14ac:dyDescent="0.25">
      <c r="A23" s="13" t="s">
        <v>47</v>
      </c>
      <c r="B23" s="16">
        <v>2326983</v>
      </c>
      <c r="C23" s="16">
        <v>100985</v>
      </c>
      <c r="D23" s="15">
        <v>0</v>
      </c>
      <c r="E23" s="16">
        <v>536629</v>
      </c>
      <c r="F23" s="15">
        <v>0</v>
      </c>
      <c r="G23" s="16">
        <v>-29339</v>
      </c>
      <c r="H23" s="20">
        <v>0.79662426251999996</v>
      </c>
      <c r="I23" s="14">
        <v>330386</v>
      </c>
      <c r="J23" s="17">
        <v>2.5794884493999999</v>
      </c>
      <c r="K23" s="14">
        <v>4883105.08</v>
      </c>
      <c r="L23" s="47" t="str">
        <f>+L25</f>
        <v>RaiaDrogasil ON</v>
      </c>
      <c r="M23" s="39" t="s">
        <v>48</v>
      </c>
      <c r="N23" s="32"/>
      <c r="O23" s="32"/>
      <c r="P23" s="30">
        <f>P22+P9+P10+P14</f>
        <v>83298</v>
      </c>
      <c r="Q23" s="33">
        <f>Q22+Q9+Q10+Q14+((P9+P10+P14)*(1+Q5))</f>
        <v>82966</v>
      </c>
      <c r="R23" s="33">
        <f>R22+R9+R10+R14+((Q9+Q10+Q14)*(1+R5))+(((P9+P10+P14)*(1+R5)*(1+Q5)))</f>
        <v>84732</v>
      </c>
      <c r="S23" s="33">
        <f>S22+S9+S10+S14+((R9+R10+R14)*(1+S5))+(((Q9+Q10+Q14)*(1+S5)*(1+R5)))+(((P9+P10+P14)*(1+S5)*(1+R5)*(1+Q5)))</f>
        <v>10502002</v>
      </c>
      <c r="T23" s="33">
        <f>T22+T9+T10+T14+((S9+S10+S14)*(1+T5))+(((R9+R10+R14)*(1+T5)*(1+S5)))+(((Q9+Q10+Q14)*(1+T5)*(1+S5)*(1+R5)))+(((P9+P10+P14)*(1+T5)*(1+S5)*(1+R5)*(1+Q5)))</f>
        <v>10565590</v>
      </c>
      <c r="U23" s="33">
        <f>U22+U9+U10+U14+((T9+T10+T14)*(1+U5))+((S9+S10+S14)*(1+U5)*(1+T5))+((R9+R10+R14)*(1+U5)*(1+T5)*(1+S5))+((Q9+Q10+Q14)*(1+U5)*(1+T5)*(1+S5)*(1+R5))+((P9+P10+P14)*(1+U5)*(1+T5)*(1+S5)*(1+R5)*(1+Q5))</f>
        <v>87080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92426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96867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101525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107216.99999999999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121478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368520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355313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414101.90360000002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609018.95829069836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2216328.4385089083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2301347.9673320963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2391236.8292281684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2551155.5637672762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2798035.9905962804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3069162.4601327651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3371799.8038216266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3721920.4980785544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4340788.158502968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4631925.9742794475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4941586.3133194074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5549010.0180759355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5472471.6025815196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6863228.62675336</v>
      </c>
    </row>
    <row r="24" spans="1:44" ht="15" customHeight="1" x14ac:dyDescent="0.25">
      <c r="A24" s="13" t="s">
        <v>49</v>
      </c>
      <c r="B24" s="16">
        <v>2456937</v>
      </c>
      <c r="C24" s="16">
        <v>221386</v>
      </c>
      <c r="D24" s="15">
        <v>0</v>
      </c>
      <c r="E24" s="16">
        <v>647673</v>
      </c>
      <c r="F24" s="15">
        <v>0</v>
      </c>
      <c r="G24" s="16">
        <v>-41527</v>
      </c>
      <c r="H24" s="20">
        <v>0.89288895068999996</v>
      </c>
      <c r="I24" s="14">
        <v>329286</v>
      </c>
      <c r="J24" s="17">
        <v>4.4736321698000001</v>
      </c>
      <c r="K24" s="14">
        <v>8347400.0999999996</v>
      </c>
      <c r="L24" s="47" t="str">
        <f>+L25</f>
        <v>RaiaDrogasil ON</v>
      </c>
      <c r="M24" s="39" t="s">
        <v>50</v>
      </c>
      <c r="N24" s="32"/>
      <c r="O24" s="32"/>
      <c r="P24" s="30">
        <v>0</v>
      </c>
      <c r="Q24" s="30">
        <v>0</v>
      </c>
      <c r="R24" s="30">
        <v>0</v>
      </c>
      <c r="S24" s="30">
        <v>17428087.655999999</v>
      </c>
      <c r="T24" s="30">
        <v>16748049.408</v>
      </c>
      <c r="U24" s="30">
        <v>0</v>
      </c>
      <c r="V24" s="30">
        <v>0</v>
      </c>
      <c r="W24" s="30">
        <v>0</v>
      </c>
      <c r="X24" s="30">
        <v>45342.31</v>
      </c>
      <c r="Y24" s="30">
        <v>38871.56</v>
      </c>
      <c r="Z24" s="30">
        <v>233958.79</v>
      </c>
      <c r="AA24" s="30">
        <v>900692.1</v>
      </c>
      <c r="AB24" s="30">
        <v>590600</v>
      </c>
      <c r="AC24" s="30">
        <v>1660988</v>
      </c>
      <c r="AD24" s="30">
        <v>2531744.7480000001</v>
      </c>
      <c r="AE24" s="30">
        <v>4285106.42</v>
      </c>
      <c r="AF24" s="30">
        <v>7622005.0199999996</v>
      </c>
      <c r="AG24" s="30">
        <v>4883105.08</v>
      </c>
      <c r="AH24" s="30">
        <v>8347400.0999999996</v>
      </c>
      <c r="AI24" s="30">
        <v>11683067.279999999</v>
      </c>
      <c r="AJ24" s="30">
        <v>20163856.013</v>
      </c>
      <c r="AK24" s="30">
        <v>30267547.463</v>
      </c>
      <c r="AL24" s="30">
        <v>18821748.309999999</v>
      </c>
      <c r="AM24" s="30">
        <v>36802859.027999997</v>
      </c>
      <c r="AN24" s="30">
        <v>41302241.020999998</v>
      </c>
      <c r="AO24" s="30">
        <v>40025978.887999997</v>
      </c>
      <c r="AP24" s="30">
        <v>39084634.458999999</v>
      </c>
      <c r="AQ24" s="30">
        <f>+K33</f>
        <v>48948197.241164103</v>
      </c>
      <c r="AR24" s="30">
        <f>+K34</f>
        <v>37137577.0694414</v>
      </c>
    </row>
    <row r="25" spans="1:44" ht="15" customHeight="1" x14ac:dyDescent="0.25">
      <c r="A25" s="13" t="s">
        <v>51</v>
      </c>
      <c r="B25" s="14">
        <v>2633809</v>
      </c>
      <c r="C25" s="14">
        <v>340206</v>
      </c>
      <c r="D25" s="14">
        <v>1166873</v>
      </c>
      <c r="E25" s="14">
        <v>801985</v>
      </c>
      <c r="F25" s="14">
        <v>0</v>
      </c>
      <c r="G25" s="14">
        <v>-121280</v>
      </c>
      <c r="H25" s="20">
        <v>1.5339278861000001</v>
      </c>
      <c r="I25" s="14">
        <v>329286</v>
      </c>
      <c r="J25" s="17">
        <v>6.3622368839999996</v>
      </c>
      <c r="K25" s="14">
        <v>11683067.279999999</v>
      </c>
      <c r="L25" s="39" t="str">
        <f>+A1</f>
        <v>RaiaDrogasil ON</v>
      </c>
      <c r="M25" s="39" t="s">
        <v>52</v>
      </c>
      <c r="N25" s="18"/>
      <c r="O25" s="18"/>
      <c r="P25" s="31">
        <f t="shared" ref="P25:AR25" si="5">P24/P23</f>
        <v>0</v>
      </c>
      <c r="Q25" s="31">
        <f t="shared" si="5"/>
        <v>0</v>
      </c>
      <c r="R25" s="31">
        <f t="shared" si="5"/>
        <v>0</v>
      </c>
      <c r="S25" s="31">
        <f t="shared" si="5"/>
        <v>1.6595014603882192</v>
      </c>
      <c r="T25" s="31">
        <f t="shared" si="5"/>
        <v>1.5851504182918323</v>
      </c>
      <c r="U25" s="31">
        <f t="shared" si="5"/>
        <v>0</v>
      </c>
      <c r="V25" s="31">
        <f t="shared" si="5"/>
        <v>0</v>
      </c>
      <c r="W25" s="31">
        <f t="shared" si="5"/>
        <v>0</v>
      </c>
      <c r="X25" s="31">
        <f t="shared" si="5"/>
        <v>0.44661226298941148</v>
      </c>
      <c r="Y25" s="31">
        <f t="shared" si="5"/>
        <v>0.36255034183012025</v>
      </c>
      <c r="Z25" s="31">
        <f t="shared" si="5"/>
        <v>1.9259354780289435</v>
      </c>
      <c r="AA25" s="31">
        <f t="shared" si="5"/>
        <v>2.4440792901335069</v>
      </c>
      <c r="AB25" s="31">
        <f t="shared" si="5"/>
        <v>1.6621964296268361</v>
      </c>
      <c r="AC25" s="31">
        <f t="shared" si="5"/>
        <v>4.0110610107323348</v>
      </c>
      <c r="AD25" s="31">
        <f t="shared" si="5"/>
        <v>4.1570869240355268</v>
      </c>
      <c r="AE25" s="31">
        <f t="shared" si="5"/>
        <v>1.933425725874327</v>
      </c>
      <c r="AF25" s="31">
        <f t="shared" si="5"/>
        <v>3.3119741682680117</v>
      </c>
      <c r="AG25" s="31">
        <f t="shared" si="5"/>
        <v>2.042083419054793</v>
      </c>
      <c r="AH25" s="31">
        <f t="shared" si="5"/>
        <v>3.2720074849819993</v>
      </c>
      <c r="AI25" s="31">
        <f t="shared" si="5"/>
        <v>4.1754528245043261</v>
      </c>
      <c r="AJ25" s="31">
        <f t="shared" si="5"/>
        <v>6.5698236163515951</v>
      </c>
      <c r="AK25" s="31">
        <f t="shared" si="5"/>
        <v>8.9766739498277754</v>
      </c>
      <c r="AL25" s="31">
        <f t="shared" si="5"/>
        <v>5.0569990196504051</v>
      </c>
      <c r="AM25" s="31">
        <f t="shared" si="5"/>
        <v>8.4783817325682183</v>
      </c>
      <c r="AN25" s="31">
        <f t="shared" si="5"/>
        <v>8.9168612042477786</v>
      </c>
      <c r="AO25" s="31">
        <f t="shared" si="5"/>
        <v>8.0998238926061337</v>
      </c>
      <c r="AP25" s="31">
        <f t="shared" si="5"/>
        <v>7.0435328701302673</v>
      </c>
      <c r="AQ25" s="31">
        <f t="shared" si="5"/>
        <v>8.944440610358555</v>
      </c>
      <c r="AR25" s="31">
        <f t="shared" si="5"/>
        <v>5.4110942661412222</v>
      </c>
    </row>
    <row r="26" spans="1:44" ht="15" customHeight="1" x14ac:dyDescent="0.25">
      <c r="A26" s="13" t="s">
        <v>53</v>
      </c>
      <c r="B26" s="14">
        <v>2909787</v>
      </c>
      <c r="C26" s="14">
        <v>447685</v>
      </c>
      <c r="D26" s="14">
        <v>1174056</v>
      </c>
      <c r="E26" s="14">
        <v>1006606</v>
      </c>
      <c r="F26" s="14">
        <v>0</v>
      </c>
      <c r="G26" s="14">
        <v>-153342</v>
      </c>
      <c r="H26" s="20">
        <v>0.96615117503000003</v>
      </c>
      <c r="I26" s="14">
        <v>329528.61599999998</v>
      </c>
      <c r="J26" s="17">
        <v>11.08374038</v>
      </c>
      <c r="K26" s="14">
        <v>20163856.013</v>
      </c>
    </row>
    <row r="27" spans="1:44" ht="15" customHeight="1" x14ac:dyDescent="0.25">
      <c r="A27" s="13" t="s">
        <v>54</v>
      </c>
      <c r="B27" s="14">
        <v>3222513</v>
      </c>
      <c r="C27" s="14">
        <v>511163</v>
      </c>
      <c r="D27" s="14">
        <v>1191016</v>
      </c>
      <c r="E27" s="14">
        <v>1276276</v>
      </c>
      <c r="F27" s="14">
        <v>0</v>
      </c>
      <c r="G27" s="14">
        <v>-170847</v>
      </c>
      <c r="H27" s="20">
        <v>0.66903339433999998</v>
      </c>
      <c r="I27" s="14">
        <v>329711.84600000002</v>
      </c>
      <c r="J27" s="17">
        <v>16.772510849</v>
      </c>
      <c r="K27" s="14">
        <v>30267547.463</v>
      </c>
      <c r="S27" s="67"/>
    </row>
    <row r="28" spans="1:44" ht="15" customHeight="1" x14ac:dyDescent="0.25">
      <c r="A28" s="13" t="s">
        <v>55</v>
      </c>
      <c r="B28" s="14">
        <v>3499857</v>
      </c>
      <c r="C28" s="14">
        <v>502447</v>
      </c>
      <c r="D28" s="14">
        <v>1202388</v>
      </c>
      <c r="E28" s="14">
        <v>1546960</v>
      </c>
      <c r="F28" s="14">
        <v>0</v>
      </c>
      <c r="G28" s="14">
        <v>-173622</v>
      </c>
      <c r="H28" s="20">
        <v>1.1130740699999999</v>
      </c>
      <c r="I28" s="14">
        <v>329339.42800000001</v>
      </c>
      <c r="J28" s="17">
        <v>10.537993173</v>
      </c>
      <c r="K28" s="14">
        <v>18821748.309999999</v>
      </c>
    </row>
    <row r="29" spans="1:44" ht="15" customHeight="1" x14ac:dyDescent="0.25">
      <c r="A29" s="13" t="s">
        <v>56</v>
      </c>
      <c r="B29" s="14">
        <v>4025013</v>
      </c>
      <c r="C29" s="14">
        <v>772240</v>
      </c>
      <c r="D29" s="14">
        <v>1245441</v>
      </c>
      <c r="E29" s="14">
        <v>4814260</v>
      </c>
      <c r="F29" s="14">
        <v>0</v>
      </c>
      <c r="G29" s="14">
        <v>-186601</v>
      </c>
      <c r="H29" s="20">
        <v>0.57471061716000005</v>
      </c>
      <c r="I29" s="14">
        <v>329656.56599999999</v>
      </c>
      <c r="J29" s="17">
        <v>20.749591572</v>
      </c>
      <c r="K29" s="14">
        <v>36802859.027999997</v>
      </c>
    </row>
    <row r="30" spans="1:44" ht="15" customHeight="1" x14ac:dyDescent="0.25">
      <c r="A30" s="13" t="s">
        <v>57</v>
      </c>
      <c r="B30" s="14">
        <v>4363126</v>
      </c>
      <c r="C30" s="14">
        <v>484444</v>
      </c>
      <c r="D30" s="14">
        <v>1261709</v>
      </c>
      <c r="E30" s="14">
        <v>5020465</v>
      </c>
      <c r="F30" s="14">
        <v>0</v>
      </c>
      <c r="G30" s="14">
        <v>-190518</v>
      </c>
      <c r="H30" s="20">
        <v>0.51614032828</v>
      </c>
      <c r="I30" s="14">
        <v>1649450.52</v>
      </c>
      <c r="J30" s="17">
        <v>23.402015777999999</v>
      </c>
      <c r="K30" s="14">
        <v>41302241.020999998</v>
      </c>
    </row>
    <row r="31" spans="1:44" ht="15" customHeight="1" x14ac:dyDescent="0.25">
      <c r="A31" s="13" t="s">
        <v>58</v>
      </c>
      <c r="B31" s="14">
        <v>4677673</v>
      </c>
      <c r="C31" s="14">
        <v>751934</v>
      </c>
      <c r="D31" s="14">
        <v>1486251</v>
      </c>
      <c r="E31" s="14">
        <v>5329587</v>
      </c>
      <c r="F31" s="14">
        <v>830</v>
      </c>
      <c r="G31" s="14">
        <v>-265025</v>
      </c>
      <c r="H31" s="20">
        <v>0.91402632670999995</v>
      </c>
      <c r="I31" s="14">
        <v>1647159.625</v>
      </c>
      <c r="J31" s="17">
        <v>22.925828697</v>
      </c>
      <c r="K31" s="14">
        <v>40025978.887999997</v>
      </c>
    </row>
    <row r="32" spans="1:44" ht="15" customHeight="1" x14ac:dyDescent="0.25">
      <c r="A32" s="13" t="s">
        <v>59</v>
      </c>
      <c r="B32" s="14">
        <v>5340862</v>
      </c>
      <c r="C32" s="14">
        <v>996112</v>
      </c>
      <c r="D32" s="14">
        <v>652825</v>
      </c>
      <c r="E32" s="14">
        <v>5574857</v>
      </c>
      <c r="F32" s="14">
        <v>4479</v>
      </c>
      <c r="G32" s="14">
        <v>-324082</v>
      </c>
      <c r="H32" s="20">
        <v>1.0733132243000001</v>
      </c>
      <c r="I32" s="14">
        <v>1647750.1880000001</v>
      </c>
      <c r="J32" s="17">
        <v>22.629909298000001</v>
      </c>
      <c r="K32" s="14">
        <v>36087035.283502899</v>
      </c>
    </row>
    <row r="33" spans="1:42" ht="15" customHeight="1" x14ac:dyDescent="0.25">
      <c r="A33" s="13" t="s">
        <v>60</v>
      </c>
      <c r="B33" s="14">
        <v>5956001</v>
      </c>
      <c r="C33" s="14">
        <v>1054973</v>
      </c>
      <c r="D33" s="14">
        <v>860625</v>
      </c>
      <c r="E33" s="14">
        <v>5937687</v>
      </c>
      <c r="F33" s="14"/>
      <c r="G33" s="14"/>
      <c r="H33" s="14"/>
      <c r="I33" s="14"/>
      <c r="J33" s="14"/>
      <c r="K33" s="14">
        <v>48948197.241164103</v>
      </c>
    </row>
    <row r="34" spans="1:42" ht="15" customHeight="1" x14ac:dyDescent="0.25">
      <c r="A34" s="13" t="s">
        <v>61</v>
      </c>
      <c r="B34" s="14">
        <v>6428768</v>
      </c>
      <c r="C34" s="14">
        <v>1197694</v>
      </c>
      <c r="D34" s="14">
        <v>968976</v>
      </c>
      <c r="E34" s="14">
        <v>6546662</v>
      </c>
      <c r="F34" s="14"/>
      <c r="G34" s="14"/>
      <c r="H34" s="14"/>
      <c r="I34" s="14"/>
      <c r="J34" s="14"/>
      <c r="K34" s="14">
        <v>37137577.0694414</v>
      </c>
    </row>
    <row r="46" spans="1:42" ht="15" customHeight="1" x14ac:dyDescent="0.25">
      <c r="M46" s="46" t="s">
        <v>62</v>
      </c>
      <c r="N46" s="1"/>
      <c r="O46" s="1"/>
      <c r="P46" s="35">
        <f>-G6/P17</f>
        <v>0.28873611845584346</v>
      </c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>
        <f>-G25/AI17</f>
        <v>0.35648989141872867</v>
      </c>
      <c r="AJ46" s="35">
        <f>-G26/AJ17</f>
        <v>0.34252208584160737</v>
      </c>
      <c r="AK46" s="35">
        <f>-G27/AK17</f>
        <v>0.33423193775762328</v>
      </c>
      <c r="AL46" s="35">
        <f>-G28/AL17</f>
        <v>0.34555286428220289</v>
      </c>
      <c r="AM46" s="35">
        <f>-G29/AM17</f>
        <v>0.24163601989018957</v>
      </c>
      <c r="AN46" s="35">
        <f>-G30/AN17</f>
        <v>0.39327146171693733</v>
      </c>
      <c r="AO46" s="35">
        <f>-G31/AO17</f>
        <v>0.35245779549800915</v>
      </c>
      <c r="AP46" s="35">
        <f>-G32/AP17</f>
        <v>0.3253469489374689</v>
      </c>
    </row>
    <row r="47" spans="1:42" ht="15" customHeight="1" x14ac:dyDescent="0.25">
      <c r="M47" s="39" t="s">
        <v>63</v>
      </c>
      <c r="N47" s="32"/>
      <c r="O47" s="32"/>
      <c r="P47" s="36">
        <f>-G6/P18</f>
        <v>-9.3037315631478851E-2</v>
      </c>
      <c r="Q47" s="36"/>
      <c r="R47" s="36"/>
      <c r="S47" s="36"/>
      <c r="T47" s="36"/>
      <c r="U47" s="36">
        <f>-G11/U18</f>
        <v>-1.3218801028577174</v>
      </c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>
        <f>-G25/AI18</f>
        <v>1.0160003814606899</v>
      </c>
      <c r="AJ47" s="36">
        <f>-G26/AJ18</f>
        <v>0.61592310876957379</v>
      </c>
      <c r="AK47" s="36">
        <f>-G27/AK18</f>
        <v>0.42493234919164768</v>
      </c>
      <c r="AL47" s="36">
        <f>-G28/AL18</f>
        <v>0.39529327379890289</v>
      </c>
      <c r="AM47" s="36">
        <f>-G29/AM18</f>
        <v>0.27188792202216044</v>
      </c>
      <c r="AN47" s="36">
        <f>-G30/AN18</f>
        <v>0.86000341408082304</v>
      </c>
      <c r="AO47" s="36">
        <f>-G31/AO18</f>
        <v>1.0839363477050594</v>
      </c>
      <c r="AP47" s="36">
        <f>-G32/AP18</f>
        <v>0.51858538073961802</v>
      </c>
    </row>
    <row r="48" spans="1:42" ht="15" customHeight="1" x14ac:dyDescent="0.25">
      <c r="M48" s="39" t="s">
        <v>64</v>
      </c>
      <c r="N48" s="32"/>
      <c r="O48" s="32"/>
      <c r="P48" s="50">
        <v>0</v>
      </c>
      <c r="Q48" s="37">
        <v>1.7841204462</v>
      </c>
      <c r="R48" s="37">
        <v>0.4471579</v>
      </c>
      <c r="S48" s="37">
        <v>14.003408642</v>
      </c>
      <c r="T48" s="37">
        <v>3.1894934334</v>
      </c>
      <c r="U48" s="37">
        <v>9.3266865126999998E-2</v>
      </c>
      <c r="V48" s="37">
        <v>11.937857726000001</v>
      </c>
      <c r="W48" s="37">
        <v>9.3849080533000002</v>
      </c>
      <c r="X48" s="37">
        <v>3.6844836533000001</v>
      </c>
      <c r="Y48" s="37">
        <v>10.169491525</v>
      </c>
      <c r="Z48" s="37">
        <v>2.4439304033</v>
      </c>
      <c r="AA48" s="37">
        <v>1.1149825784</v>
      </c>
      <c r="AB48" s="37">
        <v>3.6801605099999999</v>
      </c>
      <c r="AC48" s="37">
        <v>1.2337197893</v>
      </c>
      <c r="AD48" s="37">
        <v>1.2079404815000001</v>
      </c>
      <c r="AE48" s="37">
        <v>1.1618831842999999</v>
      </c>
      <c r="AF48" s="37">
        <v>0.52479629389000004</v>
      </c>
      <c r="AG48" s="37">
        <v>0.79662426251999996</v>
      </c>
      <c r="AH48" s="37">
        <v>0.89288895068999996</v>
      </c>
      <c r="AI48" s="37">
        <v>1.5339278861000001</v>
      </c>
      <c r="AJ48" s="37">
        <v>0.96615117503000003</v>
      </c>
      <c r="AK48" s="37">
        <v>0.66903339433999998</v>
      </c>
      <c r="AL48" s="37">
        <v>1.1130740699999999</v>
      </c>
      <c r="AM48" s="37">
        <v>0.57471061716000005</v>
      </c>
      <c r="AN48" s="37">
        <v>0.51614032828</v>
      </c>
      <c r="AO48" s="37">
        <v>0.91402632670999995</v>
      </c>
      <c r="AP48" s="37">
        <v>1.0733132243000001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R49"/>
  <sheetViews>
    <sheetView showGridLines="0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4" customWidth="1"/>
    <col min="17" max="28" width="9.28515625" customWidth="1"/>
    <col min="29" max="29" width="9.5703125" customWidth="1"/>
    <col min="30" max="30" width="10.28515625" customWidth="1"/>
    <col min="31" max="31" width="10" customWidth="1"/>
    <col min="32" max="32" width="11.28515625" customWidth="1"/>
    <col min="33" max="37" width="11.42578125" customWidth="1"/>
    <col min="38" max="39" width="14.5703125" customWidth="1"/>
    <col min="40" max="40" width="16.5703125" customWidth="1"/>
    <col min="41" max="42" width="15.5703125" customWidth="1"/>
    <col min="43" max="43" width="12" customWidth="1"/>
    <col min="44" max="44" width="14.7109375" customWidth="1"/>
  </cols>
  <sheetData>
    <row r="1" spans="1:44" ht="15" customHeight="1" x14ac:dyDescent="0.25">
      <c r="A1" s="6" t="s">
        <v>97</v>
      </c>
      <c r="M1" t="s">
        <v>1</v>
      </c>
      <c r="N1" s="7">
        <v>3.7499999999999999E-2</v>
      </c>
    </row>
    <row r="2" spans="1:44" ht="15" customHeight="1" x14ac:dyDescent="0.25">
      <c r="A2" s="6"/>
    </row>
    <row r="3" spans="1:44" ht="15" customHeight="1" x14ac:dyDescent="0.25">
      <c r="M3" s="2" t="s">
        <v>98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M7" s="1" t="s">
        <v>20</v>
      </c>
      <c r="N7" s="1"/>
      <c r="O7" s="5"/>
      <c r="P7" s="4">
        <f>((D5+E5)*P5)</f>
        <v>0</v>
      </c>
      <c r="Q7" s="4">
        <f>((D6+E6+P7+P8)*Q5)</f>
        <v>0</v>
      </c>
      <c r="R7" s="4">
        <f>((D7+E7+Q7+P7+P8+Q8)*R5)</f>
        <v>0</v>
      </c>
      <c r="S7" s="4">
        <f>((D8+E8+R7+Q7+P7+SUM($P$8:R8))*S5)</f>
        <v>0</v>
      </c>
      <c r="T7" s="4">
        <f>((D9+E9+S7+R7+Q7+P7+SUM($P$8:S8))*T5)</f>
        <v>0</v>
      </c>
      <c r="U7" s="4">
        <f>((D10+E10+T7+S7+R7+Q7+P7+SUM($P$8:T8))*U5)</f>
        <v>0</v>
      </c>
      <c r="V7" s="4">
        <f>((D11+E11+U7+T7+S7+R7+Q7+P7+SUM($P$8:U8))*V5)</f>
        <v>0</v>
      </c>
      <c r="W7" s="4">
        <f>((D12+E12+V7+U7+T7+S7+R7+Q7+P7+SUM($P$8:V8))*W5)</f>
        <v>0</v>
      </c>
      <c r="X7" s="4">
        <f>((D13+E13+W7+V7+U7+T7+S7+R7+Q7+P7+SUM($P$8:W8))*X5)</f>
        <v>0</v>
      </c>
      <c r="Y7" s="4">
        <f>((D14+E14+X7+W7+V7+U7+T7+S7+R7+Q7+P7+SUM($P$8:X8))*Y5)</f>
        <v>0</v>
      </c>
      <c r="Z7" s="4">
        <f>((E14+F14+Y7+X7+W7+V7+U7+T7+S7+R7+Q7+P7+SUM($P$8:Y8))*Z5)</f>
        <v>0</v>
      </c>
      <c r="AA7" s="4">
        <f>((D16+E16+Z7+Y7+X7+W7+V7+U7+T7+S7+R7+P7+Q7+SUM($P$8:Z8))*AA5)</f>
        <v>0</v>
      </c>
      <c r="AB7" s="4">
        <f>((D17+E17+AA7+Z7+Y7+X7+W7+V7+U7+T7+S7+P7+Q7+R7+SUM($P$8:AA8))*AB5)</f>
        <v>0</v>
      </c>
      <c r="AC7" s="4">
        <f>((D18+E18+AB7+AA7+Z7+Y7+X7+W7+V7+U7+T7+S7+R7+Q7+P7+SUM($P$8:AB8))*AC5)</f>
        <v>10482.000747849999</v>
      </c>
      <c r="AD7" s="4">
        <f>((D19+E19+AC7+AB7+AA7+Z7+Y7+X7+W7+V7+U7+T7+S7+R7+Q7+P7+SUM($P$8:AC8))*AD5)</f>
        <v>19670.886498682932</v>
      </c>
      <c r="AE7" s="4">
        <f>((D20+E20+AD7+AC7+AB7+AA7+Z7+Y7+X7+W7+V7+U7+T7+S7+R7+Q7+P7+SUM($P$8:AD8))*AE5)</f>
        <v>34476.557677024641</v>
      </c>
      <c r="AF7" s="4">
        <f>((E20+F20+AE7+AD7+AC7+AB7+AA7+Z7+Y7+X7+W7+V7+U7+T7+S7+R7+Q7+P7+SUM($P$8:AE8))*AF5)</f>
        <v>33410.150743695762</v>
      </c>
      <c r="AG7" s="4">
        <f>((D22+E22+AF7+AE7+AD7+AC7+AB7+AA7+Z7+Y7+X7+W7+V7+U7+T7+R7+S7+Q7+P7+SUM($P$8:AF8))*AG5)</f>
        <v>80957.43347515467</v>
      </c>
      <c r="AH7" s="4">
        <f>((E22+F22+AG7+AF7+AE7+AD7+AC7+AB7+AA7+Z7+Y7+X7+W7+V7+U7+S7+T7+R7+Q7+P7+SUM($P$8:AG8))*AH5)</f>
        <v>93033.198708603348</v>
      </c>
      <c r="AI7" s="4">
        <f>((F22+G22+AH7+AG7+AF7+AE7+AD7+AC7+AB7+AA7+Z7+Y7+X7+W7+V7+T7+U7+S7+R7+Q7+P7+SUM($P$8:AH8))*AI5)</f>
        <v>33793.731482057919</v>
      </c>
      <c r="AJ7" s="4">
        <f>((G22+H22+AI7+AH7+AG7+AF7+AE7+AD7+AC7+AB7+AA7+Z7+Y7+X7+W7+U7+V7+T7+S7+R7+Q7+P7+SUM($P$8:AI8))*AJ5)</f>
        <v>25919.102821250053</v>
      </c>
      <c r="AK7" s="4">
        <f>((H22+I22+AJ7+AI7+AH7+AG7+AF7+AE7+AD7+AC7+AB7+AA7+Z7+Y7+X7+V7+W7+U7+T7+S7+R7+Q7+P7+SUM($P$8:AJ8))*AK5)</f>
        <v>26782.44691835242</v>
      </c>
      <c r="AL7" s="4">
        <f>((D27+E27+AK7+AJ7+AI7+AH7+AG7+AF7+AE7+AD7+AC7++AB7+AA7+Z7+Y7+X7+W7+V7+U7+T7+S7+R7+Q7+P7+SUM($P$8:AK8))*AL5)</f>
        <v>166775.94767710019</v>
      </c>
      <c r="AM7" s="4">
        <f>((E27+F27+AL7+AK7+AJ7+AI7+AH7+AG7+AF7+AE7+AD7++AC7+AB7+AA7+Z7+Y7+X7+W7+V7+U7+T7+S7+R7+Q7+P7+SUM($P$8:AL8))*AM5)</f>
        <v>203598.18104280517</v>
      </c>
      <c r="AN7" s="4">
        <f>((F27+G27+AM7+AL7+AK7+AJ7+AI7+AH7+AG7+AF7+AE7++AD7+AC7+AB7+AA7+Z7+Y7+X7+W7+V7+U7+T7+S7+R7+Q7+P7+SUM($P$8:AM8))*AN5)</f>
        <v>4057.0718080844867</v>
      </c>
      <c r="AO7" s="4">
        <f>((G27+H27+AN7+AM7+AL7+AK7+AJ7+AI7+AH7+AG7+AF7++AE7+AD7+AC7+AB7+AA7+Z7+Y7+X7+W7+V7+U7+T7+S7+R7+Q7+P7+SUM($P$8:AN8))*AO5)</f>
        <v>18536.369613416562</v>
      </c>
      <c r="AP7" s="4">
        <f>((H27+I27+AO7+AN7+AM7+AL7+AK7+AJ7+AI7+AH7+AG7++AF7+AE7+AD7+AC7+AB7+AA7+Z7+Y7+X7+W7+V7+U7+T7+S7+R7+Q7+P7+SUM($P$8:AO8))*AP5)</f>
        <v>133098.99826433012</v>
      </c>
      <c r="AQ7" s="4">
        <f>((I27+J27+AP7+AO7+AN7+AM7+AL7+AK7+AJ7+AI7+AH7++AG7+AF7+AE7+AD7+AC7+AB7+AA7+Z7+Y7+X7+W7+V7+U7+T7+S7+R7+Q7+P7+SUM($P$8:AP8))*AQ5)</f>
        <v>105164.69976374246</v>
      </c>
      <c r="AR7" s="4">
        <f>((J27+K27+AQ7+AP7+AO7+AN7+AM7+AL7+AK7+AJ7+AI7++AH7+AG7+AF7+AE7+AD7+AC7+AB7+AA7+Z7+Y7+X7+W7+V7+U7+T7+S7+R7+Q7+P7+SUM($P$8:AQ8))*AR5)</f>
        <v>66325.60532192589</v>
      </c>
    </row>
    <row r="8" spans="1:44" ht="15" customHeight="1" x14ac:dyDescent="0.25">
      <c r="A8" s="13" t="s">
        <v>21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M8" s="1" t="s">
        <v>22</v>
      </c>
      <c r="N8" s="1"/>
      <c r="O8" s="4"/>
      <c r="P8" s="4">
        <f>((D6+E6)-(D5+E5))*(P5^1/2)</f>
        <v>0</v>
      </c>
      <c r="Q8" s="4">
        <f>((D7+E7)-(D6+E6))*(Q5^1/2)</f>
        <v>0</v>
      </c>
      <c r="R8" s="4">
        <f>((D8+E8)-(D7+E7))*(R5^1/2)</f>
        <v>0</v>
      </c>
      <c r="S8" s="4">
        <f>((D9+E9)-(D8+E8))*(S5^1/2)</f>
        <v>0</v>
      </c>
      <c r="T8" s="4">
        <f>((D10+E10)-(D9+E9))*(T5^1/2)</f>
        <v>0</v>
      </c>
      <c r="U8" s="4">
        <f>((D11+E11)-(D10+E10))*(U5^1/2)</f>
        <v>0</v>
      </c>
      <c r="V8" s="4">
        <f>((D12+E12)-(D11+E11))*(V5^1/2)</f>
        <v>0</v>
      </c>
      <c r="W8" s="4">
        <f>((D13+E13)-(D12+E12))*(W5^1/2)</f>
        <v>0</v>
      </c>
      <c r="X8" s="4">
        <f>((D14+E14)-(D13+E13))*(X5^1/2)</f>
        <v>0</v>
      </c>
      <c r="Y8" s="4">
        <f>((D15+E15)-(D14+E14))*(Y5^1/2)</f>
        <v>0</v>
      </c>
      <c r="Z8" s="4">
        <f>((E15+F15)-(E14+F14))*(Z5^1/2)</f>
        <v>0</v>
      </c>
      <c r="AA8" s="4">
        <f>((D17+E17)-(D16+E16))*(AA5^1/2)</f>
        <v>0</v>
      </c>
      <c r="AB8" s="4">
        <f>((D18+E18)-(D17+E17))*(AB5^1/2)</f>
        <v>6968.8734999999997</v>
      </c>
      <c r="AC8" s="4">
        <f>((D19+E19)-(D18+E18))*(AC5^1/2)</f>
        <v>1669.84485</v>
      </c>
      <c r="AD8" s="4">
        <f>((D20+E20)-(D19+E19))*(AD5/2)</f>
        <v>5105.9740499999998</v>
      </c>
      <c r="AE8" s="4">
        <f>((D21+E21)-(D20+E20))*(AE5^1/2)</f>
        <v>7206.4850000000006</v>
      </c>
      <c r="AF8" s="4">
        <f>((D22+E22)-(D21+E21))*(AF5^1/2)</f>
        <v>15394.3568</v>
      </c>
      <c r="AG8" s="4">
        <f>((D23+E23)-(D22+E22))*(AG5^1/2)</f>
        <v>580.39155000000005</v>
      </c>
      <c r="AH8" s="4">
        <f>((D24+E24)-(D23+E23))*(AH5^1/2)</f>
        <v>7954.1049000000003</v>
      </c>
      <c r="AI8" s="4">
        <f>((D25+E25)-(D24+E24))*(AI5^1/2)</f>
        <v>61557.417350000003</v>
      </c>
      <c r="AJ8" s="4">
        <f>((D26+E26)-(D25+E25))*(AJ5^1/2)</f>
        <v>14317.046399999999</v>
      </c>
      <c r="AK8" s="4">
        <f>((D27+E27)-(D26+E26))*(AK5/2)</f>
        <v>12438.60125</v>
      </c>
      <c r="AL8" s="4">
        <f>((D28+E28)-(D27+E27))*(AL5^1/2)</f>
        <v>109721.15625</v>
      </c>
      <c r="AM8" s="4">
        <f>((D29+E29)-(D28+E28))*(AM5^1/2)</f>
        <v>94120.336150000003</v>
      </c>
      <c r="AN8" s="4">
        <f>((D30+E30)-(D29+E29))*(AN5^1/2)</f>
        <v>90442.849600000001</v>
      </c>
      <c r="AO8" s="4">
        <f>((D31+E31)-(D30+E30))*(AO5^1/2)</f>
        <v>235689.201</v>
      </c>
      <c r="AP8" s="4">
        <f>((D32+E32)-(D31+E31))*(AP5^1/2)</f>
        <v>-155580.51345</v>
      </c>
      <c r="AQ8" s="4">
        <f>((D32+E32)-(D31+E31))*(AQ5^1/2)</f>
        <v>-124141.9641</v>
      </c>
      <c r="AR8" s="4">
        <f>((E32+F32)-(E31+F31))*(AR5^1/2)</f>
        <v>46777.221750000004</v>
      </c>
    </row>
    <row r="9" spans="1:44" ht="15" customHeight="1" x14ac:dyDescent="0.25">
      <c r="A9" s="13" t="s">
        <v>23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M9" s="1" t="s">
        <v>24</v>
      </c>
      <c r="N9" s="1"/>
      <c r="O9" s="4"/>
      <c r="P9" s="4">
        <f>+B5*P5</f>
        <v>0</v>
      </c>
      <c r="Q9" s="4">
        <f>+(B6+P9+P10+P14)*Q5</f>
        <v>0</v>
      </c>
      <c r="R9" s="4">
        <f>+(B7+Q9+P9+P10+Q10+P14+Q14)*R5</f>
        <v>0</v>
      </c>
      <c r="S9" s="4">
        <f>+(B8+R9+Q9+P9+P10+Q10+R10+P14+Q14+R14)*S5</f>
        <v>0</v>
      </c>
      <c r="T9" s="4">
        <f>+(B9+S9+R9+Q9+P9+P10+Q10+R10+S10+P14+Q14+R14+S14)*T5</f>
        <v>0</v>
      </c>
      <c r="U9" s="4">
        <f>+(B10+T9+S9+R9+Q9+P9+P10+Q10+R10+S10+T10+P14+Q14+R14+S14+T14)*U5</f>
        <v>0</v>
      </c>
      <c r="V9" s="4">
        <f>+(B11+U9+T9+S9+R9+Q9+P9+P10+Q10+R10+S10+T10+U10+P14+Q14+R14+S14+T14+U14)*V5</f>
        <v>0</v>
      </c>
      <c r="W9" s="4">
        <f>+(B12+V9+U9+T9+S9+R9+Q9+P9+P10+Q10+R10+S10+T10+U10+V10+P14+Q14+R14+S14+T14+U14+V14)*W5</f>
        <v>0</v>
      </c>
      <c r="X9" s="4">
        <f>+(B13+W9+V9+U9+T9+S9+R9+Q9+P9+P10+Q10+R10+S10+T10+U10+V10+W10+P14+Q14+R14+S14+T14+U14+V14+W14)*X5</f>
        <v>0</v>
      </c>
      <c r="Y9" s="4">
        <f>+(B14+X9+W9+V9+U9+T9+S9+R9+Q9+P9+P10+Q10+R10+S10+T10+U10+V10+W10+X10+P14+Q14+R14+S14+T14+U14+V14+W14+X14)*Y5</f>
        <v>0</v>
      </c>
      <c r="Z9" s="4">
        <f>+(B15+Y9+X9+W9+V9+U9+T9+S9+R9+Q9+P9+P10+Q10+R10+S10+T10+U10+V10+W10+X10+Y10+P14+Q14+R14+S14+T14+U14+V14+W14+X14+Y14)*Z5</f>
        <v>0</v>
      </c>
      <c r="AA9" s="4">
        <f>+(B16+Z9+Y9+X9+W9+V9+U9+T9+S9+R9+Q9+P9+P10+Q10+R10+S10+T10+U10+V10+W10+X10+Y10+Z10+P14+Q14+R14+S14+T14+U14+V14+W14+X14+Y14+Z14)*AA5</f>
        <v>0</v>
      </c>
      <c r="AB9" s="4">
        <f>+(B17+AA9+Z9+Y9+X9+W9+V9+U9+T9+S9+R9+Q9+P9+P10+Q10+R10+S10+T10+U10+V10+W10+X10+Y10+Z10+AA10+P14+Q14+R14+S14+T14+U14+V14+W14+X14+Y14+Z14+AA14)*AB5</f>
        <v>4336.0279999999993</v>
      </c>
      <c r="AC9" s="4">
        <f>+(B18+AB9+AA9+Z9+Y9+X9+W9+V9+U9+T9+S9+R9+Q9+P9+P10+Q10+R10+S10+T10+U10+V10+W10+X10+Y10+Z10+AA10+AB10+P14+Q14+R14+S14+T14+U14+V14+W14+X14+Y14+Z14+AA14+AB14)*AC5</f>
        <v>3363.2599478500001</v>
      </c>
      <c r="AD9" s="4">
        <f>+(B19+AC9+AB9+AA9+Z9+Y9+X9+W9+V9+U9+T9+S9+R9+Q9+P9+P10+Q10+R10+S10+T10+U10+V10+W10+X10+Y10+Z10+AA10+AB10+AC10+P14+Q14+R14+S14+T14+U14+V14+W14+X14+Y14+Z14+AA14+AB14+AC14)*AD5</f>
        <v>6361.0584633785129</v>
      </c>
      <c r="AE9" s="4">
        <f>+(B20+AD9+AC9+AB9+AA9+Z9+Y9+X9+W9+V9+U9+T9+S9+R9+Q9+P9+P10+Q10+R10+S10+T10+U10+V10+W10+X10+Y10+Z10+AA10+AB10+AC10+AD10+P14+Q14+S14++R14+T14+U14+V14+W14+X14+Y14+Z14+AA14+AB14+AC14+AD14)*AE5</f>
        <v>60834.127320031934</v>
      </c>
      <c r="AF9" s="4">
        <f>+(B21+AE9+AD9+AC9+AB9+AA9+Z9+Y9+X9+W9+V9+U9+T9+S9+R9+Q9+P9+P10+Q10+R10+S10+T10+U10+V10+W10+X10+Y10+Z10+AA10+AB10+AC10+AD10+AE10+P14+Q14+R14+S14+T14+U14+V14+W14+X14+Y14+Z14+AA14+AB14+AC14+AD14+AE14)*AF5</f>
        <v>59820.270416407169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60673.658628329176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88090.215370430742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188399.41511296251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268981.04487461905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143487.1228646641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183608.96911708234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215647.4038523965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277538.02086687897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1467644.4290846661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854359.64990458405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1040502.0527971935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1136314.571869995</v>
      </c>
    </row>
    <row r="10" spans="1:44" ht="15" customHeight="1" x14ac:dyDescent="0.25">
      <c r="A10" s="13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M10" s="22" t="s">
        <v>26</v>
      </c>
      <c r="N10" s="22"/>
      <c r="O10" s="23"/>
      <c r="P10" s="23">
        <f>((B6-B5)*(P5^1/2))</f>
        <v>0</v>
      </c>
      <c r="Q10" s="23">
        <f>((B7-B6)*(Q5^1/2))</f>
        <v>0</v>
      </c>
      <c r="R10" s="23">
        <f>((B8-B7)*(R5/2))</f>
        <v>0</v>
      </c>
      <c r="S10" s="23"/>
      <c r="T10" s="23">
        <f>((B10-B9)*(T5^1/2))</f>
        <v>0</v>
      </c>
      <c r="U10" s="23">
        <f>((B11-B10)*(U5^1/2))</f>
        <v>0</v>
      </c>
      <c r="V10" s="23">
        <f>((B12-B11)*(V5^1/2))</f>
        <v>0</v>
      </c>
      <c r="W10" s="23"/>
      <c r="X10" s="23"/>
      <c r="Y10" s="23">
        <f>((B15-B14)*(Y5/2))</f>
        <v>0</v>
      </c>
      <c r="Z10" s="23"/>
      <c r="AA10" s="23"/>
      <c r="AB10" s="23">
        <f>((B18-B17)*(AB5^1/2))</f>
        <v>-71.596499999999992</v>
      </c>
      <c r="AC10" s="23">
        <f>((B19-B18)*(AC5^1/2))</f>
        <v>381.84444999999999</v>
      </c>
      <c r="AD10" s="23"/>
      <c r="AE10" s="23">
        <f>((B21-B20)*(AE5^1/2))</f>
        <v>1577.4850000000001</v>
      </c>
      <c r="AF10" s="23">
        <f>((B22-B21)*(AF5^1/2))</f>
        <v>-1253.4392</v>
      </c>
      <c r="AG10" s="23"/>
      <c r="AH10" s="23"/>
      <c r="AI10" s="23">
        <f>((B25-B24)*(AI5^1/2))</f>
        <v>129630.52355</v>
      </c>
      <c r="AJ10" s="23"/>
      <c r="AK10" s="23"/>
      <c r="AL10" s="23">
        <f>((B28-B27)*(AL5^1/2))</f>
        <v>-2730.46875</v>
      </c>
      <c r="AM10" s="23">
        <f>((B29-B28)*(AM5/2))</f>
        <v>18847.867050000001</v>
      </c>
      <c r="AN10" s="23">
        <f>((B30-B29)*(AN5/2))</f>
        <v>189907.61919999999</v>
      </c>
      <c r="AO10" s="23">
        <f>((B31-B30)*(AO5/2))</f>
        <v>-1496.1232</v>
      </c>
      <c r="AP10" s="23">
        <f>((B32-B31)*(AP5^1/2))</f>
        <v>227530.35375000001</v>
      </c>
      <c r="AQ10" s="23">
        <f>((C32-C31)*(AQ5/2))</f>
        <v>-8785.8539999999994</v>
      </c>
      <c r="AR10" s="23">
        <f>((D32-D31)*(AR5^1/2))</f>
        <v>-171066.38010000001</v>
      </c>
    </row>
    <row r="11" spans="1:44" ht="15" customHeight="1" x14ac:dyDescent="0.25">
      <c r="A11" s="13" t="s">
        <v>27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M12" s="1" t="s">
        <v>30</v>
      </c>
      <c r="N12" s="1"/>
      <c r="O12" s="1"/>
      <c r="P12" s="4">
        <v>0</v>
      </c>
      <c r="Q12" s="24">
        <f>-($P$7+$P$8)*$N$1</f>
        <v>0</v>
      </c>
      <c r="R12" s="24">
        <f>-((($P$7+$P$8)*(1+Q5))+($Q$7+$Q$8))*N1</f>
        <v>0</v>
      </c>
      <c r="S12" s="24">
        <f>-((($P$7+$P$8)*(1+Q5)*(1+R5))+(($Q$7+$Q$8)*(1+R5))+((R7+R8)))*$N$1</f>
        <v>0</v>
      </c>
      <c r="T12" s="24">
        <f>-((($P$7+$P$8)*(1+R5)*(1+S5)*(1+Q5))+(($Q$7+$Q$8)*(1+S5)*(1+R5))+((R7+R8)*(1+S5))+((S7+S8)))*$N$1</f>
        <v>0</v>
      </c>
      <c r="U12" s="24">
        <f>-((($P$7+$P$8)*(1+T5)*(1+R5)*(1+S5)*(1+Q5))+(($Q$7+$Q$8)*(1+T5)*(1+S5)*(1+R5))+((R7+R8)*(1+S5)*(1+T5))+((S7+S8)*(1+T5))+(T7+T8))*$N$1</f>
        <v>0</v>
      </c>
      <c r="V12" s="24">
        <f>-((($P$7+$P$8)*(1+U5)*(1+S5)*(1+T5)*(1+R5)*(1+Q5))+(($Q$7+$Q$8)*(1+U5)*(1+T5)*(1+S5)*(1+R5))+(($R$7+$R$8)*(1+U5)*(1+T5)*(1+S5))+((S7+S8)*(1+T5)*(1+U5))+((T7+T8)*(1+U5))+(U7+U8))*$N$1</f>
        <v>0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0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0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0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0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0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0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-261.33275624999999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-728.29040796374989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-1700.4646416500175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-3374.1089437456926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-5401.3259389490322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-8778.2127403842187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-13127.920062365474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-18104.337214222043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-20751.955620793484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-22834.927617920112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-34059.878800858372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-46692.30397190556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-52346.543164238858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-67146.06430456441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-70190.764608336074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-69492.043785243135</v>
      </c>
    </row>
    <row r="13" spans="1:44" ht="15" customHeight="1" x14ac:dyDescent="0.25">
      <c r="A13" s="13" t="s">
        <v>31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M13" t="s">
        <v>32</v>
      </c>
      <c r="P13">
        <v>0</v>
      </c>
      <c r="Q13" s="24">
        <f t="shared" ref="Q13:AR13" si="0">Q12*Q5</f>
        <v>0</v>
      </c>
      <c r="R13" s="24">
        <f t="shared" si="0"/>
        <v>0</v>
      </c>
      <c r="S13" s="24">
        <f t="shared" si="0"/>
        <v>0</v>
      </c>
      <c r="T13" s="24">
        <f t="shared" si="0"/>
        <v>0</v>
      </c>
      <c r="U13" s="24">
        <f t="shared" si="0"/>
        <v>0</v>
      </c>
      <c r="V13" s="24">
        <f t="shared" si="0"/>
        <v>0</v>
      </c>
      <c r="W13" s="24">
        <f t="shared" si="0"/>
        <v>0</v>
      </c>
      <c r="X13" s="24">
        <f t="shared" si="0"/>
        <v>0</v>
      </c>
      <c r="Y13" s="24">
        <f t="shared" si="0"/>
        <v>0</v>
      </c>
      <c r="Z13" s="24">
        <f t="shared" si="0"/>
        <v>0</v>
      </c>
      <c r="AA13" s="24">
        <f t="shared" si="0"/>
        <v>0</v>
      </c>
      <c r="AB13" s="24">
        <f t="shared" si="0"/>
        <v>0</v>
      </c>
      <c r="AC13" s="24">
        <f t="shared" si="0"/>
        <v>-11.263441794375</v>
      </c>
      <c r="AD13" s="24">
        <f t="shared" si="0"/>
        <v>-43.041963110657619</v>
      </c>
      <c r="AE13" s="24">
        <f t="shared" si="0"/>
        <v>-110.53020170725114</v>
      </c>
      <c r="AF13" s="24">
        <f t="shared" si="0"/>
        <v>-197.04796231474845</v>
      </c>
      <c r="AG13" s="24">
        <f t="shared" si="0"/>
        <v>-319.21836299188783</v>
      </c>
      <c r="AH13" s="24">
        <f t="shared" si="0"/>
        <v>-562.68343665862847</v>
      </c>
      <c r="AI13" s="24">
        <f t="shared" si="0"/>
        <v>-1400.7490706543961</v>
      </c>
      <c r="AJ13" s="24">
        <f t="shared" si="0"/>
        <v>-1138.7628107745666</v>
      </c>
      <c r="AK13" s="24">
        <f t="shared" si="0"/>
        <v>-612.1826908134077</v>
      </c>
      <c r="AL13" s="24">
        <f t="shared" si="0"/>
        <v>-856.30978567200418</v>
      </c>
      <c r="AM13" s="24">
        <f t="shared" si="0"/>
        <v>-1467.9807763169958</v>
      </c>
      <c r="AN13" s="24">
        <f t="shared" si="0"/>
        <v>-2110.4921395301312</v>
      </c>
      <c r="AO13" s="24">
        <f t="shared" si="0"/>
        <v>-5266.0622423224286</v>
      </c>
      <c r="AP13" s="24">
        <f t="shared" si="0"/>
        <v>-3887.7571232342793</v>
      </c>
      <c r="AQ13" s="24">
        <f t="shared" si="0"/>
        <v>-3242.8133249051266</v>
      </c>
      <c r="AR13" s="24">
        <f t="shared" si="0"/>
        <v>-3356.4657148272436</v>
      </c>
    </row>
    <row r="14" spans="1:44" ht="15" customHeight="1" x14ac:dyDescent="0.25">
      <c r="A14" s="13" t="s">
        <v>33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M14" s="39" t="s">
        <v>34</v>
      </c>
      <c r="N14" s="39"/>
      <c r="O14" s="40"/>
      <c r="P14" s="40">
        <f t="shared" ref="P14:AR14" si="1">(P7+P8)-(P9+P10)+P12+P13</f>
        <v>0</v>
      </c>
      <c r="Q14" s="40">
        <f t="shared" si="1"/>
        <v>0</v>
      </c>
      <c r="R14" s="40">
        <f t="shared" si="1"/>
        <v>0</v>
      </c>
      <c r="S14" s="40">
        <f t="shared" si="1"/>
        <v>0</v>
      </c>
      <c r="T14" s="40">
        <f t="shared" si="1"/>
        <v>0</v>
      </c>
      <c r="U14" s="40">
        <f t="shared" si="1"/>
        <v>0</v>
      </c>
      <c r="V14" s="40">
        <f t="shared" si="1"/>
        <v>0</v>
      </c>
      <c r="W14" s="40">
        <f t="shared" si="1"/>
        <v>0</v>
      </c>
      <c r="X14" s="40">
        <f t="shared" si="1"/>
        <v>0</v>
      </c>
      <c r="Y14" s="40">
        <f t="shared" si="1"/>
        <v>0</v>
      </c>
      <c r="Z14" s="40">
        <f t="shared" si="1"/>
        <v>0</v>
      </c>
      <c r="AA14" s="40">
        <f t="shared" si="1"/>
        <v>0</v>
      </c>
      <c r="AB14" s="40">
        <f t="shared" si="1"/>
        <v>2704.442</v>
      </c>
      <c r="AC14" s="40">
        <f t="shared" si="1"/>
        <v>8134.1450019556241</v>
      </c>
      <c r="AD14" s="40">
        <f t="shared" si="1"/>
        <v>17644.469714230017</v>
      </c>
      <c r="AE14" s="40">
        <f t="shared" si="1"/>
        <v>-22539.564486364561</v>
      </c>
      <c r="AF14" s="40">
        <f t="shared" si="1"/>
        <v>-13333.480578771845</v>
      </c>
      <c r="AG14" s="40">
        <f t="shared" si="1"/>
        <v>15143.622094884575</v>
      </c>
      <c r="AH14" s="40">
        <f t="shared" si="1"/>
        <v>3556.1920611297642</v>
      </c>
      <c r="AI14" s="40">
        <f t="shared" si="1"/>
        <v>-237207.45896392447</v>
      </c>
      <c r="AJ14" s="40">
        <f t="shared" si="1"/>
        <v>-247987.99567836558</v>
      </c>
      <c r="AK14" s="40">
        <f t="shared" si="1"/>
        <v>-125630.21300791856</v>
      </c>
      <c r="AL14" s="40">
        <f t="shared" si="1"/>
        <v>71927.366156425749</v>
      </c>
      <c r="AM14" s="40">
        <f t="shared" si="1"/>
        <v>27695.386713233318</v>
      </c>
      <c r="AN14" s="40">
        <f t="shared" si="1"/>
        <v>-421748.51477023022</v>
      </c>
      <c r="AO14" s="40">
        <f t="shared" si="1"/>
        <v>-1269535.3406778106</v>
      </c>
      <c r="AP14" s="40">
        <f t="shared" si="1"/>
        <v>-1175405.3402680524</v>
      </c>
      <c r="AQ14" s="40">
        <f t="shared" si="1"/>
        <v>-1124127.0410666924</v>
      </c>
      <c r="AR14" s="40">
        <f t="shared" si="1"/>
        <v>-924993.87419813965</v>
      </c>
    </row>
    <row r="15" spans="1:44" ht="15" customHeight="1" x14ac:dyDescent="0.25">
      <c r="A15" s="13" t="s">
        <v>35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</row>
    <row r="16" spans="1:44" ht="15" customHeight="1" x14ac:dyDescent="0.25">
      <c r="A16" s="13" t="s">
        <v>36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6">
        <v>73492</v>
      </c>
      <c r="C17" s="16">
        <v>45462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41" t="str">
        <f>+L19</f>
        <v>Rede D Or ON</v>
      </c>
      <c r="M17" s="2" t="s">
        <v>38</v>
      </c>
      <c r="N17" s="2"/>
      <c r="O17" s="28"/>
      <c r="P17" s="42">
        <f>+C6</f>
        <v>0</v>
      </c>
      <c r="Q17" s="42">
        <f>C7</f>
        <v>0</v>
      </c>
      <c r="R17" s="42">
        <f>C8</f>
        <v>0</v>
      </c>
      <c r="S17" s="42">
        <f>C9</f>
        <v>0</v>
      </c>
      <c r="T17" s="42">
        <f>C10</f>
        <v>0</v>
      </c>
      <c r="U17" s="42">
        <f>C11</f>
        <v>0</v>
      </c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>
        <f>C22</f>
        <v>125982</v>
      </c>
      <c r="AG17" s="42">
        <f>C23</f>
        <v>208294</v>
      </c>
      <c r="AH17" s="42"/>
      <c r="AI17" s="42">
        <f>C25</f>
        <v>724733</v>
      </c>
      <c r="AJ17" s="42"/>
      <c r="AK17" s="42"/>
      <c r="AL17" s="42">
        <f>C28</f>
        <v>1169964</v>
      </c>
      <c r="AM17" s="42">
        <f>C29</f>
        <v>1167071</v>
      </c>
      <c r="AN17" s="42">
        <f>C30</f>
        <v>428329</v>
      </c>
      <c r="AO17" s="42">
        <f>C31</f>
        <v>1575306</v>
      </c>
      <c r="AP17" s="42">
        <f>C32</f>
        <v>1194966</v>
      </c>
      <c r="AQ17" s="42">
        <f>D32</f>
        <v>3547537</v>
      </c>
      <c r="AR17" s="42">
        <f>E32</f>
        <v>13940886</v>
      </c>
    </row>
    <row r="18" spans="1:44" ht="15" customHeight="1" x14ac:dyDescent="0.25">
      <c r="A18" s="13" t="s">
        <v>39</v>
      </c>
      <c r="B18" s="16">
        <v>71065</v>
      </c>
      <c r="C18" s="16">
        <v>26340</v>
      </c>
      <c r="D18" s="15">
        <v>0</v>
      </c>
      <c r="E18" s="16">
        <v>236233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43" t="str">
        <f>+L19</f>
        <v>Rede D Or ON</v>
      </c>
      <c r="M18" s="18" t="s">
        <v>40</v>
      </c>
      <c r="N18" s="18"/>
      <c r="O18" s="25"/>
      <c r="P18" s="44">
        <f t="shared" ref="P18:V18" si="2">P14+P17</f>
        <v>0</v>
      </c>
      <c r="Q18" s="44">
        <f t="shared" si="2"/>
        <v>0</v>
      </c>
      <c r="R18" s="44">
        <f t="shared" si="2"/>
        <v>0</v>
      </c>
      <c r="S18" s="44">
        <f t="shared" si="2"/>
        <v>0</v>
      </c>
      <c r="T18" s="44">
        <f t="shared" si="2"/>
        <v>0</v>
      </c>
      <c r="U18" s="44">
        <f t="shared" si="2"/>
        <v>0</v>
      </c>
      <c r="V18" s="44">
        <f t="shared" si="2"/>
        <v>0</v>
      </c>
      <c r="W18" s="44"/>
      <c r="X18" s="44">
        <f t="shared" ref="X18:AR18" si="3">X14+X17</f>
        <v>0</v>
      </c>
      <c r="Y18" s="44">
        <f t="shared" si="3"/>
        <v>0</v>
      </c>
      <c r="Z18" s="44">
        <f t="shared" si="3"/>
        <v>0</v>
      </c>
      <c r="AA18" s="44">
        <f t="shared" si="3"/>
        <v>0</v>
      </c>
      <c r="AB18" s="44">
        <f t="shared" si="3"/>
        <v>2704.442</v>
      </c>
      <c r="AC18" s="44">
        <f t="shared" si="3"/>
        <v>8134.1450019556241</v>
      </c>
      <c r="AD18" s="44">
        <f t="shared" si="3"/>
        <v>17644.469714230017</v>
      </c>
      <c r="AE18" s="44">
        <f t="shared" si="3"/>
        <v>-22539.564486364561</v>
      </c>
      <c r="AF18" s="44">
        <f t="shared" si="3"/>
        <v>112648.51942122815</v>
      </c>
      <c r="AG18" s="44">
        <f t="shared" si="3"/>
        <v>223437.62209488457</v>
      </c>
      <c r="AH18" s="44">
        <f t="shared" si="3"/>
        <v>3556.1920611297642</v>
      </c>
      <c r="AI18" s="44">
        <f t="shared" si="3"/>
        <v>487525.54103607556</v>
      </c>
      <c r="AJ18" s="44">
        <f t="shared" si="3"/>
        <v>-247987.99567836558</v>
      </c>
      <c r="AK18" s="44">
        <f t="shared" si="3"/>
        <v>-125630.21300791856</v>
      </c>
      <c r="AL18" s="44">
        <f t="shared" si="3"/>
        <v>1241891.3661564258</v>
      </c>
      <c r="AM18" s="44">
        <f t="shared" si="3"/>
        <v>1194766.3867132333</v>
      </c>
      <c r="AN18" s="44">
        <f t="shared" si="3"/>
        <v>6580.4852297697798</v>
      </c>
      <c r="AO18" s="44">
        <f t="shared" si="3"/>
        <v>305770.6593221894</v>
      </c>
      <c r="AP18" s="44">
        <f t="shared" si="3"/>
        <v>19560.659731947584</v>
      </c>
      <c r="AQ18" s="44">
        <f t="shared" si="3"/>
        <v>2423409.9589333078</v>
      </c>
      <c r="AR18" s="44">
        <f t="shared" si="3"/>
        <v>13015892.125801861</v>
      </c>
    </row>
    <row r="19" spans="1:44" ht="15" customHeight="1" x14ac:dyDescent="0.25">
      <c r="A19" s="13" t="s">
        <v>41</v>
      </c>
      <c r="B19" s="16">
        <v>88784</v>
      </c>
      <c r="C19" s="16">
        <v>42137</v>
      </c>
      <c r="D19" s="15">
        <v>0</v>
      </c>
      <c r="E19" s="16">
        <v>313720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8" t="str">
        <f>+A1</f>
        <v>Rede D Or ON</v>
      </c>
      <c r="M19" s="18" t="s">
        <v>42</v>
      </c>
      <c r="N19" s="18"/>
      <c r="O19" s="31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>
        <f t="shared" ref="AL19:AR19" si="4">AL18/AL17</f>
        <v>1.0614782729694467</v>
      </c>
      <c r="AM19" s="45">
        <f t="shared" si="4"/>
        <v>1.0237306785219009</v>
      </c>
      <c r="AN19" s="45">
        <f t="shared" si="4"/>
        <v>1.5363155961351625E-2</v>
      </c>
      <c r="AO19" s="45">
        <f t="shared" si="4"/>
        <v>0.19410238983549188</v>
      </c>
      <c r="AP19" s="45">
        <f t="shared" si="4"/>
        <v>1.6369218648854933E-2</v>
      </c>
      <c r="AQ19" s="45">
        <f t="shared" si="4"/>
        <v>0.68312464646127946</v>
      </c>
      <c r="AR19" s="45">
        <f t="shared" si="4"/>
        <v>0.93364884597735476</v>
      </c>
    </row>
    <row r="20" spans="1:44" ht="15" customHeight="1" x14ac:dyDescent="0.25">
      <c r="A20" s="13" t="s">
        <v>43</v>
      </c>
      <c r="B20" s="16">
        <v>893056</v>
      </c>
      <c r="C20" s="16">
        <v>45847</v>
      </c>
      <c r="D20" s="15">
        <v>0</v>
      </c>
      <c r="E20" s="16">
        <v>486511</v>
      </c>
      <c r="F20" s="15">
        <v>0</v>
      </c>
      <c r="G20" s="15">
        <v>0</v>
      </c>
      <c r="H20" s="15">
        <v>0</v>
      </c>
      <c r="I20" s="16">
        <v>487990</v>
      </c>
      <c r="J20" s="15">
        <v>0</v>
      </c>
      <c r="K20" s="15">
        <v>0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6">
        <v>941594</v>
      </c>
      <c r="C21" s="16">
        <v>87334</v>
      </c>
      <c r="D21" s="15">
        <v>0</v>
      </c>
      <c r="E21" s="16">
        <v>708249</v>
      </c>
      <c r="F21" s="15">
        <v>0</v>
      </c>
      <c r="G21" s="16">
        <v>-46473</v>
      </c>
      <c r="H21" s="15">
        <v>0</v>
      </c>
      <c r="I21" s="16">
        <v>488924</v>
      </c>
      <c r="J21" s="15">
        <v>0</v>
      </c>
      <c r="K21" s="15">
        <v>0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6">
        <v>898668</v>
      </c>
      <c r="C22" s="16">
        <v>125982</v>
      </c>
      <c r="D22" s="15">
        <v>0</v>
      </c>
      <c r="E22" s="16">
        <v>1235453</v>
      </c>
      <c r="F22" s="15">
        <v>0</v>
      </c>
      <c r="G22" s="16">
        <v>-193</v>
      </c>
      <c r="H22" s="15">
        <v>0</v>
      </c>
      <c r="I22" s="16">
        <v>455382</v>
      </c>
      <c r="J22" s="15">
        <v>0</v>
      </c>
      <c r="K22" s="15">
        <v>0</v>
      </c>
      <c r="L22" s="47" t="str">
        <f>+L24</f>
        <v>Rede D Or ON</v>
      </c>
      <c r="M22" s="39" t="s">
        <v>46</v>
      </c>
      <c r="N22" s="32"/>
      <c r="O22" s="32"/>
      <c r="P22" s="30">
        <v>0</v>
      </c>
      <c r="Q22" s="30">
        <v>0</v>
      </c>
      <c r="R22" s="30">
        <v>0</v>
      </c>
      <c r="S22" s="30">
        <v>10502002</v>
      </c>
      <c r="T22" s="30">
        <v>10565590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73492</v>
      </c>
      <c r="AB22" s="30">
        <v>71065</v>
      </c>
      <c r="AC22" s="30">
        <v>88784</v>
      </c>
      <c r="AD22" s="30">
        <v>893056</v>
      </c>
      <c r="AE22" s="30">
        <v>941594</v>
      </c>
      <c r="AF22" s="30">
        <v>898668</v>
      </c>
      <c r="AG22" s="30">
        <v>1170486</v>
      </c>
      <c r="AH22" s="30">
        <v>1470270</v>
      </c>
      <c r="AI22" s="30">
        <v>3900083</v>
      </c>
      <c r="AJ22" s="30">
        <v>4466732</v>
      </c>
      <c r="AK22" s="30">
        <v>4481144</v>
      </c>
      <c r="AL22" s="30">
        <v>4335519</v>
      </c>
      <c r="AM22" s="30">
        <v>5210130</v>
      </c>
      <c r="AN22" s="30">
        <v>13613122</v>
      </c>
      <c r="AO22" s="30">
        <v>13583378</v>
      </c>
      <c r="AP22" s="30">
        <v>21812039</v>
      </c>
      <c r="AQ22" s="30">
        <v>21812039</v>
      </c>
      <c r="AR22" s="30">
        <v>21812039</v>
      </c>
    </row>
    <row r="23" spans="1:44" ht="15" customHeight="1" x14ac:dyDescent="0.25">
      <c r="A23" s="13" t="s">
        <v>47</v>
      </c>
      <c r="B23" s="16">
        <v>1170486</v>
      </c>
      <c r="C23" s="16">
        <v>208294</v>
      </c>
      <c r="D23" s="15">
        <v>0</v>
      </c>
      <c r="E23" s="16">
        <v>1255094</v>
      </c>
      <c r="F23" s="15">
        <v>0</v>
      </c>
      <c r="G23" s="16">
        <v>-3841</v>
      </c>
      <c r="H23" s="15">
        <v>0</v>
      </c>
      <c r="I23" s="16">
        <v>511959</v>
      </c>
      <c r="J23" s="15">
        <v>0</v>
      </c>
      <c r="K23" s="15">
        <v>0</v>
      </c>
      <c r="L23" s="47" t="str">
        <f>+L25</f>
        <v>Rede D Or ON</v>
      </c>
      <c r="M23" s="39" t="s">
        <v>48</v>
      </c>
      <c r="N23" s="32"/>
      <c r="O23" s="32"/>
      <c r="P23" s="30">
        <f>P22+P9+P10+P14</f>
        <v>0</v>
      </c>
      <c r="Q23" s="33">
        <f>Q22+Q9+Q10+Q14+((P9+P10+P14)*(1+Q5))</f>
        <v>0</v>
      </c>
      <c r="R23" s="33">
        <f>R22+R9+R10+R14+((Q9+Q10+Q14)*(1+R5))+(((P9+P10+P14)*(1+R5)*(1+Q5)))</f>
        <v>0</v>
      </c>
      <c r="S23" s="33">
        <f>S22+S9+S10+S14+((R9+R10+R14)*(1+S5))+(((Q9+Q10+Q14)*(1+S5)*(1+R5)))+(((P9+P10+P14)*(1+S5)*(1+R5)*(1+Q5)))</f>
        <v>10502002</v>
      </c>
      <c r="T23" s="33">
        <f>T22+T9+T10+T14+((S9+S10+S14)*(1+T5))+(((R9+R10+R14)*(1+T5)*(1+S5)))+(((Q9+Q10+Q14)*(1+T5)*(1+S5)*(1+R5)))+(((P9+P10+P14)*(1+T5)*(1+S5)*(1+R5)*(1+Q5)))</f>
        <v>10565590</v>
      </c>
      <c r="U23" s="33">
        <f>U22+U9+U10+U14+((T9+T10+T14)*(1+U5))+((S9+S10+S14)*(1+U5)*(1+T5))+((R9+R10+R14)*(1+U5)*(1+T5)*(1+S5))+((Q9+Q10+Q14)*(1+U5)*(1+T5)*(1+S5)*(1+R5))+((P9+P10+P14)*(1+U5)*(1+T5)*(1+S5)*(1+R5)*(1+Q5))</f>
        <v>0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0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0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0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0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0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73492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78033.873500000002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107932.48134765563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937341.68477291055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1028630.3021168172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1036020.5727980746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1391773.3905736546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1797388.3197409865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4342927.3241563877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4958424.2813420789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5005198.1134984158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5132031.0092781149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6303162.3344936324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14801256.521309394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15087651.819359971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23309894.936887443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23286685.038902145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23398164.760152977</v>
      </c>
    </row>
    <row r="24" spans="1:44" ht="15" customHeight="1" x14ac:dyDescent="0.25">
      <c r="A24" s="13" t="s">
        <v>49</v>
      </c>
      <c r="B24" s="16">
        <v>1470270</v>
      </c>
      <c r="C24" s="16">
        <v>320190</v>
      </c>
      <c r="D24" s="15">
        <v>0</v>
      </c>
      <c r="E24" s="16">
        <v>1503272</v>
      </c>
      <c r="F24" s="15">
        <v>0</v>
      </c>
      <c r="G24" s="16">
        <v>-228092</v>
      </c>
      <c r="H24" s="15">
        <v>0</v>
      </c>
      <c r="I24" s="16">
        <v>600134</v>
      </c>
      <c r="J24" s="15">
        <v>0</v>
      </c>
      <c r="K24" s="15">
        <v>0</v>
      </c>
      <c r="L24" s="47" t="str">
        <f>+L25</f>
        <v>Rede D Or ON</v>
      </c>
      <c r="M24" s="39" t="s">
        <v>50</v>
      </c>
      <c r="N24" s="32"/>
      <c r="O24" s="32"/>
      <c r="P24" s="30">
        <v>0</v>
      </c>
      <c r="Q24" s="30">
        <v>0</v>
      </c>
      <c r="R24" s="30">
        <v>0</v>
      </c>
      <c r="S24" s="30">
        <v>17428087.655999999</v>
      </c>
      <c r="T24" s="30">
        <v>16748049.408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132674559.33</v>
      </c>
      <c r="AO24" s="30">
        <v>88380248.525000006</v>
      </c>
      <c r="AP24" s="30">
        <v>66642510.478</v>
      </c>
      <c r="AQ24" s="30">
        <f>+K33</f>
        <v>62232760.572451197</v>
      </c>
      <c r="AR24" s="30">
        <f>+K34</f>
        <v>55776662.637879401</v>
      </c>
    </row>
    <row r="25" spans="1:44" ht="15" customHeight="1" x14ac:dyDescent="0.25">
      <c r="A25" s="13" t="s">
        <v>51</v>
      </c>
      <c r="B25" s="16">
        <v>3900083</v>
      </c>
      <c r="C25" s="16">
        <v>724733</v>
      </c>
      <c r="D25" s="15">
        <v>0</v>
      </c>
      <c r="E25" s="16">
        <v>2657113</v>
      </c>
      <c r="F25" s="15">
        <v>0</v>
      </c>
      <c r="G25" s="16">
        <v>-8723</v>
      </c>
      <c r="H25" s="15">
        <v>0</v>
      </c>
      <c r="I25" s="16">
        <v>882639</v>
      </c>
      <c r="J25" s="15">
        <v>0</v>
      </c>
      <c r="K25" s="15">
        <v>0</v>
      </c>
      <c r="L25" s="39" t="str">
        <f>+A1</f>
        <v>Rede D Or ON</v>
      </c>
      <c r="M25" s="39" t="s">
        <v>52</v>
      </c>
      <c r="N25" s="18"/>
      <c r="O25" s="18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>
        <f t="shared" ref="AA25:AR25" si="5">AA24/AA23</f>
        <v>0</v>
      </c>
      <c r="AB25" s="31">
        <f t="shared" si="5"/>
        <v>0</v>
      </c>
      <c r="AC25" s="31">
        <f t="shared" si="5"/>
        <v>0</v>
      </c>
      <c r="AD25" s="31">
        <f t="shared" si="5"/>
        <v>0</v>
      </c>
      <c r="AE25" s="31">
        <f t="shared" si="5"/>
        <v>0</v>
      </c>
      <c r="AF25" s="31">
        <f t="shared" si="5"/>
        <v>0</v>
      </c>
      <c r="AG25" s="31">
        <f t="shared" si="5"/>
        <v>0</v>
      </c>
      <c r="AH25" s="31">
        <f t="shared" si="5"/>
        <v>0</v>
      </c>
      <c r="AI25" s="31">
        <f t="shared" si="5"/>
        <v>0</v>
      </c>
      <c r="AJ25" s="31">
        <f t="shared" si="5"/>
        <v>0</v>
      </c>
      <c r="AK25" s="31">
        <f t="shared" si="5"/>
        <v>0</v>
      </c>
      <c r="AL25" s="31">
        <f t="shared" si="5"/>
        <v>0</v>
      </c>
      <c r="AM25" s="31">
        <f t="shared" si="5"/>
        <v>0</v>
      </c>
      <c r="AN25" s="31">
        <f t="shared" si="5"/>
        <v>8.9637362300280525</v>
      </c>
      <c r="AO25" s="31">
        <f t="shared" si="5"/>
        <v>5.8577868566395086</v>
      </c>
      <c r="AP25" s="31">
        <f t="shared" si="5"/>
        <v>2.8589794444993211</v>
      </c>
      <c r="AQ25" s="31">
        <f t="shared" si="5"/>
        <v>2.6724611282579178</v>
      </c>
      <c r="AR25" s="31">
        <f t="shared" si="5"/>
        <v>2.3838050210188677</v>
      </c>
    </row>
    <row r="26" spans="1:44" ht="15" customHeight="1" x14ac:dyDescent="0.25">
      <c r="A26" s="13" t="s">
        <v>53</v>
      </c>
      <c r="B26" s="16">
        <v>4466732</v>
      </c>
      <c r="C26" s="16">
        <v>801871</v>
      </c>
      <c r="D26" s="15">
        <v>0</v>
      </c>
      <c r="E26" s="16">
        <v>3112345</v>
      </c>
      <c r="F26" s="15">
        <v>0</v>
      </c>
      <c r="G26" s="16">
        <v>-125210</v>
      </c>
      <c r="H26" s="15">
        <v>0</v>
      </c>
      <c r="I26" s="16">
        <v>883090</v>
      </c>
      <c r="J26" s="15">
        <v>0</v>
      </c>
      <c r="K26" s="15">
        <v>0</v>
      </c>
    </row>
    <row r="27" spans="1:44" ht="15" customHeight="1" x14ac:dyDescent="0.25">
      <c r="A27" s="13" t="s">
        <v>54</v>
      </c>
      <c r="B27" s="16">
        <v>4481144</v>
      </c>
      <c r="C27" s="16">
        <v>954024</v>
      </c>
      <c r="D27" s="15">
        <v>0</v>
      </c>
      <c r="E27" s="16">
        <v>3955640</v>
      </c>
      <c r="F27" s="15">
        <v>0</v>
      </c>
      <c r="G27" s="16">
        <v>-976176</v>
      </c>
      <c r="H27" s="15">
        <v>0</v>
      </c>
      <c r="I27" s="16">
        <v>884114</v>
      </c>
      <c r="J27" s="15">
        <v>0</v>
      </c>
      <c r="K27" s="15">
        <v>0</v>
      </c>
      <c r="S27" s="67"/>
    </row>
    <row r="28" spans="1:44" ht="15" customHeight="1" x14ac:dyDescent="0.25">
      <c r="A28" s="13" t="s">
        <v>55</v>
      </c>
      <c r="B28" s="14">
        <v>4335519</v>
      </c>
      <c r="C28" s="14">
        <v>1169964</v>
      </c>
      <c r="D28" s="14">
        <v>4812604</v>
      </c>
      <c r="E28" s="14">
        <v>4994831</v>
      </c>
      <c r="F28" s="14">
        <v>144529</v>
      </c>
      <c r="G28" s="14">
        <v>-1265137</v>
      </c>
      <c r="H28" s="15">
        <v>0</v>
      </c>
      <c r="I28" s="14">
        <v>881467.5</v>
      </c>
      <c r="J28" s="15">
        <v>0</v>
      </c>
      <c r="K28" s="15">
        <v>0</v>
      </c>
    </row>
    <row r="29" spans="1:44" ht="15" customHeight="1" x14ac:dyDescent="0.25">
      <c r="A29" s="13" t="s">
        <v>56</v>
      </c>
      <c r="B29" s="14">
        <v>5210130</v>
      </c>
      <c r="C29" s="14">
        <v>1167071</v>
      </c>
      <c r="D29" s="14">
        <v>5365466</v>
      </c>
      <c r="E29" s="14">
        <v>8809502</v>
      </c>
      <c r="F29" s="14">
        <v>1226878</v>
      </c>
      <c r="G29" s="14">
        <v>-12808</v>
      </c>
      <c r="H29" s="15">
        <v>0</v>
      </c>
      <c r="I29" s="14">
        <v>881487.17799999996</v>
      </c>
      <c r="J29" s="15">
        <v>0</v>
      </c>
      <c r="K29" s="15">
        <v>0</v>
      </c>
    </row>
    <row r="30" spans="1:44" ht="15" customHeight="1" x14ac:dyDescent="0.25">
      <c r="A30" s="13" t="s">
        <v>57</v>
      </c>
      <c r="B30" s="14">
        <v>13613122</v>
      </c>
      <c r="C30" s="14">
        <v>428329</v>
      </c>
      <c r="D30" s="14">
        <v>7809898</v>
      </c>
      <c r="E30" s="14">
        <v>10366966</v>
      </c>
      <c r="F30" s="14">
        <v>1089231</v>
      </c>
      <c r="G30" s="14">
        <v>-32311</v>
      </c>
      <c r="H30" s="15">
        <v>0</v>
      </c>
      <c r="I30" s="14">
        <v>1942526.4909999999</v>
      </c>
      <c r="J30" s="17">
        <v>65.501478923999997</v>
      </c>
      <c r="K30" s="14">
        <v>132674559.33</v>
      </c>
    </row>
    <row r="31" spans="1:44" ht="15" customHeight="1" x14ac:dyDescent="0.25">
      <c r="A31" s="13" t="s">
        <v>58</v>
      </c>
      <c r="B31" s="14">
        <v>13583378</v>
      </c>
      <c r="C31" s="14">
        <v>1575306</v>
      </c>
      <c r="D31" s="14">
        <v>10631031</v>
      </c>
      <c r="E31" s="14">
        <v>12231503</v>
      </c>
      <c r="F31" s="14">
        <v>2325839</v>
      </c>
      <c r="G31" s="14">
        <v>-3071597</v>
      </c>
      <c r="H31" s="20">
        <v>3.2559892263000001</v>
      </c>
      <c r="I31" s="14">
        <v>1971453.2350000001</v>
      </c>
      <c r="J31" s="17">
        <v>43.937656113999999</v>
      </c>
      <c r="K31" s="14">
        <v>88380248.525000006</v>
      </c>
    </row>
    <row r="32" spans="1:44" ht="15" customHeight="1" x14ac:dyDescent="0.25">
      <c r="A32" s="13" t="s">
        <v>59</v>
      </c>
      <c r="B32" s="14">
        <v>21442803</v>
      </c>
      <c r="C32" s="14">
        <v>1194966</v>
      </c>
      <c r="D32" s="14">
        <v>3547537</v>
      </c>
      <c r="E32" s="14">
        <v>13940886</v>
      </c>
      <c r="F32" s="14">
        <v>2553401</v>
      </c>
      <c r="G32" s="14">
        <v>-696426</v>
      </c>
      <c r="H32" s="20">
        <v>1.3702056402</v>
      </c>
      <c r="I32" s="14">
        <v>2252958.4339999999</v>
      </c>
      <c r="J32" s="17">
        <v>29.345596740000001</v>
      </c>
      <c r="K32" s="14">
        <v>63865042.111384302</v>
      </c>
    </row>
    <row r="33" spans="1:42" ht="15" customHeight="1" x14ac:dyDescent="0.25">
      <c r="A33" s="13" t="s">
        <v>60</v>
      </c>
      <c r="B33" s="14">
        <v>22539706</v>
      </c>
      <c r="C33" s="14">
        <v>2040722</v>
      </c>
      <c r="D33" s="14">
        <v>3508354</v>
      </c>
      <c r="E33" s="14">
        <v>15589865</v>
      </c>
      <c r="F33" s="14"/>
      <c r="G33" s="14"/>
      <c r="H33" s="14"/>
      <c r="I33" s="14"/>
      <c r="J33" s="14"/>
      <c r="K33" s="14">
        <v>62232760.572451197</v>
      </c>
    </row>
    <row r="34" spans="1:42" ht="15" customHeight="1" x14ac:dyDescent="0.25">
      <c r="A34" s="13" t="s">
        <v>61</v>
      </c>
      <c r="B34" s="14">
        <v>24702627</v>
      </c>
      <c r="C34" s="14">
        <v>3846945</v>
      </c>
      <c r="D34" s="14">
        <v>3400830</v>
      </c>
      <c r="E34" s="14">
        <v>18031481</v>
      </c>
      <c r="F34" s="14"/>
      <c r="G34" s="14"/>
      <c r="H34" s="14"/>
      <c r="I34" s="14"/>
      <c r="J34" s="14"/>
      <c r="K34" s="14">
        <v>55776662.637879401</v>
      </c>
    </row>
    <row r="46" spans="1:42" ht="15" customHeight="1" x14ac:dyDescent="0.25">
      <c r="M46" s="46" t="s">
        <v>62</v>
      </c>
      <c r="N46" s="1"/>
      <c r="O46" s="1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>
        <f>-G28/AL17</f>
        <v>1.0813469474274422</v>
      </c>
      <c r="AM46" s="35">
        <f>-G29/AM17</f>
        <v>1.0974482272286775E-2</v>
      </c>
      <c r="AN46" s="35">
        <f>-G30/AN17</f>
        <v>7.5435004400822736E-2</v>
      </c>
      <c r="AO46" s="35">
        <f>-G31/AO17</f>
        <v>1.9498414911134725</v>
      </c>
      <c r="AP46" s="35">
        <f>-G32/AP17</f>
        <v>0.58279984535124851</v>
      </c>
    </row>
    <row r="47" spans="1:42" ht="15" customHeight="1" x14ac:dyDescent="0.25">
      <c r="M47" s="39" t="s">
        <v>63</v>
      </c>
      <c r="N47" s="32"/>
      <c r="O47" s="32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>
        <f>-G28/AL18</f>
        <v>1.0187179285379186</v>
      </c>
      <c r="AM47" s="36">
        <f>-G29/AM18</f>
        <v>1.072008732622151E-2</v>
      </c>
      <c r="AN47" s="36">
        <f>-G30/AN18</f>
        <v>4.9101242342778439</v>
      </c>
      <c r="AO47" s="36">
        <f>-G31/AO18</f>
        <v>10.045427533200527</v>
      </c>
      <c r="AP47" s="36">
        <f>-G32/AP18</f>
        <v>35.603400373176441</v>
      </c>
    </row>
    <row r="48" spans="1:42" ht="15" customHeight="1" x14ac:dyDescent="0.25">
      <c r="M48" s="39" t="s">
        <v>64</v>
      </c>
      <c r="N48" s="32"/>
      <c r="O48" s="32"/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50">
        <v>0</v>
      </c>
      <c r="AH48" s="50">
        <v>0</v>
      </c>
      <c r="AI48" s="50">
        <v>0</v>
      </c>
      <c r="AJ48" s="50">
        <v>0</v>
      </c>
      <c r="AK48" s="50">
        <v>0</v>
      </c>
      <c r="AL48" s="50">
        <v>0</v>
      </c>
      <c r="AM48" s="50">
        <v>0</v>
      </c>
      <c r="AN48" s="50">
        <v>0</v>
      </c>
      <c r="AO48" s="37">
        <v>3.2559892263000001</v>
      </c>
      <c r="AP48" s="37">
        <v>1.3702056402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R49"/>
  <sheetViews>
    <sheetView showGridLines="0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3.7109375" customWidth="1"/>
    <col min="17" max="17" width="10.5703125" customWidth="1"/>
    <col min="18" max="18" width="11.5703125" customWidth="1"/>
    <col min="19" max="23" width="15.28515625" customWidth="1"/>
    <col min="24" max="25" width="14.28515625" customWidth="1"/>
    <col min="26" max="27" width="15.28515625" customWidth="1"/>
    <col min="28" max="28" width="14.28515625" customWidth="1"/>
    <col min="29" max="30" width="15.28515625" customWidth="1"/>
    <col min="31" max="31" width="10" customWidth="1"/>
    <col min="32" max="36" width="14.28515625" customWidth="1"/>
    <col min="37" max="42" width="15.28515625" customWidth="1"/>
    <col min="43" max="43" width="14.5703125" customWidth="1"/>
    <col min="44" max="44" width="14.7109375" customWidth="1"/>
  </cols>
  <sheetData>
    <row r="1" spans="1:44" ht="15" customHeight="1" x14ac:dyDescent="0.25">
      <c r="A1" s="6" t="s">
        <v>99</v>
      </c>
      <c r="M1" t="s">
        <v>1</v>
      </c>
      <c r="N1" s="7">
        <v>4.07E-2</v>
      </c>
    </row>
    <row r="2" spans="1:44" ht="15" customHeight="1" x14ac:dyDescent="0.25">
      <c r="A2" s="6"/>
    </row>
    <row r="3" spans="1:44" ht="15" customHeight="1" x14ac:dyDescent="0.25">
      <c r="M3" s="2" t="s">
        <v>100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6">
        <v>4289</v>
      </c>
      <c r="C7" s="16">
        <v>-2844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4">
        <v>5000</v>
      </c>
      <c r="J7" s="15">
        <v>0</v>
      </c>
      <c r="K7" s="15">
        <v>0</v>
      </c>
      <c r="M7" s="1" t="s">
        <v>20</v>
      </c>
      <c r="N7" s="1"/>
      <c r="O7" s="5"/>
      <c r="P7" s="4">
        <f>((D5+E5)*P5)</f>
        <v>0</v>
      </c>
      <c r="Q7" s="4">
        <f>((D6+E6+P7+P8)*Q5)</f>
        <v>0</v>
      </c>
      <c r="R7" s="4">
        <f>((D7+E7+Q7+P7+P8+Q8)*R5)</f>
        <v>0</v>
      </c>
      <c r="S7" s="4">
        <f>((D8+E8+R7+Q7+P7+SUM($P$8:R8))*S5)</f>
        <v>0</v>
      </c>
      <c r="T7" s="4">
        <f>((D9+E9+S7+R7+Q7+P7+SUM($P$8:S8))*T5)</f>
        <v>16171.73880687</v>
      </c>
      <c r="U7" s="4">
        <f>((D10+E10+T7+S7+R7+Q7+P7+SUM($P$8:T8))*U5)</f>
        <v>30292.85831520693</v>
      </c>
      <c r="V7" s="4">
        <f>((D11+E11+U7+T7+S7+R7+Q7+P7+SUM($P$8:U8))*V5)</f>
        <v>46831.066147916237</v>
      </c>
      <c r="W7" s="4">
        <f>((D12+E12+V7+U7+T7+S7+R7+Q7+P7+SUM($P$8:V8))*W5)</f>
        <v>43751.019232859369</v>
      </c>
      <c r="X7" s="4">
        <f>((D13+E13+W7+V7+U7+T7+S7+R7+Q7+P7+SUM($P$8:W8))*X5)</f>
        <v>54307.689341216785</v>
      </c>
      <c r="Y7" s="4">
        <f>((D14+E14+X7+W7+V7+U7+T7+S7+R7+Q7+P7+SUM($P$8:X8))*Y5)</f>
        <v>50743.44464305255</v>
      </c>
      <c r="Z7" s="4">
        <f>((E14+F14+Y7+X7+W7+V7+U7+T7+S7+R7+Q7+P7+SUM($P$8:Y8))*Z5)</f>
        <v>29756.025923375622</v>
      </c>
      <c r="AA7" s="4">
        <f>((D16+E16+Z7+Y7+X7+W7+V7+U7+T7+S7+R7+P7+Q7+SUM($P$8:Z8))*AA5)</f>
        <v>140462.69223664817</v>
      </c>
      <c r="AB7" s="4">
        <f>((D17+E17+AA7+Z7+Y7+X7+W7+V7+U7+T7+S7+P7+Q7+R7+SUM($P$8:AA8))*AB5)</f>
        <v>234596.65267668155</v>
      </c>
      <c r="AC7" s="4">
        <f>((D18+E18+AB7+AA7+Z7+Y7+X7+W7+V7+U7+T7+S7+R7+Q7+P7+SUM($P$8:AB8))*AC5)</f>
        <v>235281.63836920695</v>
      </c>
      <c r="AD7" s="4">
        <f>((D19+E19+AC7+AB7+AA7+Z7+Y7+X7+W7+V7+U7+T7+S7+R7+Q7+P7+SUM($P$8:AC8))*AD5)</f>
        <v>368282.06155721331</v>
      </c>
      <c r="AE7" s="4">
        <f>((D20+E20+AD7+AC7+AB7+AA7+Z7+Y7+X7+W7+V7+U7+T7+S7+R7+Q7+P7+SUM($P$8:AD8))*AE5)</f>
        <v>649616.50427051599</v>
      </c>
      <c r="AF7" s="4">
        <f>((E20+F20+AE7+AD7+AC7+AB7+AA7+Z7+Y7+X7+W7+V7+U7+T7+S7+R7+Q7+P7+SUM($P$8:AE8))*AF5)</f>
        <v>476320.07118429255</v>
      </c>
      <c r="AG7" s="4">
        <f>((D22+E22+AF7+AE7+AD7+AC7+AB7+AA7+Z7+Y7+X7+W7+V7+U7+T7+R7+S7+Q7+P7+SUM($P$8:AF8))*AG5)</f>
        <v>772031.95827145374</v>
      </c>
      <c r="AH7" s="4">
        <f>((E22+F22+AG7+AF7+AE7+AD7+AC7+AB7+AA7+Z7+Y7+X7+W7+V7+U7+S7+T7+R7+Q7+P7+SUM($P$8:AG8))*AH5)</f>
        <v>858763.74368043919</v>
      </c>
      <c r="AI7" s="4">
        <f>((F22+G22+AH7+AG7+AF7+AE7+AD7+AC7+AB7+AA7+Z7+Y7+X7+W7+V7+T7+U7+S7+R7+Q7+P7+SUM($P$8:AH8))*AI5)</f>
        <v>665079.17804303148</v>
      </c>
      <c r="AJ7" s="4">
        <f>((G22+H22+AI7+AH7+AG7+AF7+AE7+AD7+AC7+AB7+AA7+Z7+Y7+X7+W7+U7+V7+T7+S7+R7+Q7+P7+SUM($P$8:AI8))*AJ5)</f>
        <v>308917.86418039363</v>
      </c>
      <c r="AK7" s="4">
        <f>((H22+I22+AJ7+AI7+AH7+AG7+AF7+AE7+AD7+AC7+AB7+AA7+Z7+Y7+X7+V7+W7+U7+T7+S7+R7+Q7+P7+SUM($P$8:AJ8))*AK5)</f>
        <v>181949.21476637101</v>
      </c>
      <c r="AL7" s="4">
        <f>((D27+E27+AK7+AJ7+AI7+AH7+AG7+AF7+AE7+AD7+AC7++AB7+AA7+Z7+Y7+X7+W7+V7+U7+T7+S7+R7+Q7+P7+SUM($P$8:AK8))*AL5)</f>
        <v>921361.921653628</v>
      </c>
      <c r="AM7" s="4">
        <f>((E27+F27+AL7+AK7+AJ7+AI7+AH7+AG7+AF7+AE7+AD7++AC7+AB7+AA7+Z7+Y7+X7+W7+V7+U7+T7+S7+R7+Q7+P7+SUM($P$8:AL8))*AM5)</f>
        <v>772341.28574946604</v>
      </c>
      <c r="AN7" s="4">
        <f>((F27+G27+AM7+AL7+AK7+AJ7+AI7+AH7+AG7+AF7+AE7++AD7+AC7+AB7+AA7+Z7+Y7+X7+W7+V7+U7+T7+S7+R7+Q7+P7+SUM($P$8:AM8))*AN5)</f>
        <v>335294.69346935273</v>
      </c>
      <c r="AO7" s="4">
        <f>((G27+H27+AN7+AM7+AL7+AK7+AJ7+AI7+AH7+AG7+AF7++AE7+AD7+AC7+AB7+AA7+Z7+Y7+X7+W7+V7+U7+T7+S7+R7+Q7+P7+SUM($P$8:AN8))*AO5)</f>
        <v>779750.0880133207</v>
      </c>
      <c r="AP7" s="4">
        <f>((H27+I27+AO7+AN7+AM7+AL7+AK7+AJ7+AI7+AH7+AG7++AF7+AE7+AD7+AC7+AB7+AA7+Z7+Y7+X7+W7+V7+U7+T7+S7+R7+Q7+P7+SUM($P$8:AO8))*AP5)</f>
        <v>590748.99879690737</v>
      </c>
      <c r="AQ7" s="4">
        <f>((I27+J27+AP7+AO7+AN7+AM7+AL7+AK7+AJ7+AI7+AH7++AG7+AF7+AE7+AD7+AC7+AB7+AA7+Z7+Y7+X7+W7+V7+U7+T7+S7+R7+Q7+P7+SUM($P$8:AP8))*AQ5)</f>
        <v>509919.07109323679</v>
      </c>
      <c r="AR7" s="4">
        <f>((J27+K27+AQ7+AP7+AO7+AN7+AM7+AL7+AK7+AJ7+AI7++AH7+AG7+AF7+AE7+AD7+AC7+AB7+AA7+Z7+Y7+X7+W7+V7+U7+T7+S7+R7+Q7+P7+SUM($P$8:AQ8))*AR5)</f>
        <v>1468458.4698845474</v>
      </c>
    </row>
    <row r="8" spans="1:44" ht="15" customHeight="1" x14ac:dyDescent="0.25">
      <c r="A8" s="13" t="s">
        <v>21</v>
      </c>
      <c r="B8" s="16">
        <v>40691</v>
      </c>
      <c r="C8" s="16"/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4">
        <v>40690.76</v>
      </c>
      <c r="J8" s="15">
        <v>0</v>
      </c>
      <c r="K8" s="15">
        <v>0</v>
      </c>
      <c r="M8" s="1" t="s">
        <v>22</v>
      </c>
      <c r="N8" s="1"/>
      <c r="O8" s="4"/>
      <c r="P8" s="4">
        <f>((D6+E6)-(D5+E5))*(P5^1/2)</f>
        <v>0</v>
      </c>
      <c r="Q8" s="4">
        <f>((D7+E7)-(D6+E6))*(Q5^1/2)</f>
        <v>0</v>
      </c>
      <c r="R8" s="4">
        <f>((D8+E8)-(D7+E7))*(R5^1/2)</f>
        <v>0</v>
      </c>
      <c r="S8" s="4">
        <f>((D9+E9)-(D8+E8))*(S5^1/2)</f>
        <v>11590.397099999998</v>
      </c>
      <c r="T8" s="4">
        <f>((D10+E10)-(D9+E9))*(T5^1/2)</f>
        <v>3127.3845000000001</v>
      </c>
      <c r="U8" s="4">
        <f>((D11+E11)-(D10+E10))*(U5^1/2)</f>
        <v>-1901.8532</v>
      </c>
      <c r="V8" s="4">
        <f>((D12+E12)-(D11+E11))*(V5^1/2)</f>
        <v>2939.4753499999997</v>
      </c>
      <c r="W8" s="4">
        <f>((D13+E13)-(D12+E12))*(W5^1/2)</f>
        <v>8903.7734999999993</v>
      </c>
      <c r="X8" s="4">
        <f>((D14+E14)-(D13+E13))*(X5^1/2)</f>
        <v>4499.884</v>
      </c>
      <c r="Y8" s="4">
        <f>((D15+E15)-(D14+E14))*(Y5^1/2)</f>
        <v>5100.2599499999997</v>
      </c>
      <c r="Z8" s="4">
        <f>((E15+F15)-(E14+F14))*(Z5^1/2)</f>
        <v>2814.5546999999997</v>
      </c>
      <c r="AA8" s="4">
        <f>((D17+E17)-(D16+E16))*(AA5^1/2)</f>
        <v>14972.0416</v>
      </c>
      <c r="AB8" s="4">
        <f>((D18+E18)-(D17+E17))*(AB5^1/2)</f>
        <v>35765.623</v>
      </c>
      <c r="AC8" s="4">
        <f>((D19+E19)-(D18+E18))*(AC5^1/2)</f>
        <v>11333.59755</v>
      </c>
      <c r="AD8" s="4">
        <f>((D20+E20)-(D19+E19))*(AD5/2)</f>
        <v>97423.040399999998</v>
      </c>
      <c r="AE8" s="4">
        <f>((D21+E21)-(D20+E20))*(AE5^1/2)</f>
        <v>40066.032500000001</v>
      </c>
      <c r="AF8" s="4">
        <f>((D22+E22)-(D21+E21))*(AF5^1/2)</f>
        <v>19015.828399999999</v>
      </c>
      <c r="AG8" s="4">
        <f>((D23+E23)-(D22+E22))*(AG5^1/2)</f>
        <v>16247.831099999999</v>
      </c>
      <c r="AH8" s="4">
        <f>((D24+E24)-(D23+E23))*(AH5^1/2)</f>
        <v>-4711.6064000000006</v>
      </c>
      <c r="AI8" s="4">
        <f>((D25+E25)-(D24+E24))*(AI5^1/2)</f>
        <v>23375.195800000001</v>
      </c>
      <c r="AJ8" s="4">
        <f>((D26+E26)-(D25+E25))*(AJ5^1/2)</f>
        <v>215317.48734999998</v>
      </c>
      <c r="AK8" s="4">
        <f>((D27+E27)-(D26+E26))*(AK5/2)</f>
        <v>11369.875249999999</v>
      </c>
      <c r="AL8" s="4">
        <f>((D28+E28)-(D27+E27))*(AL5^1/2)</f>
        <v>9777.2437499999996</v>
      </c>
      <c r="AM8" s="4">
        <f>((D29+E29)-(D28+E28))*(AM5^1/2)</f>
        <v>-5721.5034500000002</v>
      </c>
      <c r="AN8" s="4">
        <f>((D30+E30)-(D29+E29))*(AN5^1/2)</f>
        <v>39606.025399999999</v>
      </c>
      <c r="AO8" s="4">
        <f>((D31+E31)-(D30+E30))*(AO5^1/2)</f>
        <v>111088.9081</v>
      </c>
      <c r="AP8" s="4">
        <f>((D32+E32)-(D31+E31))*(AP5^1/2)</f>
        <v>243528.6159</v>
      </c>
      <c r="AQ8" s="4">
        <f>((D32+E32)-(D31+E31))*(AQ5^1/2)</f>
        <v>194318.17019999999</v>
      </c>
      <c r="AR8" s="4">
        <f>((E32+F32)-(E31+F31))*(AR5^1/2)</f>
        <v>220502.42025000002</v>
      </c>
    </row>
    <row r="9" spans="1:44" ht="15" customHeight="1" x14ac:dyDescent="0.25">
      <c r="A9" s="13" t="s">
        <v>23</v>
      </c>
      <c r="B9" s="14">
        <v>190978</v>
      </c>
      <c r="C9" s="14">
        <v>-9311</v>
      </c>
      <c r="D9" s="15">
        <v>0</v>
      </c>
      <c r="E9" s="14">
        <v>259293</v>
      </c>
      <c r="F9" s="15">
        <v>0</v>
      </c>
      <c r="G9" s="15">
        <v>0</v>
      </c>
      <c r="H9" s="15">
        <v>0</v>
      </c>
      <c r="I9" s="14">
        <v>24562490.866</v>
      </c>
      <c r="J9" s="15">
        <v>0</v>
      </c>
      <c r="K9" s="15">
        <v>0</v>
      </c>
      <c r="M9" s="1" t="s">
        <v>24</v>
      </c>
      <c r="N9" s="1"/>
      <c r="O9" s="4"/>
      <c r="P9" s="4">
        <f>+B5*P5</f>
        <v>0</v>
      </c>
      <c r="Q9" s="4">
        <f>+(B6+P9+P10+P14)*Q5</f>
        <v>0</v>
      </c>
      <c r="R9" s="4">
        <f>+(B7+Q9+P9+P10+Q10+P14+Q14)*R5</f>
        <v>71.197400000000002</v>
      </c>
      <c r="S9" s="4">
        <f>+(B8+R9+Q9+P9+P10+Q10+R10+P14+Q14+R14)*S5</f>
        <v>3637.7753999999991</v>
      </c>
      <c r="T9" s="4">
        <f>+(B9+S9+R9+Q9+P9+P10+Q10+R10+S10+P14+Q14+R14+S14)*T5</f>
        <v>12093.333306870001</v>
      </c>
      <c r="U9" s="4">
        <f>+(B10+T9+S9+R9+Q9+P9+P10+Q10+R10+S10+T10+P14+Q14+R14+S14+T14)*U5</f>
        <v>18051.700045368463</v>
      </c>
      <c r="V9" s="4">
        <f>+(B11+U9+T9+S9+R9+Q9+P9+P10+Q10+R10+S10+T10+U10+P14+Q14+R14+S14+T14+U14)*V5</f>
        <v>36453.238412701998</v>
      </c>
      <c r="W9" s="4">
        <f>+(B12+V9+U9+T9+S9+R9+Q9+P9+P10+Q10+R10+S10+T10+U10+V10+P14+Q14+R14+S14+T14+U14+V14)*W5</f>
        <v>34279.480076213287</v>
      </c>
      <c r="X9" s="4">
        <f>+(B13+W9+V9+U9+T9+S9+R9+Q9+P9+P10+Q10+R10+S10+T10+U10+V10+W10+P14+Q14+R14+S14+T14+U14+V14+W14)*X5</f>
        <v>36698.034892662516</v>
      </c>
      <c r="Y9" s="4">
        <f>+(B14+X9+W9+V9+U9+T9+S9+R9+Q9+P9+P10+Q10+R10+S10+T10+U10+V10+W10+X10+P14+Q14+R14+S14+T14+U14+V14+W14+X14)*Y5</f>
        <v>53555.953497351111</v>
      </c>
      <c r="Z9" s="4">
        <f>+(B15+Y9+X9+W9+V9+U9+T9+S9+R9+Q9+P9+P10+Q10+R10+S10+T10+U10+V10+W10+X10+Y10+P14+Q14+R14+S14+T14+U14+V14+W14+X14+Y14)*Z5</f>
        <v>37113.871389051703</v>
      </c>
      <c r="AA9" s="4">
        <f>+(B16+Z9+Y9+X9+W9+V9+U9+T9+S9+R9+Q9+P9+P10+Q10+R10+S10+T10+U10+V10+W10+X10+Y10+Z10+P14+Q14+R14+S14+T14+U14+V14+W14+X14+Y14+Z14)*AA5</f>
        <v>120748.05796143787</v>
      </c>
      <c r="AB9" s="4">
        <f>+(B17+AA9+Z9+Y9+X9+W9+V9+U9+T9+S9+R9+Q9+P9+P10+Q10+R10+S10+T10+U10+V10+W10+X10+Y10+Z10+AA10+P14+Q14+R14+S14+T14+U14+V14+W14+X14+Y14+Z14+AA14)*AB5</f>
        <v>173722.89553967569</v>
      </c>
      <c r="AC9" s="4">
        <f>+(B18+AB9+AA9+Z9+Y9+X9+W9+V9+U9+T9+S9+R9+Q9+P9+P10+Q10+R10+S10+T10+U10+V10+W10+X10+Y10+Z10+AA10+AB10+P14+Q14+R14+S14+T14+U14+V14+W14+X14+Y14+Z14+AA14+AB14)*AC5</f>
        <v>135691.27807516328</v>
      </c>
      <c r="AD9" s="4">
        <f>+(B19+AC9+AB9+AA9+Z9+Y9+X9+W9+V9+U9+T9+S9+R9+Q9+P9+P10+Q10+R10+S10+T10+U10+V10+W10+X10+Y10+Z10+AA10+AB10+AC10+P14+Q14+R14+S14+T14+U14+V14+W14+X14+Y14+Z14+AA14+AB14+AC14)*AD5</f>
        <v>276574.09210978774</v>
      </c>
      <c r="AE9" s="4">
        <f>+(B20+AD9+AC9+AB9+AA9+Z9+Y9+X9+W9+V9+U9+T9+S9+R9+Q9+P9+P10+Q10+R10+S10+T10+U10+V10+W10+X10+Y10+Z10+AA10+AB10+AC10+AD10+P14+Q14+S14++R14+T14+U14+V14+W14+X14+Y14+Z14+AA14+AB14+AC14+AD14)*AE5</f>
        <v>330803.7422376498</v>
      </c>
      <c r="AF9" s="4">
        <f>+(B21+AE9+AD9+AC9+AB9+AA9+Z9+Y9+X9+W9+V9+U9+T9+S9+R9+Q9+P9+P10+Q10+R10+S10+T10+U10+V10+W10+X10+Y10+Z10+AA10+AB10+AC10+AD10+AE10+P14+Q14+R14+S14+T14+U14+V14+W14+X14+Y14+Z14+AA14+AB14+AC14+AD14+AE14)*AF5</f>
        <v>345652.96993305755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383656.83965917293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467576.48445203796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587457.58977261558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384616.9097517099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286947.38786954363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448467.45558447222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553384.81593219633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612061.63444399321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2024518.9918908703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1177459.0548148826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970579.99849329074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1042017.3862782391</v>
      </c>
    </row>
    <row r="10" spans="1:44" ht="15" customHeight="1" x14ac:dyDescent="0.25">
      <c r="A10" s="13" t="s">
        <v>25</v>
      </c>
      <c r="B10" s="14">
        <v>204965</v>
      </c>
      <c r="C10" s="14">
        <v>-1647</v>
      </c>
      <c r="D10" s="15">
        <v>0</v>
      </c>
      <c r="E10" s="14">
        <v>364063</v>
      </c>
      <c r="F10" s="15">
        <v>0</v>
      </c>
      <c r="G10" s="15">
        <v>0</v>
      </c>
      <c r="H10" s="15">
        <v>0</v>
      </c>
      <c r="I10" s="14">
        <v>28159312.408</v>
      </c>
      <c r="J10" s="15">
        <v>0</v>
      </c>
      <c r="K10" s="15">
        <v>0</v>
      </c>
      <c r="M10" s="22" t="s">
        <v>26</v>
      </c>
      <c r="N10" s="22"/>
      <c r="O10" s="23"/>
      <c r="P10" s="23">
        <f>((B6-B5)*(P5^1/2))</f>
        <v>0</v>
      </c>
      <c r="Q10" s="23">
        <f>((B7-B6)*(Q5^1/2))</f>
        <v>111.94290000000001</v>
      </c>
      <c r="R10" s="23">
        <f>((B8-B7)*(R5/2))</f>
        <v>302.13659999999999</v>
      </c>
      <c r="S10" s="23">
        <f>((B9-B8)*(S5/2))</f>
        <v>6717.8288999999995</v>
      </c>
      <c r="T10" s="23">
        <f>((B10-B9)*(T5^1/2))</f>
        <v>417.51195000000001</v>
      </c>
      <c r="U10" s="23">
        <f>((B11-B10)*(U5^1/2))</f>
        <v>1095.5061000000001</v>
      </c>
      <c r="V10" s="23">
        <f>((B12-B11)*(V5^1/2))</f>
        <v>1926.8634</v>
      </c>
      <c r="W10" s="23">
        <f>((B13-B12)*(W5/2))</f>
        <v>3113.4074999999998</v>
      </c>
      <c r="X10" s="23">
        <f>((B14-B13)*(X5/2))</f>
        <v>15488.876</v>
      </c>
      <c r="Y10" s="23">
        <f>((B15-B14)*(Y5/2))</f>
        <v>5574.3222999999998</v>
      </c>
      <c r="Z10" s="23">
        <f>((B16-B15)*(Z5/2))</f>
        <v>23652.7094</v>
      </c>
      <c r="AA10" s="23">
        <f>((B17-B16)*(AA5/2))</f>
        <v>2171.797</v>
      </c>
      <c r="AB10" s="23">
        <f>((B18-B17)*(AB5^1/2))</f>
        <v>-1273.7214999999999</v>
      </c>
      <c r="AC10" s="23">
        <f>((B19-B18)*(AC5^1/2))</f>
        <v>28460.998800000001</v>
      </c>
      <c r="AD10" s="23">
        <f>((B20-B19)*(AD5/2))</f>
        <v>-224.49135000000001</v>
      </c>
      <c r="AE10" s="23">
        <f>((B21-B20)*(AE5^1/2))</f>
        <v>6879.3725000000004</v>
      </c>
      <c r="AF10" s="23">
        <f>((B22-B21)*(AF5^1/2))</f>
        <v>5356.5356000000002</v>
      </c>
      <c r="AG10" s="23">
        <f>((B23-B22)*(AG5/2))</f>
        <v>4373.2522499999995</v>
      </c>
      <c r="AH10" s="23">
        <f>((B24-B23)*(AH5/2))</f>
        <v>-79057.863200000007</v>
      </c>
      <c r="AI10" s="23">
        <f>((B25-B24)*(AI5^1/2))</f>
        <v>8215.31315</v>
      </c>
      <c r="AJ10" s="23">
        <f>((B26-B25)*(AJ5/2))</f>
        <v>105850.22714999999</v>
      </c>
      <c r="AK10" s="23">
        <f>((B27-B26)*(AK5/2))</f>
        <v>34614.783749999995</v>
      </c>
      <c r="AL10" s="23">
        <f>((B28-B27)*(AL5^1/2))</f>
        <v>5188.875</v>
      </c>
      <c r="AM10" s="23">
        <f>((B29-B28)*(AM5/2))</f>
        <v>6811.4377999999997</v>
      </c>
      <c r="AN10" s="23">
        <f>((B30-B29)*(AN5/2))</f>
        <v>150048.85799999998</v>
      </c>
      <c r="AO10" s="23">
        <f>((B31-B30)*(AO5/2))</f>
        <v>-9465.7055</v>
      </c>
      <c r="AP10" s="23">
        <f>((B32-B31)*(AP5^1/2))</f>
        <v>11456.9046</v>
      </c>
      <c r="AQ10" s="23">
        <f>((C32-C31)*(AQ5/2))</f>
        <v>8417.6862000000001</v>
      </c>
      <c r="AR10" s="23">
        <f>((D32-D31)*(AR5^1/2))</f>
        <v>-9536.0622000000003</v>
      </c>
    </row>
    <row r="11" spans="1:44" ht="15" customHeight="1" x14ac:dyDescent="0.25">
      <c r="A11" s="13" t="s">
        <v>27</v>
      </c>
      <c r="B11" s="14">
        <v>233531</v>
      </c>
      <c r="C11" s="14">
        <v>9714</v>
      </c>
      <c r="D11" s="15">
        <v>0</v>
      </c>
      <c r="E11" s="14">
        <v>314471</v>
      </c>
      <c r="F11" s="15">
        <v>0</v>
      </c>
      <c r="G11" s="15">
        <v>-488</v>
      </c>
      <c r="H11" s="15">
        <v>0</v>
      </c>
      <c r="I11" s="14">
        <v>32483025.123</v>
      </c>
      <c r="J11" s="15">
        <v>0</v>
      </c>
      <c r="K11" s="15">
        <v>0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4">
        <v>264287</v>
      </c>
      <c r="C12" s="14">
        <v>5343</v>
      </c>
      <c r="D12" s="15">
        <v>0</v>
      </c>
      <c r="E12" s="14">
        <v>361390</v>
      </c>
      <c r="F12" s="15">
        <v>0</v>
      </c>
      <c r="G12" s="15">
        <v>0</v>
      </c>
      <c r="H12" s="15">
        <v>0</v>
      </c>
      <c r="I12" s="14">
        <v>33117640.508000001</v>
      </c>
      <c r="J12" s="15">
        <v>0</v>
      </c>
      <c r="K12" s="15">
        <v>0</v>
      </c>
      <c r="M12" s="1" t="s">
        <v>30</v>
      </c>
      <c r="N12" s="1"/>
      <c r="O12" s="1"/>
      <c r="P12" s="4">
        <v>0</v>
      </c>
      <c r="Q12" s="24">
        <f>-($P$7+$P$8)*$N$1</f>
        <v>0</v>
      </c>
      <c r="R12" s="24">
        <f>-((($P$7+$P$8)*(1+Q5))+($Q$7+$Q$8))*N1</f>
        <v>0</v>
      </c>
      <c r="S12" s="24">
        <f>-((($P$7+$P$8)*(1+Q5)*(1+R5))+(($Q$7+$Q$8)*(1+R5))+((R7+R8)))*$N$1</f>
        <v>0</v>
      </c>
      <c r="T12" s="24">
        <f>-((($P$7+$P$8)*(1+R5)*(1+S5)*(1+Q5))+(($Q$7+$Q$8)*(1+S5)*(1+R5))+((R7+R8)*(1+S5))+((S7+S8)))*$N$1</f>
        <v>-471.72916196999995</v>
      </c>
      <c r="U12" s="24">
        <f>-((($P$7+$P$8)*(1+T5)*(1+R5)*(1+S5)*(1+Q5))+(($Q$7+$Q$8)*(1+T5)*(1+S5)*(1+R5))+((R7+R8)*(1+S5)*(1+T5))+((S7+S8)*(1+T5))+(T7+T8))*$N$1</f>
        <v>-1285.3657115292181</v>
      </c>
      <c r="V12" s="24">
        <f>-((($P$7+$P$8)*(1+U5)*(1+S5)*(1+T5)*(1+R5)*(1+Q5))+(($Q$7+$Q$8)*(1+U5)*(1+T5)*(1+S5)*(1+R5))+(($R$7+$R$8)*(1+U5)*(1+T5)*(1+S5))+((S7+S8)*(1+T5)*(1+U5))+((T7+T8)*(1+U5))+(U7+U8))*$N$1</f>
        <v>-2539.4671697924309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-4883.3234451326134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-7480.5225897573237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-10442.510541566404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-13309.52816831877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-15053.069984175367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-22050.630572621169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-34355.362396446762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-45873.318617645338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-67538.629397606739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-99998.719555011194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-125998.81589010454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-165528.33333662787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-210898.62149081961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-261180.25997089685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-299156.90953839512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-315620.64607654052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-365318.83191901882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-412336.45451585337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-446135.61823231727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-527347.51216936728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-591460.89442698075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-578104.07304171915</v>
      </c>
    </row>
    <row r="13" spans="1:44" ht="15" customHeight="1" x14ac:dyDescent="0.25">
      <c r="A13" s="13" t="s">
        <v>31</v>
      </c>
      <c r="B13" s="14">
        <v>331242</v>
      </c>
      <c r="C13" s="14">
        <v>10154</v>
      </c>
      <c r="D13" s="15">
        <v>0</v>
      </c>
      <c r="E13" s="14">
        <v>552869</v>
      </c>
      <c r="F13" s="15">
        <v>0</v>
      </c>
      <c r="G13" s="15">
        <v>0</v>
      </c>
      <c r="H13" s="15">
        <v>0</v>
      </c>
      <c r="I13" s="14">
        <v>36197170.987000003</v>
      </c>
      <c r="J13" s="15">
        <v>0</v>
      </c>
      <c r="K13" s="15">
        <v>0</v>
      </c>
      <c r="M13" t="s">
        <v>32</v>
      </c>
      <c r="P13">
        <v>0</v>
      </c>
      <c r="Q13" s="24">
        <f t="shared" ref="Q13:AR13" si="0">Q12*Q5</f>
        <v>0</v>
      </c>
      <c r="R13" s="24">
        <f t="shared" si="0"/>
        <v>0</v>
      </c>
      <c r="S13" s="24">
        <f t="shared" si="0"/>
        <v>0</v>
      </c>
      <c r="T13" s="24">
        <f t="shared" si="0"/>
        <v>-28.162230969608999</v>
      </c>
      <c r="U13" s="24">
        <f t="shared" si="0"/>
        <v>-98.58755007429103</v>
      </c>
      <c r="V13" s="24">
        <f t="shared" si="0"/>
        <v>-318.19523637499157</v>
      </c>
      <c r="W13" s="24">
        <f t="shared" si="0"/>
        <v>-454.14908039733302</v>
      </c>
      <c r="X13" s="24">
        <f t="shared" si="0"/>
        <v>-568.51971682155659</v>
      </c>
      <c r="Y13" s="24">
        <f t="shared" si="0"/>
        <v>-594.17884981512839</v>
      </c>
      <c r="Z13" s="24">
        <f t="shared" si="0"/>
        <v>-417.91918448520931</v>
      </c>
      <c r="AA13" s="24">
        <f t="shared" si="0"/>
        <v>-671.36692129422136</v>
      </c>
      <c r="AB13" s="24">
        <f t="shared" si="0"/>
        <v>-1300.987203784649</v>
      </c>
      <c r="AC13" s="24">
        <f t="shared" si="0"/>
        <v>-1480.7161192868555</v>
      </c>
      <c r="AD13" s="24">
        <f t="shared" si="0"/>
        <v>-2711.1131303028396</v>
      </c>
      <c r="AE13" s="24">
        <f t="shared" si="0"/>
        <v>-4390.0109108444385</v>
      </c>
      <c r="AF13" s="24">
        <f t="shared" si="0"/>
        <v>-5839.9252220126536</v>
      </c>
      <c r="AG13" s="24">
        <f t="shared" si="0"/>
        <v>-7446.5300191051783</v>
      </c>
      <c r="AH13" s="24">
        <f t="shared" si="0"/>
        <v>-10610.366166877848</v>
      </c>
      <c r="AI13" s="24">
        <f t="shared" si="0"/>
        <v>-22502.882913070454</v>
      </c>
      <c r="AJ13" s="24">
        <f t="shared" si="0"/>
        <v>-16428.23835216941</v>
      </c>
      <c r="AK13" s="24">
        <f t="shared" si="0"/>
        <v>-8825.1288313826553</v>
      </c>
      <c r="AL13" s="24">
        <f t="shared" si="0"/>
        <v>-11835.77422787027</v>
      </c>
      <c r="AM13" s="24">
        <f t="shared" si="0"/>
        <v>-15745.241655709711</v>
      </c>
      <c r="AN13" s="24">
        <f t="shared" si="0"/>
        <v>-18637.607744116573</v>
      </c>
      <c r="AO13" s="24">
        <f t="shared" si="0"/>
        <v>-44881.243194171118</v>
      </c>
      <c r="AP13" s="24">
        <f t="shared" si="0"/>
        <v>-30533.420954606365</v>
      </c>
      <c r="AQ13" s="24">
        <f t="shared" si="0"/>
        <v>-27325.493322526509</v>
      </c>
      <c r="AR13" s="24">
        <f t="shared" si="0"/>
        <v>-27922.426727915037</v>
      </c>
    </row>
    <row r="14" spans="1:44" ht="15" customHeight="1" x14ac:dyDescent="0.25">
      <c r="A14" s="13" t="s">
        <v>33</v>
      </c>
      <c r="B14" s="14">
        <v>738844</v>
      </c>
      <c r="C14" s="14">
        <v>150605</v>
      </c>
      <c r="D14" s="15">
        <v>0</v>
      </c>
      <c r="E14" s="14">
        <v>671287</v>
      </c>
      <c r="F14" s="15">
        <v>0</v>
      </c>
      <c r="G14" s="51">
        <v>-36776</v>
      </c>
      <c r="H14" s="15">
        <v>0</v>
      </c>
      <c r="I14" s="14">
        <v>43198.925999999999</v>
      </c>
      <c r="J14" s="15">
        <v>0</v>
      </c>
      <c r="K14" s="14">
        <v>3238260.9742000001</v>
      </c>
      <c r="M14" s="39" t="s">
        <v>34</v>
      </c>
      <c r="N14" s="39"/>
      <c r="O14" s="40"/>
      <c r="P14" s="40">
        <f t="shared" ref="P14:AR14" si="1">(P7+P8)-(P9+P10)+P12+P13</f>
        <v>0</v>
      </c>
      <c r="Q14" s="40">
        <f t="shared" si="1"/>
        <v>-111.94290000000001</v>
      </c>
      <c r="R14" s="40">
        <f t="shared" si="1"/>
        <v>-373.334</v>
      </c>
      <c r="S14" s="40">
        <f t="shared" si="1"/>
        <v>1234.7927999999993</v>
      </c>
      <c r="T14" s="40">
        <f t="shared" si="1"/>
        <v>6288.3866570603923</v>
      </c>
      <c r="U14" s="40">
        <f t="shared" si="1"/>
        <v>7859.8457082349569</v>
      </c>
      <c r="V14" s="40">
        <f t="shared" si="1"/>
        <v>8532.7772790468152</v>
      </c>
      <c r="W14" s="40">
        <f t="shared" si="1"/>
        <v>9924.4326311161294</v>
      </c>
      <c r="X14" s="40">
        <f t="shared" si="1"/>
        <v>-1428.3798580246169</v>
      </c>
      <c r="Y14" s="40">
        <f t="shared" si="1"/>
        <v>-14323.260595680094</v>
      </c>
      <c r="Z14" s="40">
        <f t="shared" si="1"/>
        <v>-41923.447518480061</v>
      </c>
      <c r="AA14" s="40">
        <f t="shared" si="1"/>
        <v>16790.44196974071</v>
      </c>
      <c r="AB14" s="40">
        <f t="shared" si="1"/>
        <v>74561.483860600041</v>
      </c>
      <c r="AC14" s="40">
        <f t="shared" si="1"/>
        <v>46626.880528310052</v>
      </c>
      <c r="AD14" s="40">
        <f t="shared" si="1"/>
        <v>140771.06944947742</v>
      </c>
      <c r="AE14" s="40">
        <f t="shared" si="1"/>
        <v>280070.78172441502</v>
      </c>
      <c r="AF14" s="40">
        <f t="shared" si="1"/>
        <v>38487.74927421115</v>
      </c>
      <c r="AG14" s="40">
        <f t="shared" si="1"/>
        <v>266804.35155307106</v>
      </c>
      <c r="AH14" s="40">
        <f t="shared" si="1"/>
        <v>289394.81652489549</v>
      </c>
      <c r="AI14" s="40">
        <f t="shared" si="1"/>
        <v>-140620.03348347411</v>
      </c>
      <c r="AJ14" s="40">
        <f t="shared" si="1"/>
        <v>-243840.28369438255</v>
      </c>
      <c r="AK14" s="40">
        <f t="shared" si="1"/>
        <v>-436225.11997295037</v>
      </c>
      <c r="AL14" s="40">
        <f t="shared" si="1"/>
        <v>150026.414514745</v>
      </c>
      <c r="AM14" s="40">
        <f t="shared" si="1"/>
        <v>-174640.54500745874</v>
      </c>
      <c r="AN14" s="40">
        <f t="shared" si="1"/>
        <v>-818183.83583461051</v>
      </c>
      <c r="AO14" s="40">
        <f t="shared" si="1"/>
        <v>-1615231.151704038</v>
      </c>
      <c r="AP14" s="40">
        <f t="shared" si="1"/>
        <v>-912519.2778419489</v>
      </c>
      <c r="AQ14" s="40">
        <f t="shared" si="1"/>
        <v>-893546.8311495611</v>
      </c>
      <c r="AR14" s="40">
        <f t="shared" si="1"/>
        <v>50453.066286674148</v>
      </c>
    </row>
    <row r="15" spans="1:44" ht="15" customHeight="1" x14ac:dyDescent="0.25">
      <c r="A15" s="13" t="s">
        <v>35</v>
      </c>
      <c r="B15" s="14">
        <v>934778</v>
      </c>
      <c r="C15" s="14">
        <v>171198</v>
      </c>
      <c r="D15" s="15">
        <v>0</v>
      </c>
      <c r="E15" s="14">
        <v>850558</v>
      </c>
      <c r="F15" s="15">
        <v>0</v>
      </c>
      <c r="G15" s="14">
        <v>-40332</v>
      </c>
      <c r="H15" s="15">
        <v>0</v>
      </c>
      <c r="I15" s="14">
        <v>222717.01500000001</v>
      </c>
      <c r="J15" s="15">
        <v>0</v>
      </c>
      <c r="K15" s="14">
        <v>4240517.835</v>
      </c>
    </row>
    <row r="16" spans="1:44" ht="15" customHeight="1" x14ac:dyDescent="0.25">
      <c r="A16" s="13" t="s">
        <v>36</v>
      </c>
      <c r="B16" s="14">
        <v>2441320</v>
      </c>
      <c r="C16" s="14">
        <v>76060</v>
      </c>
      <c r="D16" s="15">
        <v>0</v>
      </c>
      <c r="E16" s="14">
        <v>2840460</v>
      </c>
      <c r="F16" s="15">
        <v>0</v>
      </c>
      <c r="G16" s="14">
        <v>-17738</v>
      </c>
      <c r="H16" s="15">
        <v>0</v>
      </c>
      <c r="I16" s="14">
        <v>2870595</v>
      </c>
      <c r="J16" s="15">
        <v>0</v>
      </c>
      <c r="K16" s="14">
        <v>13743487.619999999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2538710</v>
      </c>
      <c r="C17" s="14">
        <v>216803</v>
      </c>
      <c r="D17" s="15">
        <v>0</v>
      </c>
      <c r="E17" s="14">
        <v>3511852</v>
      </c>
      <c r="F17" s="15">
        <v>0</v>
      </c>
      <c r="G17" s="14">
        <v>-51163</v>
      </c>
      <c r="H17" s="15">
        <v>0</v>
      </c>
      <c r="I17" s="14">
        <v>2883482</v>
      </c>
      <c r="J17" s="15">
        <v>0</v>
      </c>
      <c r="K17" s="14">
        <v>14589883.859999999</v>
      </c>
      <c r="L17" s="41" t="str">
        <f>+L19</f>
        <v>Rumo S.A. ON</v>
      </c>
      <c r="M17" s="2" t="s">
        <v>38</v>
      </c>
      <c r="N17" s="2"/>
      <c r="O17" s="28"/>
      <c r="P17" s="42">
        <f>+C6</f>
        <v>0</v>
      </c>
      <c r="Q17" s="42">
        <f>C7</f>
        <v>-2844</v>
      </c>
      <c r="R17" s="42">
        <f>C8</f>
        <v>0</v>
      </c>
      <c r="S17" s="42">
        <f>C9</f>
        <v>-9311</v>
      </c>
      <c r="T17" s="42">
        <f>C10</f>
        <v>-1647</v>
      </c>
      <c r="U17" s="42">
        <f>C11</f>
        <v>9714</v>
      </c>
      <c r="V17" s="42">
        <f>C12</f>
        <v>5343</v>
      </c>
      <c r="W17" s="42">
        <f>C13</f>
        <v>10154</v>
      </c>
      <c r="X17" s="42">
        <f>C14</f>
        <v>150605</v>
      </c>
      <c r="Y17" s="42">
        <f>C15</f>
        <v>171198</v>
      </c>
      <c r="Z17" s="42">
        <f>C16</f>
        <v>76060</v>
      </c>
      <c r="AA17" s="42">
        <f>C17</f>
        <v>216803</v>
      </c>
      <c r="AB17" s="42">
        <f>C18</f>
        <v>176726</v>
      </c>
      <c r="AC17" s="42">
        <f>C19</f>
        <v>31653</v>
      </c>
      <c r="AD17" s="42">
        <f>C20</f>
        <v>245861</v>
      </c>
      <c r="AE17" s="42">
        <f>C21</f>
        <v>244945</v>
      </c>
      <c r="AF17" s="42">
        <f>C22</f>
        <v>237315</v>
      </c>
      <c r="AG17" s="42">
        <f>C23</f>
        <v>13029</v>
      </c>
      <c r="AH17" s="42">
        <f>C24</f>
        <v>-2037140</v>
      </c>
      <c r="AI17" s="42">
        <f>C25</f>
        <v>-1176643</v>
      </c>
      <c r="AJ17" s="42">
        <f>C26</f>
        <v>-1063230</v>
      </c>
      <c r="AK17" s="42">
        <f>C27</f>
        <v>-260807</v>
      </c>
      <c r="AL17" s="42">
        <f>C28</f>
        <v>264357</v>
      </c>
      <c r="AM17" s="42">
        <f>C29</f>
        <v>778237</v>
      </c>
      <c r="AN17" s="42">
        <f>C30</f>
        <v>297163</v>
      </c>
      <c r="AO17" s="42">
        <f>C31</f>
        <v>150538</v>
      </c>
      <c r="AP17" s="42">
        <f>C32</f>
        <v>514940</v>
      </c>
      <c r="AQ17" s="42">
        <f>D32</f>
        <v>6736777</v>
      </c>
      <c r="AR17" s="42">
        <f>E32</f>
        <v>24781472</v>
      </c>
    </row>
    <row r="18" spans="1:44" ht="15" customHeight="1" x14ac:dyDescent="0.25">
      <c r="A18" s="13" t="s">
        <v>39</v>
      </c>
      <c r="B18" s="14">
        <v>2495533</v>
      </c>
      <c r="C18" s="14">
        <v>176726</v>
      </c>
      <c r="D18" s="15">
        <v>0</v>
      </c>
      <c r="E18" s="14">
        <v>4724246</v>
      </c>
      <c r="F18" s="15">
        <v>0</v>
      </c>
      <c r="G18" s="14">
        <v>-41646</v>
      </c>
      <c r="H18" s="15">
        <v>0</v>
      </c>
      <c r="I18" s="14">
        <v>2884177</v>
      </c>
      <c r="J18" s="15">
        <v>0</v>
      </c>
      <c r="K18" s="14">
        <v>6702784.2400000002</v>
      </c>
      <c r="L18" s="43" t="str">
        <f>+L19</f>
        <v>Rumo S.A. ON</v>
      </c>
      <c r="M18" s="18" t="s">
        <v>40</v>
      </c>
      <c r="N18" s="18"/>
      <c r="O18" s="25"/>
      <c r="P18" s="44">
        <f t="shared" ref="P18:AR18" si="2">P14+P17</f>
        <v>0</v>
      </c>
      <c r="Q18" s="44">
        <f t="shared" si="2"/>
        <v>-2955.9429</v>
      </c>
      <c r="R18" s="44">
        <f t="shared" si="2"/>
        <v>-373.334</v>
      </c>
      <c r="S18" s="44">
        <f t="shared" si="2"/>
        <v>-8076.2072000000007</v>
      </c>
      <c r="T18" s="44">
        <f t="shared" si="2"/>
        <v>4641.3866570603923</v>
      </c>
      <c r="U18" s="44">
        <f t="shared" si="2"/>
        <v>17573.845708234956</v>
      </c>
      <c r="V18" s="44">
        <f t="shared" si="2"/>
        <v>13875.777279046815</v>
      </c>
      <c r="W18" s="44">
        <f t="shared" si="2"/>
        <v>20078.432631116128</v>
      </c>
      <c r="X18" s="44">
        <f t="shared" si="2"/>
        <v>149176.62014197538</v>
      </c>
      <c r="Y18" s="44">
        <f t="shared" si="2"/>
        <v>156874.7394043199</v>
      </c>
      <c r="Z18" s="44">
        <f t="shared" si="2"/>
        <v>34136.552481519939</v>
      </c>
      <c r="AA18" s="44">
        <f t="shared" si="2"/>
        <v>233593.4419697407</v>
      </c>
      <c r="AB18" s="44">
        <f t="shared" si="2"/>
        <v>251287.48386060004</v>
      </c>
      <c r="AC18" s="44">
        <f t="shared" si="2"/>
        <v>78279.880528310052</v>
      </c>
      <c r="AD18" s="44">
        <f t="shared" si="2"/>
        <v>386632.06944947742</v>
      </c>
      <c r="AE18" s="44">
        <f t="shared" si="2"/>
        <v>525015.78172441502</v>
      </c>
      <c r="AF18" s="44">
        <f t="shared" si="2"/>
        <v>275802.74927421112</v>
      </c>
      <c r="AG18" s="44">
        <f t="shared" si="2"/>
        <v>279833.35155307106</v>
      </c>
      <c r="AH18" s="44">
        <f t="shared" si="2"/>
        <v>-1747745.1834751046</v>
      </c>
      <c r="AI18" s="44">
        <f t="shared" si="2"/>
        <v>-1317263.033483474</v>
      </c>
      <c r="AJ18" s="44">
        <f t="shared" si="2"/>
        <v>-1307070.2836943825</v>
      </c>
      <c r="AK18" s="44">
        <f t="shared" si="2"/>
        <v>-697032.11997295031</v>
      </c>
      <c r="AL18" s="44">
        <f t="shared" si="2"/>
        <v>414383.414514745</v>
      </c>
      <c r="AM18" s="44">
        <f t="shared" si="2"/>
        <v>603596.45499254123</v>
      </c>
      <c r="AN18" s="44">
        <f t="shared" si="2"/>
        <v>-521020.83583461051</v>
      </c>
      <c r="AO18" s="44">
        <f t="shared" si="2"/>
        <v>-1464693.151704038</v>
      </c>
      <c r="AP18" s="44">
        <f t="shared" si="2"/>
        <v>-397579.2778419489</v>
      </c>
      <c r="AQ18" s="44">
        <f t="shared" si="2"/>
        <v>5843230.1688504387</v>
      </c>
      <c r="AR18" s="44">
        <f t="shared" si="2"/>
        <v>24831925.066286676</v>
      </c>
    </row>
    <row r="19" spans="1:44" ht="15" customHeight="1" x14ac:dyDescent="0.25">
      <c r="A19" s="13" t="s">
        <v>41</v>
      </c>
      <c r="B19" s="14">
        <v>3816229</v>
      </c>
      <c r="C19" s="14">
        <v>31653</v>
      </c>
      <c r="D19" s="15">
        <v>0</v>
      </c>
      <c r="E19" s="14">
        <v>5250167</v>
      </c>
      <c r="F19" s="15">
        <v>0</v>
      </c>
      <c r="G19" s="14">
        <v>-41528</v>
      </c>
      <c r="H19" s="15">
        <v>0</v>
      </c>
      <c r="I19" s="14">
        <v>3437511</v>
      </c>
      <c r="J19" s="15">
        <v>0</v>
      </c>
      <c r="K19" s="14">
        <v>13244743.800000001</v>
      </c>
      <c r="L19" s="18" t="str">
        <f>+A1</f>
        <v>Rumo S.A. ON</v>
      </c>
      <c r="M19" s="18" t="s">
        <v>42</v>
      </c>
      <c r="N19" s="18"/>
      <c r="O19" s="31"/>
      <c r="P19" s="45"/>
      <c r="Q19" s="45"/>
      <c r="R19" s="45"/>
      <c r="S19" s="45">
        <f t="shared" ref="S19:AR19" si="3">S18/S17</f>
        <v>0.86738343894318559</v>
      </c>
      <c r="T19" s="45">
        <f t="shared" si="3"/>
        <v>-2.8180854019795945</v>
      </c>
      <c r="U19" s="45">
        <f t="shared" si="3"/>
        <v>1.8091255618936541</v>
      </c>
      <c r="V19" s="45">
        <f t="shared" si="3"/>
        <v>2.5970011751912438</v>
      </c>
      <c r="W19" s="45">
        <f t="shared" si="3"/>
        <v>1.9773914350124215</v>
      </c>
      <c r="X19" s="45">
        <f t="shared" si="3"/>
        <v>0.99051572087231754</v>
      </c>
      <c r="Y19" s="45">
        <f t="shared" si="3"/>
        <v>0.91633511725791128</v>
      </c>
      <c r="Z19" s="45">
        <f t="shared" si="3"/>
        <v>0.44881083988324927</v>
      </c>
      <c r="AA19" s="45">
        <f t="shared" si="3"/>
        <v>1.0774456163878761</v>
      </c>
      <c r="AB19" s="45">
        <f t="shared" si="3"/>
        <v>1.4219044388522348</v>
      </c>
      <c r="AC19" s="45">
        <f t="shared" si="3"/>
        <v>2.4730635493732049</v>
      </c>
      <c r="AD19" s="45">
        <f t="shared" si="3"/>
        <v>1.5725636414456845</v>
      </c>
      <c r="AE19" s="45">
        <f t="shared" si="3"/>
        <v>2.1434027301002878</v>
      </c>
      <c r="AF19" s="45">
        <f t="shared" si="3"/>
        <v>1.1621800108472331</v>
      </c>
      <c r="AG19" s="45">
        <f t="shared" si="3"/>
        <v>21.477730566664444</v>
      </c>
      <c r="AH19" s="45">
        <f t="shared" si="3"/>
        <v>0.85794063416117916</v>
      </c>
      <c r="AI19" s="45">
        <f t="shared" si="3"/>
        <v>1.1195095143416263</v>
      </c>
      <c r="AJ19" s="45">
        <f t="shared" si="3"/>
        <v>1.229339168095692</v>
      </c>
      <c r="AK19" s="45">
        <f t="shared" si="3"/>
        <v>2.6725974378484869</v>
      </c>
      <c r="AL19" s="45">
        <f t="shared" si="3"/>
        <v>1.5675144388639037</v>
      </c>
      <c r="AM19" s="45">
        <f t="shared" si="3"/>
        <v>0.77559465174817088</v>
      </c>
      <c r="AN19" s="45">
        <f t="shared" si="3"/>
        <v>-1.7533166505742994</v>
      </c>
      <c r="AO19" s="45">
        <f t="shared" si="3"/>
        <v>-9.7297237355620378</v>
      </c>
      <c r="AP19" s="45">
        <f t="shared" si="3"/>
        <v>-0.77208854981541331</v>
      </c>
      <c r="AQ19" s="45">
        <f t="shared" si="3"/>
        <v>0.86736286043763045</v>
      </c>
      <c r="AR19" s="45">
        <f t="shared" si="3"/>
        <v>1.0020359188625549</v>
      </c>
    </row>
    <row r="20" spans="1:44" ht="15" customHeight="1" x14ac:dyDescent="0.25">
      <c r="A20" s="13" t="s">
        <v>43</v>
      </c>
      <c r="B20" s="14">
        <v>3808632</v>
      </c>
      <c r="C20" s="14">
        <v>245861</v>
      </c>
      <c r="D20" s="14">
        <v>2535100</v>
      </c>
      <c r="E20" s="14">
        <v>6011955</v>
      </c>
      <c r="F20" s="14">
        <v>7483</v>
      </c>
      <c r="G20" s="14">
        <v>-6670</v>
      </c>
      <c r="H20" s="15">
        <v>0</v>
      </c>
      <c r="I20" s="14">
        <v>688551.16799999995</v>
      </c>
      <c r="J20" s="15">
        <v>0</v>
      </c>
      <c r="K20" s="14">
        <v>10328267.52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4020305</v>
      </c>
      <c r="C21" s="14">
        <v>244945</v>
      </c>
      <c r="D21" s="14">
        <v>2517975</v>
      </c>
      <c r="E21" s="14">
        <v>7261881</v>
      </c>
      <c r="F21" s="14">
        <v>9886</v>
      </c>
      <c r="G21" s="14">
        <v>-56413</v>
      </c>
      <c r="H21" s="15">
        <v>0</v>
      </c>
      <c r="I21" s="14">
        <v>680684.83799999999</v>
      </c>
      <c r="J21" s="15">
        <v>0</v>
      </c>
      <c r="K21" s="14">
        <v>6330368.9934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4203748</v>
      </c>
      <c r="C22" s="14">
        <v>237315</v>
      </c>
      <c r="D22" s="14">
        <v>2464546</v>
      </c>
      <c r="E22" s="14">
        <v>7966537</v>
      </c>
      <c r="F22" s="14">
        <v>2010370</v>
      </c>
      <c r="G22" s="14">
        <v>-51596</v>
      </c>
      <c r="H22" s="15">
        <v>0</v>
      </c>
      <c r="I22" s="14">
        <v>680684.83799999999</v>
      </c>
      <c r="J22" s="15">
        <v>0</v>
      </c>
      <c r="K22" s="14">
        <v>5656491.0038000001</v>
      </c>
      <c r="L22" s="47" t="str">
        <f>+L24</f>
        <v>Rumo S.A. ON</v>
      </c>
      <c r="M22" s="39" t="s">
        <v>46</v>
      </c>
      <c r="N22" s="32"/>
      <c r="O22" s="32"/>
      <c r="P22" s="30">
        <v>0</v>
      </c>
      <c r="Q22" s="30">
        <v>4289</v>
      </c>
      <c r="R22" s="30">
        <v>40691</v>
      </c>
      <c r="S22" s="30">
        <v>10502002</v>
      </c>
      <c r="T22" s="30">
        <v>10565590</v>
      </c>
      <c r="U22" s="30">
        <v>233531</v>
      </c>
      <c r="V22" s="30">
        <v>264287</v>
      </c>
      <c r="W22" s="30">
        <v>331242</v>
      </c>
      <c r="X22" s="30">
        <v>738844</v>
      </c>
      <c r="Y22" s="30">
        <v>934778</v>
      </c>
      <c r="Z22" s="30">
        <v>2441320</v>
      </c>
      <c r="AA22" s="30">
        <v>2538710</v>
      </c>
      <c r="AB22" s="30">
        <v>2495533</v>
      </c>
      <c r="AC22" s="30">
        <v>3816229</v>
      </c>
      <c r="AD22" s="30">
        <v>3808632</v>
      </c>
      <c r="AE22" s="30">
        <v>4020305</v>
      </c>
      <c r="AF22" s="30">
        <v>4203748</v>
      </c>
      <c r="AG22" s="30">
        <v>4351743</v>
      </c>
      <c r="AH22" s="30">
        <v>1885039</v>
      </c>
      <c r="AI22" s="30">
        <v>2039028</v>
      </c>
      <c r="AJ22" s="30">
        <v>5404695</v>
      </c>
      <c r="AK22" s="30">
        <v>7751460</v>
      </c>
      <c r="AL22" s="30">
        <v>8028200</v>
      </c>
      <c r="AM22" s="30">
        <v>8344276</v>
      </c>
      <c r="AN22" s="30">
        <v>14983606</v>
      </c>
      <c r="AO22" s="30">
        <v>14795421</v>
      </c>
      <c r="AP22" s="30">
        <v>15191169</v>
      </c>
      <c r="AQ22" s="30">
        <v>15191169</v>
      </c>
      <c r="AR22" s="30">
        <v>15191169</v>
      </c>
    </row>
    <row r="23" spans="1:44" ht="15" customHeight="1" x14ac:dyDescent="0.25">
      <c r="A23" s="13" t="s">
        <v>47</v>
      </c>
      <c r="B23" s="14">
        <v>4351743</v>
      </c>
      <c r="C23" s="14">
        <v>13029</v>
      </c>
      <c r="D23" s="14">
        <v>2410244</v>
      </c>
      <c r="E23" s="14">
        <v>8570681</v>
      </c>
      <c r="F23" s="14">
        <v>1925334</v>
      </c>
      <c r="G23" s="14">
        <v>-55354</v>
      </c>
      <c r="H23" s="15">
        <v>0</v>
      </c>
      <c r="I23" s="14">
        <v>683309.24100000004</v>
      </c>
      <c r="J23" s="15">
        <v>0</v>
      </c>
      <c r="K23" s="14">
        <v>4482508.6210000003</v>
      </c>
      <c r="L23" s="47" t="str">
        <f>+L25</f>
        <v>Rumo S.A. ON</v>
      </c>
      <c r="M23" s="39" t="s">
        <v>48</v>
      </c>
      <c r="N23" s="32"/>
      <c r="O23" s="32"/>
      <c r="P23" s="30">
        <f>P22+P9+P10+P14</f>
        <v>0</v>
      </c>
      <c r="Q23" s="33">
        <f>Q22+Q9+Q10+Q14+((P9+P10+P14)*(1+Q5))</f>
        <v>4289</v>
      </c>
      <c r="R23" s="33">
        <f>R22+R9+R10+R14+((Q9+Q10+Q14)*(1+R5))+(((P9+P10+P14)*(1+R5)*(1+Q5)))</f>
        <v>40690.999999999993</v>
      </c>
      <c r="S23" s="33">
        <f>S22+S9+S10+S14+((R9+R10+R14)*(1+S5))+(((Q9+Q10+Q14)*(1+S5)*(1+R5)))+(((P9+P10+P14)*(1+S5)*(1+R5)*(1+Q5)))</f>
        <v>10513592.3971</v>
      </c>
      <c r="T23" s="33">
        <f>T22+T9+T10+T14+((S9+S10+S14)*(1+T5))+(((R9+R10+R14)*(1+T5)*(1+S5)))+(((Q9+Q10+Q14)*(1+T5)*(1+S5)*(1+R5)))+(((P9+P10+P14)*(1+T5)*(1+S5)*(1+R5)*(1+Q5)))</f>
        <v>10596671.5757208</v>
      </c>
      <c r="U23" s="33">
        <f>U22+U9+U10+U14+((T9+T10+T14)*(1+U5))+((S9+S10+S14)*(1+U5)*(1+T5))+((R9+R10+R14)*(1+U5)*(1+T5)*(1+S5))+((Q9+Q10+Q14)*(1+U5)*(1+T5)*(1+S5)*(1+R5))+((P9+P10+P14)*(1+U5)*(1+T5)*(1+S5)*(1+R5)*(1+Q5))</f>
        <v>294003.58443218918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379249.67835329135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504213.52764747676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975719.89478332293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1229939.1483981649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2764592.3417284391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3016110.5851007053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3248110.8775219233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4812022.1414465914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5280397.1863153502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6205488.819887911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6906043.809776633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7868578.9355966793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6305217.5568453604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7385892.4782999009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11334504.107192291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13741535.527501054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14846586.104881562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15842090.254726695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22764248.115649723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23758617.847170923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24949731.626195047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25486028.073068988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27066204.156663127</v>
      </c>
    </row>
    <row r="24" spans="1:44" ht="15" customHeight="1" x14ac:dyDescent="0.25">
      <c r="A24" s="13" t="s">
        <v>49</v>
      </c>
      <c r="B24" s="14">
        <v>1885039</v>
      </c>
      <c r="C24" s="14">
        <v>-2037140</v>
      </c>
      <c r="D24" s="14">
        <v>2275217</v>
      </c>
      <c r="E24" s="14">
        <v>8558700</v>
      </c>
      <c r="F24" s="14">
        <v>41230</v>
      </c>
      <c r="G24" s="14">
        <v>-7288</v>
      </c>
      <c r="H24" s="15">
        <v>0</v>
      </c>
      <c r="I24" s="14">
        <v>681998.46499999997</v>
      </c>
      <c r="J24" s="15">
        <v>0</v>
      </c>
      <c r="K24" s="14">
        <v>3450912.2329000002</v>
      </c>
      <c r="L24" s="47" t="str">
        <f>+L25</f>
        <v>Rumo S.A. ON</v>
      </c>
      <c r="M24" s="39" t="s">
        <v>50</v>
      </c>
      <c r="N24" s="32"/>
      <c r="O24" s="32"/>
      <c r="P24" s="30">
        <v>0</v>
      </c>
      <c r="Q24" s="30">
        <v>0</v>
      </c>
      <c r="R24" s="30">
        <v>0</v>
      </c>
      <c r="S24" s="30">
        <v>17428087.655999999</v>
      </c>
      <c r="T24" s="30">
        <v>16748049.408</v>
      </c>
      <c r="U24" s="30">
        <v>0</v>
      </c>
      <c r="V24" s="30">
        <v>0</v>
      </c>
      <c r="W24" s="30">
        <v>0</v>
      </c>
      <c r="X24" s="30">
        <v>3238260.9742000001</v>
      </c>
      <c r="Y24" s="30">
        <v>4240517.835</v>
      </c>
      <c r="Z24" s="30">
        <v>13743487.619999999</v>
      </c>
      <c r="AA24" s="30">
        <v>14589883.859999999</v>
      </c>
      <c r="AB24" s="30">
        <v>6702784.2400000002</v>
      </c>
      <c r="AC24" s="30">
        <v>13244743.800000001</v>
      </c>
      <c r="AD24" s="30">
        <v>10328267.52</v>
      </c>
      <c r="AE24" s="30">
        <v>6330368.9934</v>
      </c>
      <c r="AF24" s="30">
        <v>5656491.0038000001</v>
      </c>
      <c r="AG24" s="30">
        <v>4482508.6210000003</v>
      </c>
      <c r="AH24" s="30">
        <v>3450912.2329000002</v>
      </c>
      <c r="AI24" s="30">
        <v>0</v>
      </c>
      <c r="AJ24" s="30">
        <v>0</v>
      </c>
      <c r="AK24" s="30">
        <v>20220436.197000001</v>
      </c>
      <c r="AL24" s="30">
        <v>26503270.265999999</v>
      </c>
      <c r="AM24" s="30">
        <v>40690314.938000001</v>
      </c>
      <c r="AN24" s="30">
        <v>35646655.493000001</v>
      </c>
      <c r="AO24" s="30">
        <v>32914947.535999998</v>
      </c>
      <c r="AP24" s="30">
        <v>34472760.795999996</v>
      </c>
      <c r="AQ24" s="30">
        <f>+K33</f>
        <v>40493664.619115502</v>
      </c>
      <c r="AR24" s="30">
        <f>+K34</f>
        <v>31642883.594042499</v>
      </c>
    </row>
    <row r="25" spans="1:44" ht="15" customHeight="1" x14ac:dyDescent="0.25">
      <c r="A25" s="13" t="s">
        <v>51</v>
      </c>
      <c r="B25" s="14">
        <v>2039028</v>
      </c>
      <c r="C25" s="14">
        <v>-1176643</v>
      </c>
      <c r="D25" s="14">
        <v>2250808</v>
      </c>
      <c r="E25" s="14">
        <v>9021257</v>
      </c>
      <c r="F25" s="14">
        <v>44242</v>
      </c>
      <c r="G25" s="14">
        <v>-1500</v>
      </c>
      <c r="H25" s="15">
        <v>0</v>
      </c>
      <c r="I25" s="14">
        <v>681995.16500000004</v>
      </c>
      <c r="J25" s="15">
        <v>0</v>
      </c>
      <c r="K25" s="15">
        <v>0</v>
      </c>
      <c r="L25" s="39" t="str">
        <f>+A1</f>
        <v>Rumo S.A. ON</v>
      </c>
      <c r="M25" s="39" t="s">
        <v>52</v>
      </c>
      <c r="N25" s="18"/>
      <c r="O25" s="18"/>
      <c r="P25" s="31"/>
      <c r="Q25" s="31">
        <f t="shared" ref="Q25:AR25" si="4">Q24/Q23</f>
        <v>0</v>
      </c>
      <c r="R25" s="31">
        <f t="shared" si="4"/>
        <v>0</v>
      </c>
      <c r="S25" s="31">
        <f t="shared" si="4"/>
        <v>1.6576719923826655</v>
      </c>
      <c r="T25" s="31">
        <f t="shared" si="4"/>
        <v>1.580500942048001</v>
      </c>
      <c r="U25" s="31">
        <f t="shared" si="4"/>
        <v>0</v>
      </c>
      <c r="V25" s="31">
        <f t="shared" si="4"/>
        <v>0</v>
      </c>
      <c r="W25" s="31">
        <f t="shared" si="4"/>
        <v>0</v>
      </c>
      <c r="X25" s="31">
        <f t="shared" si="4"/>
        <v>3.3188428272430759</v>
      </c>
      <c r="Y25" s="31">
        <f t="shared" si="4"/>
        <v>3.4477460454224267</v>
      </c>
      <c r="Z25" s="31">
        <f t="shared" si="4"/>
        <v>4.9712528724605711</v>
      </c>
      <c r="AA25" s="31">
        <f t="shared" si="4"/>
        <v>4.8373172827523687</v>
      </c>
      <c r="AB25" s="31">
        <f t="shared" si="4"/>
        <v>2.0635946532446412</v>
      </c>
      <c r="AC25" s="31">
        <f t="shared" si="4"/>
        <v>2.7524278589496185</v>
      </c>
      <c r="AD25" s="31">
        <f t="shared" si="4"/>
        <v>1.9559641359492206</v>
      </c>
      <c r="AE25" s="31">
        <f t="shared" si="4"/>
        <v>1.0201241476919372</v>
      </c>
      <c r="AF25" s="31">
        <f t="shared" si="4"/>
        <v>0.81906387500645639</v>
      </c>
      <c r="AG25" s="31">
        <f t="shared" si="4"/>
        <v>0.56967193920131765</v>
      </c>
      <c r="AH25" s="31">
        <f t="shared" si="4"/>
        <v>0.54731057283716755</v>
      </c>
      <c r="AI25" s="31">
        <f t="shared" si="4"/>
        <v>0</v>
      </c>
      <c r="AJ25" s="31">
        <f t="shared" si="4"/>
        <v>0</v>
      </c>
      <c r="AK25" s="31">
        <f t="shared" si="4"/>
        <v>1.4714830199676496</v>
      </c>
      <c r="AL25" s="31">
        <f t="shared" si="4"/>
        <v>1.7851423942697315</v>
      </c>
      <c r="AM25" s="31">
        <f t="shared" si="4"/>
        <v>2.5684940739344362</v>
      </c>
      <c r="AN25" s="31">
        <f t="shared" si="4"/>
        <v>1.5659052436919283</v>
      </c>
      <c r="AO25" s="31">
        <f t="shared" si="4"/>
        <v>1.3853898298178726</v>
      </c>
      <c r="AP25" s="31">
        <f t="shared" si="4"/>
        <v>1.3816886414844878</v>
      </c>
      <c r="AQ25" s="31">
        <f t="shared" si="4"/>
        <v>1.5888574125014419</v>
      </c>
      <c r="AR25" s="31">
        <f t="shared" si="4"/>
        <v>1.1690920311872652</v>
      </c>
    </row>
    <row r="26" spans="1:44" ht="15" customHeight="1" x14ac:dyDescent="0.25">
      <c r="A26" s="13" t="s">
        <v>53</v>
      </c>
      <c r="B26" s="14">
        <v>5404695</v>
      </c>
      <c r="C26" s="14">
        <v>-1063230</v>
      </c>
      <c r="D26" s="14">
        <v>7781289</v>
      </c>
      <c r="E26" s="14">
        <v>10337119</v>
      </c>
      <c r="F26" s="14">
        <v>46847</v>
      </c>
      <c r="G26" s="14">
        <v>-777</v>
      </c>
      <c r="H26" s="15">
        <v>0</v>
      </c>
      <c r="I26" s="14">
        <v>1339015.898</v>
      </c>
      <c r="J26" s="15">
        <v>0</v>
      </c>
      <c r="K26" s="15">
        <v>0</v>
      </c>
    </row>
    <row r="27" spans="1:44" ht="15" customHeight="1" x14ac:dyDescent="0.25">
      <c r="A27" s="13" t="s">
        <v>54</v>
      </c>
      <c r="B27" s="14">
        <v>7751460</v>
      </c>
      <c r="C27" s="14">
        <v>-260807</v>
      </c>
      <c r="D27" s="14">
        <v>7622969</v>
      </c>
      <c r="E27" s="14">
        <v>11266278</v>
      </c>
      <c r="F27" s="14">
        <v>41930</v>
      </c>
      <c r="G27" s="14">
        <v>-2069</v>
      </c>
      <c r="H27" s="15">
        <v>0</v>
      </c>
      <c r="I27" s="14">
        <v>1559015.898</v>
      </c>
      <c r="J27" s="17">
        <v>12.911543023</v>
      </c>
      <c r="K27" s="14">
        <v>20220436.197000001</v>
      </c>
      <c r="S27" s="67"/>
    </row>
    <row r="28" spans="1:44" ht="15" customHeight="1" x14ac:dyDescent="0.25">
      <c r="A28" s="13" t="s">
        <v>55</v>
      </c>
      <c r="B28" s="14">
        <v>8028200</v>
      </c>
      <c r="C28" s="14">
        <v>264357</v>
      </c>
      <c r="D28" s="14">
        <v>7493882</v>
      </c>
      <c r="E28" s="14">
        <v>11916818</v>
      </c>
      <c r="F28" s="14">
        <v>44001</v>
      </c>
      <c r="G28" s="14">
        <v>-3346</v>
      </c>
      <c r="H28" s="20">
        <v>0</v>
      </c>
      <c r="I28" s="14">
        <v>1559015.898</v>
      </c>
      <c r="J28" s="17">
        <v>16.923379443999998</v>
      </c>
      <c r="K28" s="14">
        <v>26503270.265999999</v>
      </c>
    </row>
    <row r="29" spans="1:44" ht="15" customHeight="1" x14ac:dyDescent="0.25">
      <c r="A29" s="13" t="s">
        <v>56</v>
      </c>
      <c r="B29" s="14">
        <v>8344276</v>
      </c>
      <c r="C29" s="14">
        <v>778237</v>
      </c>
      <c r="D29" s="14">
        <v>7375033</v>
      </c>
      <c r="E29" s="14">
        <v>11770168</v>
      </c>
      <c r="F29" s="14">
        <v>52013</v>
      </c>
      <c r="G29" s="14">
        <v>-4233</v>
      </c>
      <c r="H29" s="20">
        <v>0</v>
      </c>
      <c r="I29" s="14">
        <v>1559015.898</v>
      </c>
      <c r="J29" s="17">
        <v>25.982364912000001</v>
      </c>
      <c r="K29" s="14">
        <v>40690314.938000001</v>
      </c>
    </row>
    <row r="30" spans="1:44" ht="15" customHeight="1" x14ac:dyDescent="0.25">
      <c r="A30" s="13" t="s">
        <v>57</v>
      </c>
      <c r="B30" s="14">
        <v>14983606</v>
      </c>
      <c r="C30" s="14">
        <v>297163</v>
      </c>
      <c r="D30" s="14">
        <v>7251432</v>
      </c>
      <c r="E30" s="14">
        <v>13646248</v>
      </c>
      <c r="F30" s="14">
        <v>50714</v>
      </c>
      <c r="G30" s="14">
        <v>-1959</v>
      </c>
      <c r="H30" s="20">
        <v>0</v>
      </c>
      <c r="I30" s="14">
        <v>1852736.7720000001</v>
      </c>
      <c r="J30" s="17">
        <v>19.153283558999998</v>
      </c>
      <c r="K30" s="14">
        <v>35646655.493000001</v>
      </c>
    </row>
    <row r="31" spans="1:44" ht="15" customHeight="1" x14ac:dyDescent="0.25">
      <c r="A31" s="13" t="s">
        <v>58</v>
      </c>
      <c r="B31" s="14">
        <v>14795421</v>
      </c>
      <c r="C31" s="14">
        <v>150538</v>
      </c>
      <c r="D31" s="14">
        <v>7131645</v>
      </c>
      <c r="E31" s="14">
        <v>15974562</v>
      </c>
      <c r="F31" s="14">
        <v>57844</v>
      </c>
      <c r="G31" s="14">
        <v>-7084</v>
      </c>
      <c r="H31" s="20">
        <v>0</v>
      </c>
      <c r="I31" s="14">
        <v>1853319.118</v>
      </c>
      <c r="J31" s="17">
        <v>17.679954055</v>
      </c>
      <c r="K31" s="14">
        <v>32914947.535999998</v>
      </c>
    </row>
    <row r="32" spans="1:44" ht="15" customHeight="1" x14ac:dyDescent="0.25">
      <c r="A32" s="13" t="s">
        <v>59</v>
      </c>
      <c r="B32" s="14">
        <v>15191169</v>
      </c>
      <c r="C32" s="14">
        <v>514940</v>
      </c>
      <c r="D32" s="14">
        <v>6736777</v>
      </c>
      <c r="E32" s="14">
        <v>24781472</v>
      </c>
      <c r="F32" s="14">
        <v>381469</v>
      </c>
      <c r="G32" s="14">
        <v>-39321</v>
      </c>
      <c r="H32" s="20">
        <v>0.10366035744</v>
      </c>
      <c r="I32" s="14">
        <v>1852378.334</v>
      </c>
      <c r="J32" s="17">
        <v>18.546370996</v>
      </c>
      <c r="K32" s="14">
        <v>32774740.810021501</v>
      </c>
    </row>
    <row r="33" spans="1:42" ht="15" customHeight="1" x14ac:dyDescent="0.25">
      <c r="A33" s="13" t="s">
        <v>60</v>
      </c>
      <c r="B33" s="14">
        <v>15671352</v>
      </c>
      <c r="C33" s="14">
        <v>719666</v>
      </c>
      <c r="D33" s="14">
        <v>6626614</v>
      </c>
      <c r="E33" s="14">
        <v>26880140</v>
      </c>
      <c r="F33" s="14"/>
      <c r="G33" s="14"/>
      <c r="H33" s="14"/>
      <c r="I33" s="14"/>
      <c r="J33" s="14"/>
      <c r="K33" s="14">
        <v>40493664.619115502</v>
      </c>
    </row>
    <row r="34" spans="1:42" ht="15" customHeight="1" x14ac:dyDescent="0.25">
      <c r="A34" s="13" t="s">
        <v>61</v>
      </c>
      <c r="B34" s="14">
        <v>14731244</v>
      </c>
      <c r="C34" s="14">
        <v>-959247</v>
      </c>
      <c r="D34" s="14">
        <v>6508361</v>
      </c>
      <c r="E34" s="14">
        <v>28475246</v>
      </c>
      <c r="F34" s="14"/>
      <c r="G34" s="14"/>
      <c r="H34" s="14"/>
      <c r="I34" s="14"/>
      <c r="J34" s="14"/>
      <c r="K34" s="14">
        <v>31642883.594042499</v>
      </c>
    </row>
    <row r="46" spans="1:42" ht="15" customHeight="1" x14ac:dyDescent="0.25">
      <c r="M46" s="46" t="s">
        <v>62</v>
      </c>
      <c r="N46" s="1"/>
      <c r="O46" s="1"/>
      <c r="P46" s="35"/>
      <c r="Q46" s="35"/>
      <c r="R46" s="35"/>
      <c r="S46" s="35">
        <f>-G9/S17</f>
        <v>0</v>
      </c>
      <c r="T46" s="35">
        <f>-G10/T17</f>
        <v>0</v>
      </c>
      <c r="U46" s="35">
        <f>-G11/U17</f>
        <v>5.0236771669754994E-2</v>
      </c>
      <c r="V46" s="35">
        <f>-G12/V17</f>
        <v>0</v>
      </c>
      <c r="W46" s="35">
        <f>-G13/W17</f>
        <v>0</v>
      </c>
      <c r="X46" s="35">
        <f>-G14/X17</f>
        <v>0.24418843995883271</v>
      </c>
      <c r="Y46" s="35">
        <f>-G15/Y17</f>
        <v>0.23558686433252726</v>
      </c>
      <c r="Z46" s="35">
        <f>-G16/Z17</f>
        <v>0.23321062319221667</v>
      </c>
      <c r="AA46" s="35">
        <f>-G17/AA17</f>
        <v>0.23598843189439261</v>
      </c>
      <c r="AB46" s="35">
        <f>-G18/AB17</f>
        <v>0.23565293165691523</v>
      </c>
      <c r="AC46" s="35">
        <f>-G19/AC17</f>
        <v>1.3119767478596025</v>
      </c>
      <c r="AD46" s="35">
        <f>-G20/AD17</f>
        <v>2.7129150210891521E-2</v>
      </c>
      <c r="AE46" s="35">
        <f>-G21/AE17</f>
        <v>0.2303088448427198</v>
      </c>
      <c r="AF46" s="35">
        <f>-G22/AF17</f>
        <v>0.21741567115437288</v>
      </c>
      <c r="AG46" s="35">
        <f>-G23/AG17</f>
        <v>4.2485225266712714</v>
      </c>
      <c r="AH46" s="35">
        <f>-G24/AH17</f>
        <v>-3.5775646249153223E-3</v>
      </c>
      <c r="AI46" s="35">
        <f>-G25/AI17</f>
        <v>-1.2748131761290383E-3</v>
      </c>
      <c r="AJ46" s="35">
        <f>-G26/AJ17</f>
        <v>-7.3079202054118113E-4</v>
      </c>
      <c r="AK46" s="35">
        <f>-G27/AK17</f>
        <v>-7.9330692811159214E-3</v>
      </c>
      <c r="AL46" s="35">
        <f>-G28/AL17</f>
        <v>1.2657126537220502E-2</v>
      </c>
      <c r="AM46" s="35">
        <f>-G29/AM17</f>
        <v>5.4392171022452033E-3</v>
      </c>
      <c r="AN46" s="35">
        <f>-G30/AN17</f>
        <v>6.5923415768450308E-3</v>
      </c>
      <c r="AO46" s="35">
        <f>-G31/AO17</f>
        <v>4.7057885716563261E-2</v>
      </c>
      <c r="AP46" s="35">
        <f>-G32/AP17</f>
        <v>7.6360352662446104E-2</v>
      </c>
    </row>
    <row r="47" spans="1:42" ht="15" customHeight="1" x14ac:dyDescent="0.25">
      <c r="M47" s="39" t="s">
        <v>63</v>
      </c>
      <c r="N47" s="32"/>
      <c r="O47" s="32"/>
      <c r="P47" s="36"/>
      <c r="Q47" s="36"/>
      <c r="R47" s="36"/>
      <c r="S47" s="36">
        <f>-G9/S18</f>
        <v>0</v>
      </c>
      <c r="T47" s="36">
        <f>-G10/T18</f>
        <v>0</v>
      </c>
      <c r="U47" s="36">
        <f>-G11/U18</f>
        <v>2.7768537865979291E-2</v>
      </c>
      <c r="V47" s="36">
        <f>-G12/V18</f>
        <v>0</v>
      </c>
      <c r="W47" s="36">
        <f>-G13/W18</f>
        <v>0</v>
      </c>
      <c r="X47" s="36">
        <f>-G14/X18</f>
        <v>0.24652656673009013</v>
      </c>
      <c r="Y47" s="36">
        <f>-G15/Y18</f>
        <v>0.25709684142359357</v>
      </c>
      <c r="Z47" s="36">
        <f>-G16/Z18</f>
        <v>0.51961896297532062</v>
      </c>
      <c r="AA47" s="36">
        <f>-G17/AA18</f>
        <v>0.21902584065963449</v>
      </c>
      <c r="AB47" s="36">
        <f>-G18/AB18</f>
        <v>0.16573049863121248</v>
      </c>
      <c r="AC47" s="36">
        <f>-G19/AC18</f>
        <v>0.53050668600575246</v>
      </c>
      <c r="AD47" s="36">
        <f>-G20/AD18</f>
        <v>1.7251543591552981E-2</v>
      </c>
      <c r="AE47" s="36">
        <f>-G21/AE18</f>
        <v>0.1074501033372967</v>
      </c>
      <c r="AF47" s="36">
        <f>-G22/AF18</f>
        <v>0.18707572761974811</v>
      </c>
      <c r="AG47" s="36">
        <f>-G23/AG18</f>
        <v>0.19781058866924225</v>
      </c>
      <c r="AH47" s="36">
        <f>-G24/AH18</f>
        <v>-4.1699442624175955E-3</v>
      </c>
      <c r="AI47" s="36">
        <f>-G25/AI18</f>
        <v>-1.1387247359650578E-3</v>
      </c>
      <c r="AJ47" s="36">
        <f>-G26/AJ18</f>
        <v>-5.9445923428374505E-4</v>
      </c>
      <c r="AK47" s="36">
        <f>-G27/AK18</f>
        <v>-2.9682993662907406E-3</v>
      </c>
      <c r="AL47" s="36">
        <f>-G28/AL18</f>
        <v>8.0746474950457725E-3</v>
      </c>
      <c r="AM47" s="36">
        <f>-G29/AM18</f>
        <v>7.0129636530955244E-3</v>
      </c>
      <c r="AN47" s="36">
        <f>-G30/AN18</f>
        <v>-3.7599264084360964E-3</v>
      </c>
      <c r="AO47" s="36">
        <f>-G31/AO18</f>
        <v>-4.8365079004830513E-3</v>
      </c>
      <c r="AP47" s="36">
        <f>-G32/AP18</f>
        <v>-9.8901029785640429E-2</v>
      </c>
    </row>
    <row r="48" spans="1:42" ht="15" customHeight="1" x14ac:dyDescent="0.25">
      <c r="M48" s="39" t="s">
        <v>64</v>
      </c>
      <c r="N48" s="32"/>
      <c r="O48" s="32"/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50">
        <v>0</v>
      </c>
      <c r="AH48" s="50">
        <v>0</v>
      </c>
      <c r="AI48" s="50">
        <v>0</v>
      </c>
      <c r="AJ48" s="50">
        <v>0</v>
      </c>
      <c r="AK48" s="50">
        <v>0</v>
      </c>
      <c r="AL48" s="37">
        <v>0</v>
      </c>
      <c r="AM48" s="37">
        <v>0</v>
      </c>
      <c r="AN48" s="37">
        <v>0</v>
      </c>
      <c r="AO48" s="37">
        <v>0</v>
      </c>
      <c r="AP48" s="37">
        <v>0.10366035744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R49"/>
  <sheetViews>
    <sheetView showGridLines="0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9" width="15.28515625" customWidth="1"/>
    <col min="20" max="22" width="16.28515625" customWidth="1"/>
    <col min="23" max="23" width="14.28515625" customWidth="1"/>
    <col min="24" max="30" width="15.28515625" customWidth="1"/>
    <col min="31" max="31" width="11" customWidth="1"/>
    <col min="32" max="42" width="15.28515625" customWidth="1"/>
    <col min="43" max="43" width="15.5703125" customWidth="1"/>
    <col min="44" max="44" width="14.7109375" customWidth="1"/>
  </cols>
  <sheetData>
    <row r="1" spans="1:44" ht="15" customHeight="1" x14ac:dyDescent="0.25">
      <c r="A1" s="6" t="s">
        <v>101</v>
      </c>
      <c r="M1" t="s">
        <v>1</v>
      </c>
      <c r="N1" s="7">
        <v>0.1091</v>
      </c>
    </row>
    <row r="2" spans="1:44" ht="15" customHeight="1" x14ac:dyDescent="0.25">
      <c r="A2" s="6"/>
    </row>
    <row r="3" spans="1:44" ht="15" customHeight="1" x14ac:dyDescent="0.25">
      <c r="M3" s="2" t="s">
        <v>102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4">
        <v>15631175.544</v>
      </c>
      <c r="J5" s="17">
        <v>6.2649725407000006E-2</v>
      </c>
      <c r="K5" s="14">
        <v>100039.52338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4">
        <v>1218194</v>
      </c>
      <c r="C6" s="14">
        <v>62478</v>
      </c>
      <c r="D6" s="15">
        <v>0</v>
      </c>
      <c r="E6" s="14">
        <v>1471233</v>
      </c>
      <c r="F6" s="15">
        <v>0</v>
      </c>
      <c r="G6" s="15">
        <v>0</v>
      </c>
      <c r="H6" s="20">
        <v>4.9302139806999996</v>
      </c>
      <c r="I6" s="14">
        <v>44016618</v>
      </c>
      <c r="J6" s="17">
        <v>0.10562585047</v>
      </c>
      <c r="K6" s="14">
        <v>377166.18703999999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4">
        <v>1662464</v>
      </c>
      <c r="C7" s="14">
        <v>134996</v>
      </c>
      <c r="D7" s="15">
        <v>0</v>
      </c>
      <c r="E7" s="14">
        <v>1705684</v>
      </c>
      <c r="F7" s="15">
        <v>0</v>
      </c>
      <c r="G7" s="16">
        <v>-54228</v>
      </c>
      <c r="H7" s="20">
        <v>4.8455896125000004</v>
      </c>
      <c r="I7" s="14">
        <v>56746000</v>
      </c>
      <c r="J7" s="17">
        <v>0.17879169642000001</v>
      </c>
      <c r="K7" s="14">
        <v>828018.59149999998</v>
      </c>
      <c r="M7" s="1" t="s">
        <v>20</v>
      </c>
      <c r="N7" s="1"/>
      <c r="O7" s="5"/>
      <c r="P7" s="4">
        <f>((D5+E5)*P5)</f>
        <v>0</v>
      </c>
      <c r="Q7" s="4">
        <f>((D6+E6+P7+P8)*Q5)</f>
        <v>80469.324332279997</v>
      </c>
      <c r="R7" s="4">
        <f>((D7+E7+Q7+P7+P8+Q8)*R5)</f>
        <v>30919.117385015848</v>
      </c>
      <c r="S7" s="4">
        <f>((D8+E8+R7+Q7+P7+SUM($P$8:R8))*S5)</f>
        <v>187981.60362670626</v>
      </c>
      <c r="T7" s="4">
        <f>((D9+E9+S7+R7+Q7+P7+SUM($P$8:S8))*T5)</f>
        <v>243981.85022029691</v>
      </c>
      <c r="U7" s="4">
        <f>((D10+E10+T7+S7+R7+Q7+P7+SUM($P$8:T8))*U5)</f>
        <v>349259.41421994171</v>
      </c>
      <c r="V7" s="4">
        <f>((D11+E11+U7+T7+S7+R7+Q7+P7+SUM($P$8:U8))*V5)</f>
        <v>869216.91483524034</v>
      </c>
      <c r="W7" s="4">
        <f>((D12+E12+V7+U7+T7+S7+R7+Q7+P7+SUM($P$8:V8))*W5)</f>
        <v>902831.19100486184</v>
      </c>
      <c r="X7" s="4">
        <f>((D13+E13+W7+V7+U7+T7+S7+R7+Q7+P7+SUM($P$8:W8))*X5)</f>
        <v>789027.12728845002</v>
      </c>
      <c r="Y7" s="4">
        <f>((D14+E14+X7+W7+V7+U7+T7+S7+R7+Q7+P7+SUM($P$8:X8))*Y5)</f>
        <v>668031.56270411285</v>
      </c>
      <c r="Z7" s="4">
        <f>((E14+F14+Y7+X7+W7+V7+U7+T7+S7+R7+Q7+P7+SUM($P$8:Y8))*Z5)</f>
        <v>390310.71178766078</v>
      </c>
      <c r="AA7" s="4">
        <f>((D16+E16+Z7+Y7+X7+W7+V7+U7+T7+S7+R7+P7+Q7+SUM($P$8:Z8))*AA5)</f>
        <v>717565.14176391368</v>
      </c>
      <c r="AB7" s="4">
        <f>((D17+E17+AA7+Z7+Y7+X7+W7+V7+U7+T7+S7+P7+Q7+R7+SUM($P$8:AA8))*AB5)</f>
        <v>1271705.4935715899</v>
      </c>
      <c r="AC7" s="4">
        <f>((D18+E18+AB7+AA7+Z7+Y7+X7+W7+V7+U7+T7+S7+R7+Q7+P7+SUM($P$8:AB8))*AC5)</f>
        <v>1171351.5249665317</v>
      </c>
      <c r="AD7" s="4">
        <f>((D19+E19+AC7+AB7+AA7+Z7+Y7+X7+W7+V7+U7+T7+S7+R7+Q7+P7+SUM($P$8:AC8))*AD5)</f>
        <v>1474758.3826336646</v>
      </c>
      <c r="AE7" s="4">
        <f>((D20+E20+AD7+AC7+AB7+AA7+Z7+Y7+X7+W7+V7+U7+T7+S7+R7+Q7+P7+SUM($P$8:AD8))*AE5)</f>
        <v>2305098.9907978671</v>
      </c>
      <c r="AF7" s="4">
        <f>((E20+F20+AE7+AD7+AC7+AB7+AA7+Z7+Y7+X7+W7+V7+U7+T7+S7+R7+Q7+P7+SUM($P$8:AE8))*AF5)</f>
        <v>1739668.7941669866</v>
      </c>
      <c r="AG7" s="4">
        <f>((D22+E22+AF7+AE7+AD7+AC7+AB7+AA7+Z7+Y7+X7+W7+V7+U7+T7+R7+S7+Q7+P7+SUM($P$8:AF8))*AG5)</f>
        <v>2674844.7842438873</v>
      </c>
      <c r="AH7" s="4">
        <f>((E22+F22+AG7+AF7+AE7+AD7+AC7+AB7+AA7+Z7+Y7+X7+W7+V7+U7+S7+T7+R7+Q7+P7+SUM($P$8:AG8))*AH5)</f>
        <v>2440451.1109576719</v>
      </c>
      <c r="AI7" s="4">
        <f>((F22+G22+AH7+AG7+AF7+AE7+AD7+AC7+AB7+AA7+Z7+Y7+X7+W7+V7+T7+U7+S7+R7+Q7+P7+SUM($P$8:AH8))*AI5)</f>
        <v>2172704.4330054773</v>
      </c>
      <c r="AJ7" s="4">
        <f>((G22+H22+AI7+AH7+AG7+AF7+AE7+AD7+AC7+AB7+AA7+Z7+Y7+X7+W7+U7+V7+T7+S7+R7+Q7+P7+SUM($P$8:AI8))*AJ5)</f>
        <v>1338562.7613212194</v>
      </c>
      <c r="AK7" s="4">
        <f>((H22+I22+AJ7+AI7+AH7+AG7+AF7+AE7+AD7+AC7+AB7+AA7+Z7+Y7+X7+V7+W7+U7+T7+S7+R7+Q7+P7+SUM($P$8:AJ8))*AK5)</f>
        <v>723956.73076145106</v>
      </c>
      <c r="AL7" s="4">
        <f>((D27+E27+AK7+AJ7+AI7+AH7+AG7+AF7+AE7+AD7+AC7++AB7+AA7+Z7+Y7+X7+W7+V7+U7+T7+S7+R7+Q7+P7+SUM($P$8:AK8))*AL5)</f>
        <v>1830002.0808316811</v>
      </c>
      <c r="AM7" s="4">
        <f>((E27+F27+AL7+AK7+AJ7+AI7+AH7+AG7+AF7+AE7+AD7++AC7+AB7+AA7+Z7+Y7+X7+W7+V7+U7+T7+S7+R7+Q7+P7+SUM($P$8:AL8))*AM5)</f>
        <v>1855483.0347043073</v>
      </c>
      <c r="AN7" s="4">
        <f>((F27+G27+AM7+AL7+AK7+AJ7+AI7+AH7+AG7+AF7+AE7++AD7+AC7+AB7+AA7+Z7+Y7+X7+W7+V7+U7+T7+S7+R7+Q7+P7+SUM($P$8:AM8))*AN5)</f>
        <v>1283887.4540797926</v>
      </c>
      <c r="AO7" s="4">
        <f>((G27+H27+AN7+AM7+AL7+AK7+AJ7+AI7+AH7+AG7+AF7++AE7+AD7+AC7+AB7+AA7+Z7+Y7+X7+W7+V7+U7+T7+S7+R7+Q7+P7+SUM($P$8:AN8))*AO5)</f>
        <v>2866895.4864158547</v>
      </c>
      <c r="AP7" s="4">
        <f>((H27+I27+AO7+AN7+AM7+AL7+AK7+AJ7+AI7+AH7+AG7++AF7+AE7+AD7+AC7+AB7+AA7+Z7+Y7+X7+W7+V7+U7+T7+S7+R7+Q7+P7+SUM($P$8:AO8))*AP5)</f>
        <v>1925079.7154408726</v>
      </c>
      <c r="AQ7" s="4">
        <f>((I27+J27+AP7+AO7+AN7+AM7+AL7+AK7+AJ7+AI7+AH7++AG7+AF7+AE7+AD7+AC7+AB7+AA7+Z7+Y7+X7+W7+V7+U7+T7+S7+R7+Q7+P7+SUM($P$8:AP8))*AQ5)</f>
        <v>1610645.6361655779</v>
      </c>
      <c r="AR7" s="4">
        <f>((J27+K27+AQ7+AP7+AO7+AN7+AM7+AL7+AK7+AJ7+AI7++AH7+AG7+AF7+AE7+AD7+AC7+AB7+AA7+Z7+Y7+X7+W7+V7+U7+T7+S7+R7+Q7+P7+SUM($P$8:AQ8))*AR5)</f>
        <v>2633641.1036112895</v>
      </c>
    </row>
    <row r="8" spans="1:44" ht="15" customHeight="1" x14ac:dyDescent="0.25">
      <c r="A8" s="13" t="s">
        <v>21</v>
      </c>
      <c r="B8" s="14">
        <v>1812259</v>
      </c>
      <c r="C8" s="14">
        <v>190293</v>
      </c>
      <c r="D8" s="15">
        <v>0</v>
      </c>
      <c r="E8" s="14">
        <v>1913148</v>
      </c>
      <c r="F8" s="15">
        <v>0</v>
      </c>
      <c r="G8" s="16">
        <v>-59964</v>
      </c>
      <c r="H8" s="20">
        <v>17.206445185</v>
      </c>
      <c r="I8" s="14">
        <v>56512724</v>
      </c>
      <c r="J8" s="17">
        <v>0.13078967230999999</v>
      </c>
      <c r="K8" s="14">
        <v>536181.91628999996</v>
      </c>
      <c r="M8" s="1" t="s">
        <v>22</v>
      </c>
      <c r="N8" s="1"/>
      <c r="O8" s="4"/>
      <c r="P8" s="4">
        <f>((D6+E6)-(D5+E5))*(P5^1/2)</f>
        <v>70324.93740000001</v>
      </c>
      <c r="Q8" s="4">
        <f>((D7+E7)-(D6+E6))*(Q5^1/2)</f>
        <v>6119.1711000000005</v>
      </c>
      <c r="R8" s="4">
        <f>((D8+E8)-(D7+E7))*(R5^1/2)</f>
        <v>1721.9512</v>
      </c>
      <c r="S8" s="4">
        <f>((D9+E9)-(D8+E8))*(S5^1/2)</f>
        <v>76851.056099999987</v>
      </c>
      <c r="T8" s="4">
        <f>((D10+E10)-(D9+E9))*(T5^1/2)</f>
        <v>6457.7490000000007</v>
      </c>
      <c r="U8" s="4">
        <f>((D11+E11)-(D10+E10))*(U5^1/2)</f>
        <v>75132.13695</v>
      </c>
      <c r="V8" s="4">
        <f>((D12+E12)-(D11+E11))*(V5^1/2)</f>
        <v>112109.0425</v>
      </c>
      <c r="W8" s="4">
        <f>((D13+E13)-(D12+E12))*(W5^1/2)</f>
        <v>-10164.574500000001</v>
      </c>
      <c r="X8" s="4">
        <f>((D14+E14)-(D13+E13))*(X5^1/2)</f>
        <v>20848.243999999999</v>
      </c>
      <c r="Y8" s="4">
        <f>((D15+E15)-(D14+E14))*(Y5^1/2)</f>
        <v>21796.626100000001</v>
      </c>
      <c r="Z8" s="4">
        <f>((E15+F15)-(E14+F14))*(Z5^1/2)</f>
        <v>12028.366599999999</v>
      </c>
      <c r="AA8" s="4">
        <f>((D17+E17)-(D16+E16))*(AA5^1/2)</f>
        <v>103567.73390000001</v>
      </c>
      <c r="AB8" s="4">
        <f>((D18+E18)-(D17+E17))*(AB5^1/2)</f>
        <v>124690.68849999999</v>
      </c>
      <c r="AC8" s="4">
        <f>((D19+E19)-(D18+E18))*(AC5^1/2)</f>
        <v>-71624.571299999996</v>
      </c>
      <c r="AD8" s="4">
        <f>((D20+E20)-(D19+E19))*(AD5/2)</f>
        <v>259312.47899999999</v>
      </c>
      <c r="AE8" s="4">
        <f>((D21+E21)-(D20+E20))*(AE5^1/2)</f>
        <v>72087.827499999999</v>
      </c>
      <c r="AF8" s="4">
        <f>((D22+E22)-(D21+E21))*(AF5^1/2)</f>
        <v>98212.01</v>
      </c>
      <c r="AG8" s="4">
        <f>((D23+E23)-(D22+E22))*(AG5^1/2)</f>
        <v>94029.429749999996</v>
      </c>
      <c r="AH8" s="4">
        <f>((D24+E24)-(D23+E23))*(AH5^1/2)</f>
        <v>62986.358650000002</v>
      </c>
      <c r="AI8" s="4">
        <f>((D25+E25)-(D24+E24))*(AI5^1/2)</f>
        <v>187217.2071</v>
      </c>
      <c r="AJ8" s="4">
        <f>((D26+E26)-(D25+E25))*(AJ5^1/2)</f>
        <v>-302003.94004999998</v>
      </c>
      <c r="AK8" s="4">
        <f>((D27+E27)-(D26+E26))*(AK5/2)</f>
        <v>-71314.40625</v>
      </c>
      <c r="AL8" s="4">
        <f>((D28+E28)-(D27+E27))*(AL5^1/2)</f>
        <v>3524.8874999999998</v>
      </c>
      <c r="AM8" s="4">
        <f>((D29+E29)-(D28+E28))*(AM5^1/2)</f>
        <v>28584.200150000001</v>
      </c>
      <c r="AN8" s="4">
        <f>((D30+E30)-(D29+E29))*(AN5^1/2)</f>
        <v>89788.511799999993</v>
      </c>
      <c r="AO8" s="4">
        <f>((D31+E31)-(D30+E30))*(AO5^1/2)</f>
        <v>87848.648199999996</v>
      </c>
      <c r="AP8" s="4">
        <f>((D32+E32)-(D31+E31))*(AP5^1/2)</f>
        <v>-310982.28960000002</v>
      </c>
      <c r="AQ8" s="4">
        <f>((D32+E32)-(D31+E31))*(AQ5^1/2)</f>
        <v>-248141.3088</v>
      </c>
      <c r="AR8" s="4">
        <f>((E32+F32)-(E31+F31))*(AR5^1/2)</f>
        <v>56410.12545</v>
      </c>
    </row>
    <row r="9" spans="1:44" ht="15" customHeight="1" x14ac:dyDescent="0.25">
      <c r="A9" s="13" t="s">
        <v>23</v>
      </c>
      <c r="B9" s="14">
        <v>2063098</v>
      </c>
      <c r="C9" s="14">
        <v>352751</v>
      </c>
      <c r="D9" s="15">
        <v>0</v>
      </c>
      <c r="E9" s="14">
        <v>3632411</v>
      </c>
      <c r="F9" s="15">
        <v>0</v>
      </c>
      <c r="G9" s="16">
        <v>-69440</v>
      </c>
      <c r="H9" s="20">
        <v>3.7147916344</v>
      </c>
      <c r="I9" s="14">
        <v>56745853</v>
      </c>
      <c r="J9" s="17">
        <v>0.72907446895000005</v>
      </c>
      <c r="K9" s="14">
        <v>2428435.8059</v>
      </c>
      <c r="M9" s="1" t="s">
        <v>24</v>
      </c>
      <c r="N9" s="1"/>
      <c r="O9" s="4"/>
      <c r="P9" s="4">
        <f>+B5*P5</f>
        <v>0</v>
      </c>
      <c r="Q9" s="4">
        <f>+(B6+P9+P10+P14)*Q5</f>
        <v>67260.688532280008</v>
      </c>
      <c r="R9" s="4">
        <f>+(B7+Q9+P9+P10+Q10+P14+Q14)*R5</f>
        <v>30067.654371933346</v>
      </c>
      <c r="S9" s="4">
        <f>+(B8+R9+Q9+P9+P10+Q10+R10+P14+Q14+R14)*S5</f>
        <v>176648.13872808072</v>
      </c>
      <c r="T9" s="4">
        <f>+(B9+S9+R9+Q9+P9+P10+Q10+R10+S10+P14+Q14+R14+S14)*T5</f>
        <v>147358.66010976172</v>
      </c>
      <c r="U9" s="4">
        <f>+(B10+T9+S9+R9+Q9+P9+P10+Q10+R10+S10+T10+P14+Q14+R14+S14+T14)*U5</f>
        <v>227459.78498062957</v>
      </c>
      <c r="V9" s="4">
        <f>+(B11+U9+T9+S9+R9+Q9+P9+P10+Q10+R10+S10+T10+U10+P14+Q14+R14+S14+T14+U14)*V5</f>
        <v>453782.85054837761</v>
      </c>
      <c r="W9" s="4">
        <f>+(B12+V9+U9+T9+S9+R9+Q9+P9+P10+Q10+R10+S10+T10+U10+V10+P14+Q14+R14+S14+T14+U14+V14)*W5</f>
        <v>470409.44027489761</v>
      </c>
      <c r="X9" s="4">
        <f>+(B13+W9+V9+U9+T9+S9+R9+Q9+P9+P10+Q10+R10+S10+T10+U10+V10+W10+P14+Q14+R14+S14+T14+U14+V14+W14)*X5</f>
        <v>494199.93880650599</v>
      </c>
      <c r="Y9" s="4">
        <f>+(B14+X9+W9+V9+U9+T9+S9+R9+Q9+P9+P10+Q10+R10+S10+T10+U10+V10+W10+X10+P14+Q14+R14+S14+T14+U14+V14+W14+X14)*Y5</f>
        <v>503466.36120852793</v>
      </c>
      <c r="Z9" s="4">
        <f>+(B15+Y9+X9+W9+V9+U9+T9+S9+R9+Q9+P9+P10+Q10+R10+S10+T10+U10+V10+W10+X10+Y10+P14+Q14+R14+S14+T14+U14+V14+W14+X14+Y14)*Z5</f>
        <v>344772.88231537433</v>
      </c>
      <c r="AA9" s="4">
        <f>+(B16+Z9+Y9+X9+W9+V9+U9+T9+S9+R9+Q9+P9+P10+Q10+R10+S10+T10+U10+V10+W10+X10+Y10+Z10+P14+Q14+R14+S14+T14+U14+V14+W14+X14+Y14+Z14)*AA5</f>
        <v>565718.45785818389</v>
      </c>
      <c r="AB9" s="4">
        <f>+(B17+AA9+Z9+Y9+X9+W9+V9+U9+T9+S9+R9+Q9+P9+P10+Q10+R10+S10+T10+U10+V10+W10+X10+Y10+Z10+AA10+P14+Q14+R14+S14+T14+U14+V14+W14+X14+Y14+Z14+AA14)*AB5</f>
        <v>917992.3287461641</v>
      </c>
      <c r="AC9" s="4">
        <f>+(B18+AB9+AA9+Z9+Y9+X9+W9+V9+U9+T9+S9+R9+Q9+P9+P10+Q10+R10+S10+T10+U10+V10+W10+X10+Y10+Z10+AA10+AB10+P14+Q14+R14+S14+T14+U14+V14+W14+X14+Y14+Z14+AA14+AB14)*AC5</f>
        <v>1016284.4327362475</v>
      </c>
      <c r="AD9" s="4">
        <f>+(B19+AC9+AB9+AA9+Z9+Y9+X9+W9+V9+U9+T9+S9+R9+Q9+P9+P10+Q10+R10+S10+T10+U10+V10+W10+X10+Y10+Z10+AA10+AB10+AC10+P14+Q14+R14+S14+T14+U14+V14+W14+X14+Y14+Z14+AA14+AB14+AC14)*AD5</f>
        <v>1299951.8702358215</v>
      </c>
      <c r="AE9" s="4">
        <f>+(B20+AD9+AC9+AB9+AA9+Z9+Y9+X9+W9+V9+U9+T9+S9+R9+Q9+P9+P10+Q10+R10+S10+T10+U10+V10+W10+X10+Y10+Z10+AA10+AB10+AC10+AD10+P14+Q14+S14++R14+T14+U14+V14+W14+X14+Y14+Z14+AA14+AB14+AC14+AD14)*AE5</f>
        <v>1526241.3355312315</v>
      </c>
      <c r="AF9" s="4">
        <f>+(B21+AE9+AD9+AC9+AB9+AA9+Z9+Y9+X9+W9+V9+U9+T9+S9+R9+Q9+P9+P10+Q10+R10+S10+T10+U10+V10+W10+X10+Y10+Z10+AA10+AB10+AC10+AD10+AE10+P14+Q14+R14+S14+T14+U14+V14+W14+X14+Y14+Z14+AA14+AB14+AC14+AD14+AE14)*AF5</f>
        <v>1745714.2119565832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1898542.6515116375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2295453.447311582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4005375.5280671301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2274647.1692199367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762704.14391379873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832635.5794396986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947751.73764128343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930236.06246714143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2104406.0580073483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1738108.1672057773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1334218.561661354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1278162.1817124356</v>
      </c>
    </row>
    <row r="10" spans="1:44" ht="15" customHeight="1" x14ac:dyDescent="0.25">
      <c r="A10" s="13" t="s">
        <v>25</v>
      </c>
      <c r="B10" s="14">
        <v>2365207</v>
      </c>
      <c r="C10" s="14">
        <v>392942</v>
      </c>
      <c r="D10" s="15">
        <v>0</v>
      </c>
      <c r="E10" s="14">
        <v>3848751</v>
      </c>
      <c r="F10" s="15">
        <v>0</v>
      </c>
      <c r="G10" s="16">
        <v>-113825</v>
      </c>
      <c r="H10" s="20">
        <v>2.4005662623999999</v>
      </c>
      <c r="I10" s="14">
        <v>113491706</v>
      </c>
      <c r="J10" s="17">
        <v>0.55233900674000003</v>
      </c>
      <c r="K10" s="14">
        <v>1752563.3526000001</v>
      </c>
      <c r="M10" s="22" t="s">
        <v>26</v>
      </c>
      <c r="N10" s="22"/>
      <c r="O10" s="23"/>
      <c r="P10" s="23">
        <f>((B6-B5)*(P5^1/2))</f>
        <v>58229.673200000005</v>
      </c>
      <c r="Q10" s="23">
        <f>((B7-B6)*(Q5^1/2))</f>
        <v>11595.447</v>
      </c>
      <c r="R10" s="23">
        <f>((B8-B7)*(R5/2))</f>
        <v>1243.2985000000001</v>
      </c>
      <c r="S10" s="23">
        <f>((B9-B8)*(S5/2))</f>
        <v>11212.503299999998</v>
      </c>
      <c r="T10" s="23">
        <f>((B10-B9)*(T5^1/2))</f>
        <v>9017.9536500000013</v>
      </c>
      <c r="U10" s="23">
        <f>((B11-B10)*(U5^1/2))</f>
        <v>12293.1692</v>
      </c>
      <c r="V10" s="23">
        <f>((B12-B11)*(V5^1/2))</f>
        <v>38057.807549999998</v>
      </c>
      <c r="W10" s="23">
        <f>((B13-B12)*(W5/2))</f>
        <v>38835.404999999999</v>
      </c>
      <c r="X10" s="23">
        <f>((B14-B13)*(X5/2))</f>
        <v>73927.48</v>
      </c>
      <c r="Y10" s="23">
        <f>((B15-B14)*(Y5/2))</f>
        <v>55998.988499999999</v>
      </c>
      <c r="Z10" s="23">
        <f>((B16-B15)*(Z5/2))</f>
        <v>30182.496399999996</v>
      </c>
      <c r="AA10" s="23">
        <f>((B17-B16)*(AA5/2))</f>
        <v>61277.434099999999</v>
      </c>
      <c r="AB10" s="23">
        <f>((B18-B17)*(AB5^1/2))</f>
        <v>219892.91149999999</v>
      </c>
      <c r="AC10" s="23">
        <f>((B19-B18)*(AC5^1/2))</f>
        <v>-35752.074950000002</v>
      </c>
      <c r="AD10" s="23">
        <f>((B20-B19)*(AD5/2))</f>
        <v>28455.733950000002</v>
      </c>
      <c r="AE10" s="23">
        <f>((B21-B20)*(AE5^1/2))</f>
        <v>179628.3775</v>
      </c>
      <c r="AF10" s="23">
        <f>((B22-B21)*(AF5^1/2))</f>
        <v>65645.542000000001</v>
      </c>
      <c r="AG10" s="23">
        <f>((B23-B22)*(AG5/2))</f>
        <v>91412.186249999999</v>
      </c>
      <c r="AH10" s="23">
        <f>((B24-B23)*(AH5/2))</f>
        <v>59668.767000000007</v>
      </c>
      <c r="AI10" s="23">
        <f>((B25-B24)*(AI5^1/2))</f>
        <v>-27476.210300000002</v>
      </c>
      <c r="AJ10" s="23">
        <f>((B26-B25)*(AJ5/2))</f>
        <v>-240833.56425</v>
      </c>
      <c r="AK10" s="23">
        <f>((B27-B26)*(AK5/2))</f>
        <v>-5648.2912499999993</v>
      </c>
      <c r="AL10" s="23">
        <f>((B28-B27)*(AL5^1/2))</f>
        <v>39101.306250000001</v>
      </c>
      <c r="AM10" s="23">
        <f>((B29-B28)*(AM5/2))</f>
        <v>26400.840349999999</v>
      </c>
      <c r="AN10" s="23">
        <f>((B30-B29)*(AN5/2))</f>
        <v>88243.281999999992</v>
      </c>
      <c r="AO10" s="23">
        <f>((B31-B30)*(AO5/2))</f>
        <v>590723.75329999998</v>
      </c>
      <c r="AP10" s="23">
        <f>((B32-B31)*(AP5^1/2))</f>
        <v>101669.8524</v>
      </c>
      <c r="AQ10" s="23">
        <f>((C32-C31)*(AQ5/2))</f>
        <v>-93984.636899999998</v>
      </c>
      <c r="AR10" s="23">
        <f>((D32-D31)*(AR5^1/2))</f>
        <v>-302409.39120000001</v>
      </c>
    </row>
    <row r="11" spans="1:44" ht="15" customHeight="1" x14ac:dyDescent="0.25">
      <c r="A11" s="13" t="s">
        <v>27</v>
      </c>
      <c r="B11" s="14">
        <v>2685759</v>
      </c>
      <c r="C11" s="14">
        <v>464006</v>
      </c>
      <c r="D11" s="15">
        <v>0</v>
      </c>
      <c r="E11" s="14">
        <v>5807868</v>
      </c>
      <c r="F11" s="15">
        <v>0</v>
      </c>
      <c r="G11" s="16">
        <v>-137848</v>
      </c>
      <c r="H11" s="20">
        <v>5.7314193295999996</v>
      </c>
      <c r="I11" s="14">
        <v>113491706</v>
      </c>
      <c r="J11" s="17">
        <v>0.70934945289999995</v>
      </c>
      <c r="K11" s="14">
        <v>2198448.1589000002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4">
        <v>3293226</v>
      </c>
      <c r="C12" s="14">
        <v>798688</v>
      </c>
      <c r="D12" s="15">
        <v>0</v>
      </c>
      <c r="E12" s="14">
        <v>7597318</v>
      </c>
      <c r="F12" s="15">
        <v>0</v>
      </c>
      <c r="G12" s="16">
        <v>-210675</v>
      </c>
      <c r="H12" s="20">
        <v>5.3422575180000003</v>
      </c>
      <c r="I12" s="14">
        <v>114118471</v>
      </c>
      <c r="J12" s="17">
        <v>1.23237972</v>
      </c>
      <c r="K12" s="14">
        <v>3438305.6164000002</v>
      </c>
      <c r="M12" s="1" t="s">
        <v>30</v>
      </c>
      <c r="N12" s="1"/>
      <c r="O12" s="1"/>
      <c r="P12" s="4">
        <v>0</v>
      </c>
      <c r="Q12" s="24">
        <f>-($P$7+$P$8)*$N$1</f>
        <v>-7672.4506703400011</v>
      </c>
      <c r="R12" s="24">
        <f>-((($P$7+$P$8)*(1+Q5))+($Q$7+$Q$8))*N1</f>
        <v>-17519.757446993499</v>
      </c>
      <c r="S12" s="24">
        <f>-((($P$7+$P$8)*(1+Q5)*(1+R5))+(($Q$7+$Q$8)*(1+R5))+((R7+R8)))*$N$1</f>
        <v>-21371.726003238819</v>
      </c>
      <c r="T12" s="24">
        <f>-((($P$7+$P$8)*(1+R5)*(1+S5)*(1+Q5))+(($Q$7+$Q$8)*(1+S5)*(1+R5))+((R7+R8)*(1+S5))+((S7+S8)))*$N$1</f>
        <v>-52175.601484112012</v>
      </c>
      <c r="U12" s="24">
        <f>-((($P$7+$P$8)*(1+T5)*(1+R5)*(1+S5)*(1+Q5))+(($Q$7+$Q$8)*(1+T5)*(1+S5)*(1+R5))+((R7+R8)*(1+S5)*(1+T5))+((S7+S8)*(1+T5))+(T7+T8))*$N$1</f>
        <v>-82613.445167647908</v>
      </c>
      <c r="V12" s="24">
        <f>-((($P$7+$P$8)*(1+U5)*(1+S5)*(1+T5)*(1+R5)*(1+Q5))+(($Q$7+$Q$8)*(1+U5)*(1+T5)*(1+S5)*(1+R5))+(($R$7+$R$8)*(1+U5)*(1+T5)*(1+S5))+((S7+S8)*(1+T5)*(1+U5))+((T7+T8)*(1+U5))+(U7+U8))*$N$1</f>
        <v>-135251.01464464716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-259260.62872489615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-380761.79505699192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-498057.09448889334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-601656.79856383987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-664444.01549083833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-783663.81531666266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-982246.80388435628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-1144561.8517767906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-1401392.5882210312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-1751834.1883316957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-2054654.1006648852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-2478168.3347609127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-2910143.9529532846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-3469214.5373513023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-3808129.8033763394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-3983562.3506705561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-4331626.7435510242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-4726502.6228520982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-5086466.5537018357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-5923016.4566311529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-6424654.7936277911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-6293256.9772124607</v>
      </c>
    </row>
    <row r="13" spans="1:44" ht="15" customHeight="1" x14ac:dyDescent="0.25">
      <c r="A13" s="13" t="s">
        <v>31</v>
      </c>
      <c r="B13" s="14">
        <v>4128396</v>
      </c>
      <c r="C13" s="14">
        <v>1137216</v>
      </c>
      <c r="D13" s="15">
        <v>0</v>
      </c>
      <c r="E13" s="14">
        <v>7378725</v>
      </c>
      <c r="F13" s="15">
        <v>0</v>
      </c>
      <c r="G13" s="16">
        <v>-407910</v>
      </c>
      <c r="H13" s="20">
        <v>4.3411906533</v>
      </c>
      <c r="I13" s="14">
        <v>148009</v>
      </c>
      <c r="J13" s="17">
        <v>3.1019263265000001</v>
      </c>
      <c r="K13" s="14">
        <v>8393780.6199999992</v>
      </c>
      <c r="M13" t="s">
        <v>32</v>
      </c>
      <c r="P13">
        <v>0</v>
      </c>
      <c r="Q13" s="24">
        <f t="shared" ref="Q13:AR13" si="0">Q12*Q5</f>
        <v>-400.50192499174807</v>
      </c>
      <c r="R13" s="24">
        <f t="shared" si="0"/>
        <v>-290.82797362009211</v>
      </c>
      <c r="S13" s="24">
        <f t="shared" si="0"/>
        <v>-1910.6323046895502</v>
      </c>
      <c r="T13" s="24">
        <f t="shared" si="0"/>
        <v>-3114.8834086014872</v>
      </c>
      <c r="U13" s="24">
        <f t="shared" si="0"/>
        <v>-6336.4512443585945</v>
      </c>
      <c r="V13" s="24">
        <f t="shared" si="0"/>
        <v>-16946.95213497429</v>
      </c>
      <c r="W13" s="24">
        <f t="shared" si="0"/>
        <v>-24111.238471415341</v>
      </c>
      <c r="X13" s="24">
        <f t="shared" si="0"/>
        <v>-28937.896424331386</v>
      </c>
      <c r="Y13" s="24">
        <f t="shared" si="0"/>
        <v>-28339.448676418029</v>
      </c>
      <c r="Z13" s="24">
        <f t="shared" si="0"/>
        <v>-18892.02347490457</v>
      </c>
      <c r="AA13" s="24">
        <f t="shared" si="0"/>
        <v>-29634.203090891391</v>
      </c>
      <c r="AB13" s="24">
        <f t="shared" si="0"/>
        <v>-46236.165103683095</v>
      </c>
      <c r="AC13" s="24">
        <f t="shared" si="0"/>
        <v>-42334.837247415759</v>
      </c>
      <c r="AD13" s="24">
        <f t="shared" si="0"/>
        <v>-67643.605440008323</v>
      </c>
      <c r="AE13" s="24">
        <f t="shared" si="0"/>
        <v>-91090.518234367031</v>
      </c>
      <c r="AF13" s="24">
        <f t="shared" si="0"/>
        <v>-102307.11659857102</v>
      </c>
      <c r="AG13" s="24">
        <f t="shared" si="0"/>
        <v>-121430.05734929472</v>
      </c>
      <c r="AH13" s="24">
        <f t="shared" si="0"/>
        <v>-158850.59025817452</v>
      </c>
      <c r="AI13" s="24">
        <f t="shared" si="0"/>
        <v>-310512.35978011548</v>
      </c>
      <c r="AJ13" s="24">
        <f t="shared" si="0"/>
        <v>-218213.59439939691</v>
      </c>
      <c r="AK13" s="24">
        <f t="shared" si="0"/>
        <v>-112339.82919960201</v>
      </c>
      <c r="AL13" s="24">
        <f t="shared" si="0"/>
        <v>-149383.58815014584</v>
      </c>
      <c r="AM13" s="24">
        <f t="shared" si="0"/>
        <v>-186693.11264704913</v>
      </c>
      <c r="AN13" s="24">
        <f t="shared" si="0"/>
        <v>-213637.91855291484</v>
      </c>
      <c r="AO13" s="24">
        <f t="shared" si="0"/>
        <v>-511698.53530240466</v>
      </c>
      <c r="AP13" s="24">
        <f t="shared" si="0"/>
        <v>-342942.65283894376</v>
      </c>
      <c r="AQ13" s="24">
        <f t="shared" si="0"/>
        <v>-296819.05146560393</v>
      </c>
      <c r="AR13" s="24">
        <f t="shared" si="0"/>
        <v>-303964.31199936185</v>
      </c>
    </row>
    <row r="14" spans="1:44" ht="15" customHeight="1" x14ac:dyDescent="0.25">
      <c r="A14" s="13" t="s">
        <v>33</v>
      </c>
      <c r="B14" s="14">
        <v>6073856</v>
      </c>
      <c r="C14" s="14">
        <v>2831339</v>
      </c>
      <c r="D14" s="15">
        <v>0</v>
      </c>
      <c r="E14" s="14">
        <v>7927363</v>
      </c>
      <c r="F14" s="15">
        <v>0</v>
      </c>
      <c r="G14" s="16">
        <v>-843493</v>
      </c>
      <c r="H14" s="20">
        <v>5.2</v>
      </c>
      <c r="I14" s="14">
        <v>295135</v>
      </c>
      <c r="J14" s="17">
        <v>5.1565212530000002</v>
      </c>
      <c r="K14" s="14">
        <v>13401296.5</v>
      </c>
      <c r="M14" s="39" t="s">
        <v>34</v>
      </c>
      <c r="N14" s="39"/>
      <c r="O14" s="40"/>
      <c r="P14" s="40">
        <f t="shared" ref="P14:AR14" si="1">(P7+P8)-(P9+P10)+P12+P13</f>
        <v>12095.264200000005</v>
      </c>
      <c r="Q14" s="40">
        <f t="shared" si="1"/>
        <v>-340.59269533175336</v>
      </c>
      <c r="R14" s="40">
        <f t="shared" si="1"/>
        <v>-16480.469707531091</v>
      </c>
      <c r="S14" s="40">
        <f t="shared" si="1"/>
        <v>53689.659390697117</v>
      </c>
      <c r="T14" s="40">
        <f t="shared" si="1"/>
        <v>38772.500567821684</v>
      </c>
      <c r="U14" s="40">
        <f t="shared" si="1"/>
        <v>95688.700577305644</v>
      </c>
      <c r="V14" s="40">
        <f t="shared" si="1"/>
        <v>337287.33245724125</v>
      </c>
      <c r="W14" s="40">
        <f t="shared" si="1"/>
        <v>100049.90403365273</v>
      </c>
      <c r="X14" s="40">
        <f t="shared" si="1"/>
        <v>-167951.7389993793</v>
      </c>
      <c r="Y14" s="40">
        <f t="shared" si="1"/>
        <v>-396033.70406972646</v>
      </c>
      <c r="Z14" s="40">
        <f t="shared" si="1"/>
        <v>-593165.12236645806</v>
      </c>
      <c r="AA14" s="40">
        <f t="shared" si="1"/>
        <v>-499941.23487599991</v>
      </c>
      <c r="AB14" s="40">
        <f t="shared" si="1"/>
        <v>-571389.03859492007</v>
      </c>
      <c r="AC14" s="40">
        <f t="shared" si="1"/>
        <v>-905387.04525148787</v>
      </c>
      <c r="AD14" s="40">
        <f t="shared" si="1"/>
        <v>-806542.1997689557</v>
      </c>
      <c r="AE14" s="40">
        <f t="shared" si="1"/>
        <v>-821166.00118876249</v>
      </c>
      <c r="AF14" s="40">
        <f t="shared" si="1"/>
        <v>-1827620.2547198632</v>
      </c>
      <c r="AG14" s="40">
        <f t="shared" si="1"/>
        <v>-1397164.78178193</v>
      </c>
      <c r="AH14" s="40">
        <f t="shared" si="1"/>
        <v>-2488703.6697229976</v>
      </c>
      <c r="AI14" s="40">
        <f t="shared" si="1"/>
        <v>-4838633.9903950524</v>
      </c>
      <c r="AJ14" s="40">
        <f t="shared" si="1"/>
        <v>-4684682.9154494172</v>
      </c>
      <c r="AK14" s="40">
        <f t="shared" si="1"/>
        <v>-4024883.1607282888</v>
      </c>
      <c r="AL14" s="40">
        <f t="shared" si="1"/>
        <v>-3171155.8561787196</v>
      </c>
      <c r="AM14" s="40">
        <f t="shared" si="1"/>
        <v>-3608405.1993350494</v>
      </c>
      <c r="AN14" s="40">
        <f t="shared" si="1"/>
        <v>-4584943.9199923612</v>
      </c>
      <c r="AO14" s="40">
        <f t="shared" si="1"/>
        <v>-5338550.7656957339</v>
      </c>
      <c r="AP14" s="40">
        <f t="shared" si="1"/>
        <v>-6491639.7032350013</v>
      </c>
      <c r="AQ14" s="40">
        <f t="shared" si="1"/>
        <v>-6599203.4424891705</v>
      </c>
      <c r="AR14" s="40">
        <f t="shared" si="1"/>
        <v>-4882922.8506629691</v>
      </c>
    </row>
    <row r="15" spans="1:44" ht="15" customHeight="1" x14ac:dyDescent="0.25">
      <c r="A15" s="13" t="s">
        <v>35</v>
      </c>
      <c r="B15" s="14">
        <v>8042186</v>
      </c>
      <c r="C15" s="14">
        <v>2781340</v>
      </c>
      <c r="D15" s="15">
        <v>0</v>
      </c>
      <c r="E15" s="14">
        <v>8693501</v>
      </c>
      <c r="F15" s="15">
        <v>0</v>
      </c>
      <c r="G15" s="14">
        <v>-1077179</v>
      </c>
      <c r="H15" s="20">
        <v>5.122985581</v>
      </c>
      <c r="I15" s="14">
        <v>442016</v>
      </c>
      <c r="J15" s="17">
        <v>6.8779505892000001</v>
      </c>
      <c r="K15" s="14">
        <v>15885852.699999999</v>
      </c>
    </row>
    <row r="16" spans="1:44" ht="15" customHeight="1" x14ac:dyDescent="0.25">
      <c r="A16" s="13" t="s">
        <v>36</v>
      </c>
      <c r="B16" s="14">
        <v>9964638</v>
      </c>
      <c r="C16" s="14">
        <v>2880922</v>
      </c>
      <c r="D16" s="15">
        <v>0</v>
      </c>
      <c r="E16" s="14">
        <v>11183651</v>
      </c>
      <c r="F16" s="15">
        <v>0</v>
      </c>
      <c r="G16" s="14">
        <v>-1070197</v>
      </c>
      <c r="H16" s="20">
        <v>3.6665711830999999</v>
      </c>
      <c r="I16" s="14">
        <v>662490</v>
      </c>
      <c r="J16" s="17">
        <v>9.5281665494999999</v>
      </c>
      <c r="K16" s="14">
        <v>22256683.579999998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12712505</v>
      </c>
      <c r="C17" s="14">
        <v>3552751</v>
      </c>
      <c r="D17" s="15">
        <v>0</v>
      </c>
      <c r="E17" s="14">
        <v>15827944</v>
      </c>
      <c r="F17" s="15">
        <v>0</v>
      </c>
      <c r="G17" s="14">
        <v>-1199424</v>
      </c>
      <c r="H17" s="20">
        <v>2.5404157044</v>
      </c>
      <c r="I17" s="14">
        <v>662626</v>
      </c>
      <c r="J17" s="17">
        <v>14.631250538</v>
      </c>
      <c r="K17" s="14">
        <v>32239044.739999998</v>
      </c>
      <c r="L17" s="41" t="str">
        <f>+L19</f>
        <v>Gerdau PN</v>
      </c>
      <c r="M17" s="2" t="s">
        <v>38</v>
      </c>
      <c r="N17" s="2"/>
      <c r="O17" s="28"/>
      <c r="P17" s="42">
        <f>+C6</f>
        <v>62478</v>
      </c>
      <c r="Q17" s="42">
        <f>C7</f>
        <v>134996</v>
      </c>
      <c r="R17" s="42">
        <f>C8</f>
        <v>190293</v>
      </c>
      <c r="S17" s="42">
        <f>C9</f>
        <v>352751</v>
      </c>
      <c r="T17" s="42">
        <f>C10</f>
        <v>392942</v>
      </c>
      <c r="U17" s="42">
        <f>C11</f>
        <v>464006</v>
      </c>
      <c r="V17" s="42">
        <f>C12</f>
        <v>798688</v>
      </c>
      <c r="W17" s="42">
        <f>C13</f>
        <v>1137216</v>
      </c>
      <c r="X17" s="42">
        <f>C14</f>
        <v>2831339</v>
      </c>
      <c r="Y17" s="42">
        <f>C15</f>
        <v>2781340</v>
      </c>
      <c r="Z17" s="42">
        <f>C16</f>
        <v>2880922</v>
      </c>
      <c r="AA17" s="42">
        <f>C17</f>
        <v>3552751</v>
      </c>
      <c r="AB17" s="42">
        <f>C18</f>
        <v>3940505</v>
      </c>
      <c r="AC17" s="42">
        <f>C19</f>
        <v>1121966</v>
      </c>
      <c r="AD17" s="42">
        <f>C20</f>
        <v>2142488</v>
      </c>
      <c r="AE17" s="42">
        <f>C21</f>
        <v>2005727</v>
      </c>
      <c r="AF17" s="42">
        <f>C22</f>
        <v>1425633</v>
      </c>
      <c r="AG17" s="42">
        <f>C23</f>
        <v>1583731</v>
      </c>
      <c r="AH17" s="42">
        <f>C24</f>
        <v>1402873</v>
      </c>
      <c r="AI17" s="42">
        <f>C25</f>
        <v>-4551438</v>
      </c>
      <c r="AJ17" s="42">
        <f>C26</f>
        <v>-2890811</v>
      </c>
      <c r="AK17" s="42">
        <f>C27</f>
        <v>-359360</v>
      </c>
      <c r="AL17" s="42">
        <f>C28</f>
        <v>2303868</v>
      </c>
      <c r="AM17" s="42">
        <f>C29</f>
        <v>1203736</v>
      </c>
      <c r="AN17" s="42">
        <f>C30</f>
        <v>2365763</v>
      </c>
      <c r="AO17" s="42">
        <f>C31</f>
        <v>15494111</v>
      </c>
      <c r="AP17" s="42">
        <f>C32</f>
        <v>11425512</v>
      </c>
      <c r="AQ17" s="42">
        <f>D32</f>
        <v>415159</v>
      </c>
      <c r="AR17" s="42">
        <f>E32</f>
        <v>21383610</v>
      </c>
    </row>
    <row r="18" spans="1:44" ht="15" customHeight="1" x14ac:dyDescent="0.25">
      <c r="A18" s="13" t="s">
        <v>39</v>
      </c>
      <c r="B18" s="14">
        <v>20166502</v>
      </c>
      <c r="C18" s="14">
        <v>3940505</v>
      </c>
      <c r="D18" s="15">
        <v>0</v>
      </c>
      <c r="E18" s="14">
        <v>20054747</v>
      </c>
      <c r="F18" s="15">
        <v>0</v>
      </c>
      <c r="G18" s="14">
        <v>-1649936</v>
      </c>
      <c r="H18" s="20">
        <v>5.9096945550999997</v>
      </c>
      <c r="I18" s="14">
        <v>1420408</v>
      </c>
      <c r="J18" s="17">
        <v>8.7909891186000007</v>
      </c>
      <c r="K18" s="14">
        <v>19901731.600000001</v>
      </c>
      <c r="L18" s="43" t="str">
        <f>+L19</f>
        <v>Gerdau PN</v>
      </c>
      <c r="M18" s="18" t="s">
        <v>40</v>
      </c>
      <c r="N18" s="18"/>
      <c r="O18" s="25"/>
      <c r="P18" s="44">
        <f t="shared" ref="P18:AR18" si="2">P14+P17</f>
        <v>74573.264200000005</v>
      </c>
      <c r="Q18" s="44">
        <f t="shared" si="2"/>
        <v>134655.40730466825</v>
      </c>
      <c r="R18" s="44">
        <f t="shared" si="2"/>
        <v>173812.5302924689</v>
      </c>
      <c r="S18" s="44">
        <f t="shared" si="2"/>
        <v>406440.65939069714</v>
      </c>
      <c r="T18" s="44">
        <f t="shared" si="2"/>
        <v>431714.50056782167</v>
      </c>
      <c r="U18" s="44">
        <f t="shared" si="2"/>
        <v>559694.70057730563</v>
      </c>
      <c r="V18" s="44">
        <f t="shared" si="2"/>
        <v>1135975.3324572411</v>
      </c>
      <c r="W18" s="44">
        <f t="shared" si="2"/>
        <v>1237265.9040336527</v>
      </c>
      <c r="X18" s="44">
        <f t="shared" si="2"/>
        <v>2663387.2610006207</v>
      </c>
      <c r="Y18" s="44">
        <f t="shared" si="2"/>
        <v>2385306.2959302734</v>
      </c>
      <c r="Z18" s="44">
        <f t="shared" si="2"/>
        <v>2287756.8776335418</v>
      </c>
      <c r="AA18" s="44">
        <f t="shared" si="2"/>
        <v>3052809.7651240001</v>
      </c>
      <c r="AB18" s="44">
        <f t="shared" si="2"/>
        <v>3369115.9614050798</v>
      </c>
      <c r="AC18" s="44">
        <f t="shared" si="2"/>
        <v>216578.95474851213</v>
      </c>
      <c r="AD18" s="44">
        <f t="shared" si="2"/>
        <v>1335945.8002310442</v>
      </c>
      <c r="AE18" s="44">
        <f t="shared" si="2"/>
        <v>1184560.9988112375</v>
      </c>
      <c r="AF18" s="44">
        <f t="shared" si="2"/>
        <v>-401987.25471986318</v>
      </c>
      <c r="AG18" s="44">
        <f t="shared" si="2"/>
        <v>186566.21821806999</v>
      </c>
      <c r="AH18" s="44">
        <f t="shared" si="2"/>
        <v>-1085830.6697229976</v>
      </c>
      <c r="AI18" s="44">
        <f t="shared" si="2"/>
        <v>-9390071.9903950524</v>
      </c>
      <c r="AJ18" s="44">
        <f t="shared" si="2"/>
        <v>-7575493.9154494172</v>
      </c>
      <c r="AK18" s="44">
        <f t="shared" si="2"/>
        <v>-4384243.1607282888</v>
      </c>
      <c r="AL18" s="44">
        <f t="shared" si="2"/>
        <v>-867287.85617871955</v>
      </c>
      <c r="AM18" s="44">
        <f t="shared" si="2"/>
        <v>-2404669.1993350494</v>
      </c>
      <c r="AN18" s="44">
        <f t="shared" si="2"/>
        <v>-2219180.9199923612</v>
      </c>
      <c r="AO18" s="44">
        <f t="shared" si="2"/>
        <v>10155560.234304266</v>
      </c>
      <c r="AP18" s="44">
        <f t="shared" si="2"/>
        <v>4933872.2967649987</v>
      </c>
      <c r="AQ18" s="44">
        <f t="shared" si="2"/>
        <v>-6184044.4424891705</v>
      </c>
      <c r="AR18" s="44">
        <f t="shared" si="2"/>
        <v>16500687.149337031</v>
      </c>
    </row>
    <row r="19" spans="1:44" ht="15" customHeight="1" x14ac:dyDescent="0.25">
      <c r="A19" s="13" t="s">
        <v>41</v>
      </c>
      <c r="B19" s="14">
        <v>18507473</v>
      </c>
      <c r="C19" s="14">
        <v>1121966</v>
      </c>
      <c r="D19" s="15">
        <v>0</v>
      </c>
      <c r="E19" s="14">
        <v>16731101</v>
      </c>
      <c r="F19" s="15">
        <v>0</v>
      </c>
      <c r="G19" s="14">
        <v>-328691</v>
      </c>
      <c r="H19" s="20">
        <v>1.0123541523999999</v>
      </c>
      <c r="I19" s="14">
        <v>1420598</v>
      </c>
      <c r="J19" s="17">
        <v>17.218393223</v>
      </c>
      <c r="K19" s="14">
        <v>37941907.479999997</v>
      </c>
      <c r="L19" s="18" t="str">
        <f>+A1</f>
        <v>Gerdau PN</v>
      </c>
      <c r="M19" s="18" t="s">
        <v>42</v>
      </c>
      <c r="N19" s="18"/>
      <c r="O19" s="31"/>
      <c r="P19" s="45">
        <f t="shared" ref="P19:AR19" si="3">P18/P17</f>
        <v>1.1935923717148438</v>
      </c>
      <c r="Q19" s="45">
        <f t="shared" si="3"/>
        <v>0.99747701639062081</v>
      </c>
      <c r="R19" s="45">
        <f t="shared" si="3"/>
        <v>0.91339424094669219</v>
      </c>
      <c r="S19" s="45">
        <f t="shared" si="3"/>
        <v>1.1522027135024342</v>
      </c>
      <c r="T19" s="45">
        <f t="shared" si="3"/>
        <v>1.0986723245868899</v>
      </c>
      <c r="U19" s="45">
        <f t="shared" si="3"/>
        <v>1.2062229811194374</v>
      </c>
      <c r="V19" s="45">
        <f t="shared" si="3"/>
        <v>1.4223017404258498</v>
      </c>
      <c r="W19" s="45">
        <f t="shared" si="3"/>
        <v>1.0879779250675796</v>
      </c>
      <c r="X19" s="45">
        <f t="shared" si="3"/>
        <v>0.94068116216412823</v>
      </c>
      <c r="Y19" s="45">
        <f t="shared" si="3"/>
        <v>0.85761046687218156</v>
      </c>
      <c r="Z19" s="45">
        <f t="shared" si="3"/>
        <v>0.79410580280672016</v>
      </c>
      <c r="AA19" s="45">
        <f t="shared" si="3"/>
        <v>0.85928053081231981</v>
      </c>
      <c r="AB19" s="45">
        <f t="shared" si="3"/>
        <v>0.85499598691159628</v>
      </c>
      <c r="AC19" s="45">
        <f t="shared" si="3"/>
        <v>0.19303522098576262</v>
      </c>
      <c r="AD19" s="45">
        <f t="shared" si="3"/>
        <v>0.62354879011273068</v>
      </c>
      <c r="AE19" s="45">
        <f t="shared" si="3"/>
        <v>0.59058934681102537</v>
      </c>
      <c r="AF19" s="45">
        <f t="shared" si="3"/>
        <v>-0.2819710645866525</v>
      </c>
      <c r="AG19" s="45">
        <f t="shared" si="3"/>
        <v>0.1178017088874752</v>
      </c>
      <c r="AH19" s="45">
        <f t="shared" si="3"/>
        <v>-0.77400496675251262</v>
      </c>
      <c r="AI19" s="45">
        <f t="shared" si="3"/>
        <v>2.0631000554978565</v>
      </c>
      <c r="AJ19" s="45">
        <f t="shared" si="3"/>
        <v>2.6205427872833669</v>
      </c>
      <c r="AK19" s="45">
        <f t="shared" si="3"/>
        <v>12.200142366229654</v>
      </c>
      <c r="AL19" s="45">
        <f t="shared" si="3"/>
        <v>-0.37644858827793937</v>
      </c>
      <c r="AM19" s="45">
        <f t="shared" si="3"/>
        <v>-1.9976715819208277</v>
      </c>
      <c r="AN19" s="45">
        <f t="shared" si="3"/>
        <v>-0.9380402517041484</v>
      </c>
      <c r="AO19" s="45">
        <f t="shared" si="3"/>
        <v>0.65544646183987365</v>
      </c>
      <c r="AP19" s="45">
        <f t="shared" si="3"/>
        <v>0.43182942670446617</v>
      </c>
      <c r="AQ19" s="45">
        <f t="shared" si="3"/>
        <v>-14.895604918812239</v>
      </c>
      <c r="AR19" s="45">
        <f t="shared" si="3"/>
        <v>0.7716511454023447</v>
      </c>
    </row>
    <row r="20" spans="1:44" ht="15" customHeight="1" x14ac:dyDescent="0.25">
      <c r="A20" s="13" t="s">
        <v>43</v>
      </c>
      <c r="B20" s="14">
        <v>19470442</v>
      </c>
      <c r="C20" s="14">
        <v>2142488</v>
      </c>
      <c r="D20" s="14">
        <v>9334921</v>
      </c>
      <c r="E20" s="14">
        <v>16171560</v>
      </c>
      <c r="F20" s="14">
        <v>1283522</v>
      </c>
      <c r="G20" s="14">
        <v>-1018488</v>
      </c>
      <c r="H20" s="20">
        <v>1.6762240847000001</v>
      </c>
      <c r="I20" s="14">
        <v>1504816</v>
      </c>
      <c r="J20" s="17">
        <v>13.612698089</v>
      </c>
      <c r="K20" s="14">
        <v>31141151.02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24997469</v>
      </c>
      <c r="C21" s="14">
        <v>2005727</v>
      </c>
      <c r="D21" s="14">
        <v>10429497</v>
      </c>
      <c r="E21" s="14">
        <v>17295071</v>
      </c>
      <c r="F21" s="14">
        <v>1439911</v>
      </c>
      <c r="G21" s="14">
        <v>-550706</v>
      </c>
      <c r="H21" s="20">
        <v>2.275862069</v>
      </c>
      <c r="I21" s="14">
        <v>1704898.3559999999</v>
      </c>
      <c r="J21" s="17">
        <v>8.8988791591999998</v>
      </c>
      <c r="K21" s="14">
        <v>23434183.785999998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27245604</v>
      </c>
      <c r="C22" s="14">
        <v>1425633</v>
      </c>
      <c r="D22" s="14">
        <v>11397812</v>
      </c>
      <c r="E22" s="14">
        <v>19690181</v>
      </c>
      <c r="F22" s="14">
        <v>1441857</v>
      </c>
      <c r="G22" s="14">
        <v>-523076</v>
      </c>
      <c r="H22" s="20">
        <v>1.6731734522999999</v>
      </c>
      <c r="I22" s="14">
        <v>1700464.29</v>
      </c>
      <c r="J22" s="17">
        <v>11.188056734</v>
      </c>
      <c r="K22" s="14">
        <v>29048061.258000001</v>
      </c>
      <c r="L22" s="47" t="str">
        <f>+L24</f>
        <v>Gerdau PN</v>
      </c>
      <c r="M22" s="39" t="s">
        <v>46</v>
      </c>
      <c r="N22" s="32"/>
      <c r="O22" s="32"/>
      <c r="P22" s="30">
        <v>1218194</v>
      </c>
      <c r="Q22" s="30">
        <v>1662464</v>
      </c>
      <c r="R22" s="30">
        <v>1812259</v>
      </c>
      <c r="S22" s="30">
        <v>10502002</v>
      </c>
      <c r="T22" s="30">
        <v>10565590</v>
      </c>
      <c r="U22" s="30">
        <v>2685759</v>
      </c>
      <c r="V22" s="30">
        <v>3293226</v>
      </c>
      <c r="W22" s="30">
        <v>4128396</v>
      </c>
      <c r="X22" s="30">
        <v>6073856</v>
      </c>
      <c r="Y22" s="30">
        <v>8042186</v>
      </c>
      <c r="Z22" s="30">
        <v>9964638</v>
      </c>
      <c r="AA22" s="30">
        <v>12712505</v>
      </c>
      <c r="AB22" s="30">
        <v>20166502</v>
      </c>
      <c r="AC22" s="30">
        <v>18507473</v>
      </c>
      <c r="AD22" s="30">
        <v>19470442</v>
      </c>
      <c r="AE22" s="30">
        <v>24997469</v>
      </c>
      <c r="AF22" s="30">
        <v>27245604</v>
      </c>
      <c r="AG22" s="30">
        <v>30339079</v>
      </c>
      <c r="AH22" s="30">
        <v>32200819</v>
      </c>
      <c r="AI22" s="30">
        <v>31685801</v>
      </c>
      <c r="AJ22" s="30">
        <v>24028136</v>
      </c>
      <c r="AK22" s="30">
        <v>23645201</v>
      </c>
      <c r="AL22" s="30">
        <v>25730604</v>
      </c>
      <c r="AM22" s="30">
        <v>26955701</v>
      </c>
      <c r="AN22" s="30">
        <v>30860271</v>
      </c>
      <c r="AO22" s="30">
        <v>42604282</v>
      </c>
      <c r="AP22" s="30">
        <v>46116194</v>
      </c>
      <c r="AQ22" s="30">
        <v>46116194</v>
      </c>
      <c r="AR22" s="30">
        <v>46116194</v>
      </c>
    </row>
    <row r="23" spans="1:44" ht="15" customHeight="1" x14ac:dyDescent="0.25">
      <c r="A23" s="13" t="s">
        <v>47</v>
      </c>
      <c r="B23" s="14">
        <v>30339079</v>
      </c>
      <c r="C23" s="14">
        <v>1583731</v>
      </c>
      <c r="D23" s="14">
        <v>12850964</v>
      </c>
      <c r="E23" s="14">
        <v>21419074</v>
      </c>
      <c r="F23" s="14">
        <v>1590031</v>
      </c>
      <c r="G23" s="14">
        <v>-426988</v>
      </c>
      <c r="H23" s="20">
        <v>1.2540894220000001</v>
      </c>
      <c r="I23" s="14">
        <v>1704215.3470000001</v>
      </c>
      <c r="J23" s="17">
        <v>11.603002194</v>
      </c>
      <c r="K23" s="14">
        <v>29396537.142999999</v>
      </c>
      <c r="L23" s="47" t="str">
        <f>+L25</f>
        <v>Gerdau PN</v>
      </c>
      <c r="M23" s="39" t="s">
        <v>48</v>
      </c>
      <c r="N23" s="32"/>
      <c r="O23" s="32"/>
      <c r="P23" s="30">
        <f>P22+P9+P10+P14</f>
        <v>1288518.9374000002</v>
      </c>
      <c r="Q23" s="33">
        <f>Q22+Q9+Q10+Q14+((P9+P10+P14)*(1+Q5))</f>
        <v>1814975.4419692282</v>
      </c>
      <c r="R23" s="33">
        <f>R22+R9+R10+R14+((Q9+Q10+Q14)*(1+R5))+(((P9+P10+P14)*(1+R5)*(1+Q5)))</f>
        <v>1982132.6150703195</v>
      </c>
      <c r="S23" s="33">
        <f>S22+S9+S10+S14+((R9+R10+R14)*(1+S5))+(((Q9+Q10+Q14)*(1+S5)*(1+R5)))+(((P9+P10+P14)*(1+S5)*(1+R5)*(1+Q5)))</f>
        <v>10928612.617676385</v>
      </c>
      <c r="T23" s="33">
        <f>T22+T9+T10+T14+((S9+S10+S14)*(1+T5))+(((R9+R10+R14)*(1+T5)*(1+S5)))+(((Q9+Q10+Q14)*(1+T5)*(1+S5)*(1+R5)))+(((P9+P10+P14)*(1+T5)*(1+S5)*(1+R5)*(1+Q5)))</f>
        <v>11212818.385879248</v>
      </c>
      <c r="U23" s="33">
        <f>U22+U9+U10+U14+((T9+T10+T14)*(1+U5))+((S9+S10+S14)*(1+U5)*(1+T5))+((R9+R10+R14)*(1+U5)*(1+T5)*(1+S5))+((Q9+Q10+Q14)*(1+U5)*(1+T5)*(1+S5)*(1+R5))+((P9+P10+P14)*(1+U5)*(1+T5)*(1+S5)*(1+R5)*(1+Q5))</f>
        <v>3718071.4578341213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5284015.1993563557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6913623.344205047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9470936.3021717574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11795991.817004133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13618103.576006979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16655969.797779072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24909127.422499284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23529650.890743762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25311296.008503586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32102682.230898786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34749501.182819992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38879246.562304355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41154829.84763667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40734470.132451564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30995097.110403288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27549860.155095696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27482268.902922772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26148610.03889497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26450234.951927796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35107175.371103331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33533143.213661019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27592836.749604337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22790988.534259688</v>
      </c>
    </row>
    <row r="24" spans="1:44" ht="15" customHeight="1" x14ac:dyDescent="0.25">
      <c r="A24" s="13" t="s">
        <v>49</v>
      </c>
      <c r="B24" s="14">
        <v>32200819</v>
      </c>
      <c r="C24" s="14">
        <v>1402873</v>
      </c>
      <c r="D24" s="14">
        <v>14103502</v>
      </c>
      <c r="E24" s="14">
        <v>22131789</v>
      </c>
      <c r="F24" s="14">
        <v>1394383</v>
      </c>
      <c r="G24" s="14">
        <v>-455139</v>
      </c>
      <c r="H24" s="20">
        <v>2.6096033403000001</v>
      </c>
      <c r="I24" s="14">
        <v>1704543.507</v>
      </c>
      <c r="J24" s="17">
        <v>6.1787751009000003</v>
      </c>
      <c r="K24" s="14">
        <v>15448754.681</v>
      </c>
      <c r="L24" s="47" t="str">
        <f>+L25</f>
        <v>Gerdau PN</v>
      </c>
      <c r="M24" s="39" t="s">
        <v>50</v>
      </c>
      <c r="N24" s="32"/>
      <c r="O24" s="32"/>
      <c r="P24" s="30">
        <v>377166.18703999999</v>
      </c>
      <c r="Q24" s="30">
        <v>828018.59149999998</v>
      </c>
      <c r="R24" s="30">
        <v>536181.91628999996</v>
      </c>
      <c r="S24" s="30">
        <v>17428087.655999999</v>
      </c>
      <c r="T24" s="30">
        <v>16748049.408</v>
      </c>
      <c r="U24" s="30">
        <v>2198448.1589000002</v>
      </c>
      <c r="V24" s="30">
        <v>3438305.6164000002</v>
      </c>
      <c r="W24" s="30">
        <v>8393780.6199999992</v>
      </c>
      <c r="X24" s="30">
        <v>13401296.5</v>
      </c>
      <c r="Y24" s="30">
        <v>15885852.699999999</v>
      </c>
      <c r="Z24" s="30">
        <v>22256683.579999998</v>
      </c>
      <c r="AA24" s="30">
        <v>32239044.739999998</v>
      </c>
      <c r="AB24" s="30">
        <v>19901731.600000001</v>
      </c>
      <c r="AC24" s="30">
        <v>37941907.479999997</v>
      </c>
      <c r="AD24" s="30">
        <v>31141151.02</v>
      </c>
      <c r="AE24" s="30">
        <v>23434183.785999998</v>
      </c>
      <c r="AF24" s="30">
        <v>29048061.258000001</v>
      </c>
      <c r="AG24" s="30">
        <v>29396537.142999999</v>
      </c>
      <c r="AH24" s="30">
        <v>15448754.681</v>
      </c>
      <c r="AI24" s="30">
        <v>7173878.3103</v>
      </c>
      <c r="AJ24" s="30">
        <v>16798047.122000001</v>
      </c>
      <c r="AK24" s="30">
        <v>20011024.068</v>
      </c>
      <c r="AL24" s="30">
        <v>23661566.776000001</v>
      </c>
      <c r="AM24" s="30">
        <v>32325937.899</v>
      </c>
      <c r="AN24" s="30">
        <v>39208449.141999997</v>
      </c>
      <c r="AO24" s="30">
        <v>43759114.585000001</v>
      </c>
      <c r="AP24" s="30">
        <v>46079187.652999997</v>
      </c>
      <c r="AQ24" s="30">
        <f>+K33</f>
        <v>31445501.442035198</v>
      </c>
      <c r="AR24" s="30">
        <f>+K34</f>
        <v>35680045.735257797</v>
      </c>
    </row>
    <row r="25" spans="1:44" ht="15" customHeight="1" x14ac:dyDescent="0.25">
      <c r="A25" s="13" t="s">
        <v>51</v>
      </c>
      <c r="B25" s="14">
        <v>31685801</v>
      </c>
      <c r="C25" s="14">
        <v>-4551438</v>
      </c>
      <c r="D25" s="14">
        <v>16488787</v>
      </c>
      <c r="E25" s="14">
        <v>23255730</v>
      </c>
      <c r="F25" s="14">
        <v>1392882</v>
      </c>
      <c r="G25" s="14">
        <v>-358226</v>
      </c>
      <c r="H25" s="20">
        <v>4.7311827956999997</v>
      </c>
      <c r="I25" s="14">
        <v>1686674.483</v>
      </c>
      <c r="J25" s="17">
        <v>3.0925067722000001</v>
      </c>
      <c r="K25" s="14">
        <v>7173878.3103</v>
      </c>
      <c r="L25" s="39" t="str">
        <f>+A1</f>
        <v>Gerdau PN</v>
      </c>
      <c r="M25" s="39" t="s">
        <v>52</v>
      </c>
      <c r="N25" s="18"/>
      <c r="O25" s="18"/>
      <c r="P25" s="31">
        <f t="shared" ref="P25:AR25" si="4">P24/P23</f>
        <v>0.29271295600905456</v>
      </c>
      <c r="Q25" s="31">
        <f t="shared" si="4"/>
        <v>0.45621476321553367</v>
      </c>
      <c r="R25" s="31">
        <f t="shared" si="4"/>
        <v>0.27050758976133288</v>
      </c>
      <c r="S25" s="31">
        <f t="shared" si="4"/>
        <v>1.5947209646548455</v>
      </c>
      <c r="T25" s="31">
        <f t="shared" si="4"/>
        <v>1.4936520713731964</v>
      </c>
      <c r="U25" s="31">
        <f t="shared" si="4"/>
        <v>0.59128722614187101</v>
      </c>
      <c r="V25" s="31">
        <f t="shared" si="4"/>
        <v>0.65069941827926969</v>
      </c>
      <c r="W25" s="31">
        <f t="shared" si="4"/>
        <v>1.2140928427979245</v>
      </c>
      <c r="X25" s="31">
        <f t="shared" si="4"/>
        <v>1.4149917254672044</v>
      </c>
      <c r="Y25" s="31">
        <f t="shared" si="4"/>
        <v>1.3467161512523482</v>
      </c>
      <c r="Z25" s="31">
        <f t="shared" si="4"/>
        <v>1.6343453004141399</v>
      </c>
      <c r="AA25" s="31">
        <f t="shared" si="4"/>
        <v>1.9355849663163289</v>
      </c>
      <c r="AB25" s="31">
        <f t="shared" si="4"/>
        <v>0.79897345508874273</v>
      </c>
      <c r="AC25" s="31">
        <f t="shared" si="4"/>
        <v>1.6125146801445243</v>
      </c>
      <c r="AD25" s="31">
        <f t="shared" si="4"/>
        <v>1.2303262152020116</v>
      </c>
      <c r="AE25" s="31">
        <f t="shared" si="4"/>
        <v>0.72997588230944233</v>
      </c>
      <c r="AF25" s="31">
        <f t="shared" si="4"/>
        <v>0.83592743116442891</v>
      </c>
      <c r="AG25" s="31">
        <f t="shared" si="4"/>
        <v>0.75609842633888946</v>
      </c>
      <c r="AH25" s="31">
        <f t="shared" si="4"/>
        <v>0.37538132798007789</v>
      </c>
      <c r="AI25" s="31">
        <f t="shared" si="4"/>
        <v>0.17611321043267605</v>
      </c>
      <c r="AJ25" s="31">
        <f t="shared" si="4"/>
        <v>0.5419582026849612</v>
      </c>
      <c r="AK25" s="31">
        <f t="shared" si="4"/>
        <v>0.72635664774141173</v>
      </c>
      <c r="AL25" s="31">
        <f t="shared" si="4"/>
        <v>0.8609757389239272</v>
      </c>
      <c r="AM25" s="31">
        <f t="shared" si="4"/>
        <v>1.2362392437271623</v>
      </c>
      <c r="AN25" s="31">
        <f t="shared" si="4"/>
        <v>1.4823478586583343</v>
      </c>
      <c r="AO25" s="31">
        <f t="shared" si="4"/>
        <v>1.246443615085538</v>
      </c>
      <c r="AP25" s="31">
        <f t="shared" si="4"/>
        <v>1.3741386353018008</v>
      </c>
      <c r="AQ25" s="31">
        <f t="shared" si="4"/>
        <v>1.1396255385915008</v>
      </c>
      <c r="AR25" s="31">
        <f t="shared" si="4"/>
        <v>1.5655330474859888</v>
      </c>
    </row>
    <row r="26" spans="1:44" ht="15" customHeight="1" x14ac:dyDescent="0.25">
      <c r="A26" s="13" t="s">
        <v>53</v>
      </c>
      <c r="B26" s="14">
        <v>24028136</v>
      </c>
      <c r="C26" s="14">
        <v>-2890811</v>
      </c>
      <c r="D26" s="14">
        <v>10789957</v>
      </c>
      <c r="E26" s="14">
        <v>19351891</v>
      </c>
      <c r="F26" s="14">
        <v>798844</v>
      </c>
      <c r="G26" s="14">
        <v>-85962</v>
      </c>
      <c r="H26" s="20">
        <v>0.46296296296</v>
      </c>
      <c r="I26" s="14">
        <v>1708948.5149999999</v>
      </c>
      <c r="J26" s="17">
        <v>7.215607061</v>
      </c>
      <c r="K26" s="14">
        <v>16798047.122000001</v>
      </c>
    </row>
    <row r="27" spans="1:44" ht="15" customHeight="1" x14ac:dyDescent="0.25">
      <c r="A27" s="13" t="s">
        <v>54</v>
      </c>
      <c r="B27" s="14">
        <v>23645201</v>
      </c>
      <c r="C27" s="14">
        <v>-359360</v>
      </c>
      <c r="D27" s="14">
        <v>8863231</v>
      </c>
      <c r="E27" s="14">
        <v>16443742</v>
      </c>
      <c r="F27" s="14">
        <v>1280299</v>
      </c>
      <c r="G27" s="14">
        <v>-86386</v>
      </c>
      <c r="H27" s="20">
        <v>0.40387722131999998</v>
      </c>
      <c r="I27" s="14">
        <v>1709257.129</v>
      </c>
      <c r="J27" s="17">
        <v>8.3098962532999998</v>
      </c>
      <c r="K27" s="14">
        <v>20011024.068</v>
      </c>
      <c r="S27" s="67"/>
    </row>
    <row r="28" spans="1:44" ht="15" customHeight="1" x14ac:dyDescent="0.25">
      <c r="A28" s="13" t="s">
        <v>55</v>
      </c>
      <c r="B28" s="14">
        <v>25730604</v>
      </c>
      <c r="C28" s="14">
        <v>2303868</v>
      </c>
      <c r="D28" s="14">
        <v>9948486</v>
      </c>
      <c r="E28" s="14">
        <v>15546481</v>
      </c>
      <c r="F28" s="14">
        <v>1367802</v>
      </c>
      <c r="G28" s="14">
        <v>-599099</v>
      </c>
      <c r="H28" s="20">
        <v>2.5641025641000001</v>
      </c>
      <c r="I28" s="14">
        <v>1696163.7</v>
      </c>
      <c r="J28" s="17">
        <v>10.187847357000001</v>
      </c>
      <c r="K28" s="14">
        <v>23661566.776000001</v>
      </c>
    </row>
    <row r="29" spans="1:44" ht="15" customHeight="1" x14ac:dyDescent="0.25">
      <c r="A29" s="13" t="s">
        <v>56</v>
      </c>
      <c r="B29" s="14">
        <v>26955701</v>
      </c>
      <c r="C29" s="14">
        <v>1203736</v>
      </c>
      <c r="D29" s="14">
        <v>10142573</v>
      </c>
      <c r="E29" s="14">
        <v>16678807</v>
      </c>
      <c r="F29" s="14">
        <v>1812399</v>
      </c>
      <c r="G29" s="14">
        <v>-484173</v>
      </c>
      <c r="H29" s="20">
        <v>1.4</v>
      </c>
      <c r="I29" s="14">
        <v>1698940.7720000001</v>
      </c>
      <c r="J29" s="17">
        <v>14.025687766000001</v>
      </c>
      <c r="K29" s="14">
        <v>32325937.899</v>
      </c>
    </row>
    <row r="30" spans="1:44" ht="15" customHeight="1" x14ac:dyDescent="0.25">
      <c r="A30" s="13" t="s">
        <v>57</v>
      </c>
      <c r="B30" s="14">
        <v>30860271</v>
      </c>
      <c r="C30" s="14">
        <v>2365763</v>
      </c>
      <c r="D30" s="14">
        <v>12726097</v>
      </c>
      <c r="E30" s="14">
        <v>18068226</v>
      </c>
      <c r="F30" s="14">
        <v>2271629</v>
      </c>
      <c r="G30" s="14">
        <v>-274815</v>
      </c>
      <c r="H30" s="20">
        <v>1.3087934560000001</v>
      </c>
      <c r="I30" s="14">
        <v>1701161.432</v>
      </c>
      <c r="J30" s="17">
        <v>17.390110870000001</v>
      </c>
      <c r="K30" s="14">
        <v>39208449.141999997</v>
      </c>
    </row>
    <row r="31" spans="1:44" ht="15" customHeight="1" x14ac:dyDescent="0.25">
      <c r="A31" s="13" t="s">
        <v>58</v>
      </c>
      <c r="B31" s="14">
        <v>42604282</v>
      </c>
      <c r="C31" s="14">
        <v>15494111</v>
      </c>
      <c r="D31" s="14">
        <v>12937287</v>
      </c>
      <c r="E31" s="14">
        <v>19603530</v>
      </c>
      <c r="F31" s="14">
        <v>3340775</v>
      </c>
      <c r="G31" s="14">
        <v>-5339426</v>
      </c>
      <c r="H31" s="20">
        <v>11.26192223</v>
      </c>
      <c r="I31" s="14">
        <v>1705746.8459999999</v>
      </c>
      <c r="J31" s="17">
        <v>21.794010935999999</v>
      </c>
      <c r="K31" s="14">
        <v>43759114.585000001</v>
      </c>
    </row>
    <row r="32" spans="1:44" ht="15" customHeight="1" x14ac:dyDescent="0.25">
      <c r="A32" s="13" t="s">
        <v>59</v>
      </c>
      <c r="B32" s="14">
        <v>46116194</v>
      </c>
      <c r="C32" s="14">
        <v>11425512</v>
      </c>
      <c r="D32" s="14">
        <v>415159</v>
      </c>
      <c r="E32" s="14">
        <v>21383610</v>
      </c>
      <c r="F32" s="14">
        <v>3896518</v>
      </c>
      <c r="G32" s="14">
        <v>-5891690</v>
      </c>
      <c r="H32" s="20">
        <v>12.359550561000001</v>
      </c>
      <c r="I32" s="14">
        <v>1663560.34</v>
      </c>
      <c r="J32" s="17">
        <v>26.726355328</v>
      </c>
      <c r="K32" s="14">
        <v>33155964.092789099</v>
      </c>
    </row>
    <row r="33" spans="1:42" ht="15" customHeight="1" x14ac:dyDescent="0.25">
      <c r="A33" s="13" t="s">
        <v>60</v>
      </c>
      <c r="B33" s="14">
        <v>49058959</v>
      </c>
      <c r="C33" s="14">
        <v>7501565</v>
      </c>
      <c r="D33" s="14">
        <v>373710</v>
      </c>
      <c r="E33" s="14">
        <v>24063184</v>
      </c>
      <c r="F33" s="14"/>
      <c r="G33" s="14"/>
      <c r="H33" s="14"/>
      <c r="I33" s="14"/>
      <c r="J33" s="14"/>
      <c r="K33" s="14">
        <v>31445501.442035198</v>
      </c>
    </row>
    <row r="34" spans="1:42" ht="15" customHeight="1" x14ac:dyDescent="0.25">
      <c r="A34" s="13" t="s">
        <v>61</v>
      </c>
      <c r="B34" s="14">
        <v>57948759</v>
      </c>
      <c r="C34" s="14">
        <v>4566317</v>
      </c>
      <c r="D34" s="14">
        <v>400567</v>
      </c>
      <c r="E34" s="14">
        <v>30760008</v>
      </c>
      <c r="F34" s="14"/>
      <c r="G34" s="14"/>
      <c r="H34" s="14"/>
      <c r="I34" s="14"/>
      <c r="J34" s="14"/>
      <c r="K34" s="14">
        <v>35680045.735257797</v>
      </c>
    </row>
    <row r="46" spans="1:42" ht="15" customHeight="1" x14ac:dyDescent="0.25">
      <c r="M46" s="46" t="s">
        <v>62</v>
      </c>
      <c r="N46" s="1"/>
      <c r="O46" s="1"/>
      <c r="P46" s="35">
        <f>-G6/P17</f>
        <v>0</v>
      </c>
      <c r="Q46" s="35">
        <f>-G7/Q17</f>
        <v>0.40170079113455215</v>
      </c>
      <c r="R46" s="35">
        <f>-G8/R17</f>
        <v>0.31511406094811684</v>
      </c>
      <c r="S46" s="35">
        <f>-G9/S17</f>
        <v>0.19685273748338064</v>
      </c>
      <c r="T46" s="35">
        <f>-G10/T17</f>
        <v>0.28967379409683874</v>
      </c>
      <c r="U46" s="35">
        <f>-G11/U17</f>
        <v>0.29708236531424165</v>
      </c>
      <c r="V46" s="35">
        <f>-G12/V17</f>
        <v>0.2637763432028527</v>
      </c>
      <c r="W46" s="35">
        <f>-G13/W17</f>
        <v>0.35869175249029206</v>
      </c>
      <c r="X46" s="35">
        <f>-G14/X17</f>
        <v>0.29791310754381584</v>
      </c>
      <c r="Y46" s="35">
        <f>-G15/Y17</f>
        <v>0.38728778214817317</v>
      </c>
      <c r="Z46" s="35">
        <f>-G16/Z17</f>
        <v>0.37147725623949557</v>
      </c>
      <c r="AA46" s="35">
        <f>-G17/AA17</f>
        <v>0.33760429593855579</v>
      </c>
      <c r="AB46" s="35">
        <f>-G18/AB17</f>
        <v>0.41871181485621767</v>
      </c>
      <c r="AC46" s="35">
        <f>-G19/AC17</f>
        <v>0.29295985796361029</v>
      </c>
      <c r="AD46" s="35">
        <f>-G20/AD17</f>
        <v>0.47537629148914717</v>
      </c>
      <c r="AE46" s="35">
        <f>-G21/AE17</f>
        <v>0.27456677803110791</v>
      </c>
      <c r="AF46" s="35">
        <f>-G22/AF17</f>
        <v>0.36690789284479247</v>
      </c>
      <c r="AG46" s="35">
        <f>-G23/AG17</f>
        <v>0.26960891717090846</v>
      </c>
      <c r="AH46" s="35">
        <f>-G24/AH17</f>
        <v>0.32443350182090608</v>
      </c>
      <c r="AI46" s="35">
        <f>-G25/AI17</f>
        <v>-7.8706114419223108E-2</v>
      </c>
      <c r="AJ46" s="35">
        <f>-G26/AJ17</f>
        <v>-2.9736291995568025E-2</v>
      </c>
      <c r="AK46" s="35">
        <f>-G27/AK17</f>
        <v>-0.24038846838824576</v>
      </c>
      <c r="AL46" s="35">
        <f>-G28/AL17</f>
        <v>0.26004050579286658</v>
      </c>
      <c r="AM46" s="35">
        <f>-G29/AM17</f>
        <v>0.40222523875667088</v>
      </c>
      <c r="AN46" s="35">
        <f>-G30/AN17</f>
        <v>0.11616336885816542</v>
      </c>
      <c r="AO46" s="35">
        <f>-G31/AO17</f>
        <v>0.34461002635130211</v>
      </c>
      <c r="AP46" s="35">
        <f>-G32/AP17</f>
        <v>0.51566091742759534</v>
      </c>
    </row>
    <row r="47" spans="1:42" ht="15" customHeight="1" x14ac:dyDescent="0.25">
      <c r="M47" s="39" t="s">
        <v>63</v>
      </c>
      <c r="N47" s="32"/>
      <c r="O47" s="32"/>
      <c r="P47" s="36">
        <f>-G6/P18</f>
        <v>0</v>
      </c>
      <c r="Q47" s="36">
        <f>-G7/Q18</f>
        <v>0.40271683911887002</v>
      </c>
      <c r="R47" s="36">
        <f>-G8/R18</f>
        <v>0.34499238863331921</v>
      </c>
      <c r="S47" s="36">
        <f>-G9/S18</f>
        <v>0.17084904867563894</v>
      </c>
      <c r="T47" s="36">
        <f>-G10/T18</f>
        <v>0.26365804217900779</v>
      </c>
      <c r="U47" s="36">
        <f>-G11/U18</f>
        <v>0.24629141540524607</v>
      </c>
      <c r="V47" s="36">
        <f>-G12/V18</f>
        <v>0.18545737216343114</v>
      </c>
      <c r="W47" s="36">
        <f>-G13/W18</f>
        <v>0.32968660873152544</v>
      </c>
      <c r="X47" s="36">
        <f>-G14/X18</f>
        <v>0.31669934460942945</v>
      </c>
      <c r="Y47" s="36">
        <f>-G15/Y18</f>
        <v>0.45158938365183765</v>
      </c>
      <c r="Z47" s="36">
        <f>-G16/Z18</f>
        <v>0.4677931516512423</v>
      </c>
      <c r="AA47" s="36">
        <f>-G17/AA18</f>
        <v>0.39289182500085501</v>
      </c>
      <c r="AB47" s="36">
        <f>-G18/AB18</f>
        <v>0.48972371948631271</v>
      </c>
      <c r="AC47" s="36">
        <f>-G19/AC18</f>
        <v>1.5176497660249146</v>
      </c>
      <c r="AD47" s="36">
        <f>-G20/AD18</f>
        <v>0.76237224580806973</v>
      </c>
      <c r="AE47" s="36">
        <f>-G21/AE18</f>
        <v>0.46490303205378136</v>
      </c>
      <c r="AF47" s="36">
        <f>-G22/AF18</f>
        <v>-1.30122533453087</v>
      </c>
      <c r="AG47" s="36">
        <f>-G23/AG18</f>
        <v>2.2886672843467855</v>
      </c>
      <c r="AH47" s="36">
        <f>-G24/AH18</f>
        <v>-0.41916204127491524</v>
      </c>
      <c r="AI47" s="36">
        <f>-G25/AI18</f>
        <v>-3.8149441278663612E-2</v>
      </c>
      <c r="AJ47" s="36">
        <f>-G26/AJ18</f>
        <v>-1.1347378924651976E-2</v>
      </c>
      <c r="AK47" s="36">
        <f>-G27/AK18</f>
        <v>-1.9703742888578742E-2</v>
      </c>
      <c r="AL47" s="36">
        <f>-G28/AL18</f>
        <v>-0.69077296047893166</v>
      </c>
      <c r="AM47" s="36">
        <f>-G29/AM18</f>
        <v>-0.20134702941006846</v>
      </c>
      <c r="AN47" s="36">
        <f>-G30/AN18</f>
        <v>-0.12383623053182431</v>
      </c>
      <c r="AO47" s="36">
        <f>-G31/AO18</f>
        <v>0.52576380591629579</v>
      </c>
      <c r="AP47" s="36">
        <f>-G32/AP18</f>
        <v>1.1941310284546716</v>
      </c>
    </row>
    <row r="48" spans="1:42" ht="15" customHeight="1" x14ac:dyDescent="0.25">
      <c r="M48" s="39" t="s">
        <v>64</v>
      </c>
      <c r="N48" s="32"/>
      <c r="O48" s="32"/>
      <c r="P48" s="37">
        <v>4.9302139806999996</v>
      </c>
      <c r="Q48" s="37">
        <v>4.8455896125000004</v>
      </c>
      <c r="R48" s="37">
        <v>17.206445185</v>
      </c>
      <c r="S48" s="37">
        <v>3.7147916344</v>
      </c>
      <c r="T48" s="37">
        <v>2.4005662623999999</v>
      </c>
      <c r="U48" s="37">
        <v>5.7314193295999996</v>
      </c>
      <c r="V48" s="37">
        <v>5.3422575180000003</v>
      </c>
      <c r="W48" s="37">
        <v>4.3411906533</v>
      </c>
      <c r="X48" s="37">
        <v>5.2</v>
      </c>
      <c r="Y48" s="37">
        <v>5.122985581</v>
      </c>
      <c r="Z48" s="37">
        <v>3.6665711830999999</v>
      </c>
      <c r="AA48" s="37">
        <v>2.5404157044</v>
      </c>
      <c r="AB48" s="37">
        <v>5.9096945550999997</v>
      </c>
      <c r="AC48" s="37">
        <v>1.0123541523999999</v>
      </c>
      <c r="AD48" s="37">
        <v>1.6762240847000001</v>
      </c>
      <c r="AE48" s="37">
        <v>2.275862069</v>
      </c>
      <c r="AF48" s="37">
        <v>1.6731734522999999</v>
      </c>
      <c r="AG48" s="37">
        <v>1.2540894220000001</v>
      </c>
      <c r="AH48" s="37">
        <v>2.6096033403000001</v>
      </c>
      <c r="AI48" s="37">
        <v>4.7311827956999997</v>
      </c>
      <c r="AJ48" s="37">
        <v>0.46296296296</v>
      </c>
      <c r="AK48" s="37">
        <v>0.40387722131999998</v>
      </c>
      <c r="AL48" s="37">
        <v>2.5641025641000001</v>
      </c>
      <c r="AM48" s="37">
        <v>1.4</v>
      </c>
      <c r="AN48" s="37">
        <v>1.3087934560000001</v>
      </c>
      <c r="AO48" s="37">
        <v>11.26192223</v>
      </c>
      <c r="AP48" s="37">
        <v>12.359550561000001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R49"/>
  <sheetViews>
    <sheetView showGridLines="0" topLeftCell="J1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3.7109375" customWidth="1"/>
    <col min="17" max="17" width="9" customWidth="1"/>
    <col min="18" max="18" width="12.5703125" customWidth="1"/>
    <col min="19" max="24" width="15.28515625" customWidth="1"/>
    <col min="25" max="28" width="14.28515625" customWidth="1"/>
    <col min="29" max="30" width="15.28515625" customWidth="1"/>
    <col min="31" max="31" width="11" customWidth="1"/>
    <col min="32" max="42" width="15.28515625" customWidth="1"/>
    <col min="43" max="43" width="13.5703125" customWidth="1"/>
    <col min="44" max="44" width="14.7109375" customWidth="1"/>
  </cols>
  <sheetData>
    <row r="1" spans="1:44" ht="15" customHeight="1" x14ac:dyDescent="0.25">
      <c r="A1" s="6" t="s">
        <v>103</v>
      </c>
      <c r="M1" t="s">
        <v>1</v>
      </c>
      <c r="N1" s="7">
        <v>9.9199999999999997E-2</v>
      </c>
    </row>
    <row r="2" spans="1:44" ht="15" customHeight="1" x14ac:dyDescent="0.25">
      <c r="A2" s="6"/>
    </row>
    <row r="3" spans="1:44" ht="15" customHeight="1" x14ac:dyDescent="0.25">
      <c r="M3" s="2" t="s">
        <v>104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51">
        <v>787799</v>
      </c>
      <c r="C7" s="51">
        <v>35111</v>
      </c>
      <c r="D7" s="15">
        <v>0</v>
      </c>
      <c r="E7" s="15">
        <v>0</v>
      </c>
      <c r="F7" s="15">
        <v>0</v>
      </c>
      <c r="G7" s="16">
        <v>-23371</v>
      </c>
      <c r="H7" s="15">
        <v>0</v>
      </c>
      <c r="I7" s="15">
        <v>0</v>
      </c>
      <c r="J7" s="15">
        <v>0</v>
      </c>
      <c r="K7" s="15">
        <v>0</v>
      </c>
      <c r="M7" s="1" t="s">
        <v>20</v>
      </c>
      <c r="N7" s="1"/>
      <c r="O7" s="5"/>
      <c r="P7" s="4">
        <f>((D5+E5)*P5)</f>
        <v>0</v>
      </c>
      <c r="Q7" s="4">
        <f>((D6+E6+P7+P8)*Q5)</f>
        <v>0</v>
      </c>
      <c r="R7" s="4">
        <f>((D7+E7+Q7+P7+P8+Q8)*R5)</f>
        <v>0</v>
      </c>
      <c r="S7" s="4">
        <f>((D8+E8+R7+Q7+P7+SUM($P$8:R8))*S5)</f>
        <v>65156.725322459999</v>
      </c>
      <c r="T7" s="4">
        <f>((D9+E9+S7+R7+Q7+P7+SUM($P$8:S8))*T5)</f>
        <v>43834.506756050861</v>
      </c>
      <c r="U7" s="4">
        <f>((D10+E10+T7+S7+R7+Q7+P7+SUM($P$8:T8))*U5)</f>
        <v>58912.840144706788</v>
      </c>
      <c r="V7" s="4">
        <f>((D11+E11+U7+T7+S7+R7+Q7+P7+SUM($P$8:U8))*V5)</f>
        <v>110379.07148198418</v>
      </c>
      <c r="W7" s="4">
        <f>((D12+E12+V7+U7+T7+S7+R7+Q7+P7+SUM($P$8:V8))*W5)</f>
        <v>99266.43801783376</v>
      </c>
      <c r="X7" s="4">
        <f>((D13+E13+W7+V7+U7+T7+S7+R7+Q7+P7+SUM($P$8:W8))*X5)</f>
        <v>103704.13438195069</v>
      </c>
      <c r="Y7" s="4">
        <f>((D14+E14+X7+W7+V7+U7+T7+S7+R7+Q7+P7+SUM($P$8:X8))*Y5)</f>
        <v>88201.180498198722</v>
      </c>
      <c r="Z7" s="4">
        <f>((E14+F14+Y7+X7+W7+V7+U7+T7+S7+R7+Q7+P7+SUM($P$8:Y8))*Z5)</f>
        <v>51465.524529140006</v>
      </c>
      <c r="AA7" s="4">
        <f>((D16+E16+Z7+Y7+X7+W7+V7+U7+T7+S7+R7+P7+Q7+SUM($P$8:Z8))*AA5)</f>
        <v>78283.396243601688</v>
      </c>
      <c r="AB7" s="4">
        <f>((D17+E17+AA7+Z7+Y7+X7+W7+V7+U7+T7+S7+P7+Q7+R7+SUM($P$8:AA8))*AB5)</f>
        <v>177969.37288367969</v>
      </c>
      <c r="AC7" s="4">
        <f>((D18+E18+AB7+AA7+Z7+Y7+X7+W7+V7+U7+T7+S7+R7+Q7+P7+SUM($P$8:AB8))*AC5)</f>
        <v>175953.91593378905</v>
      </c>
      <c r="AD7" s="4">
        <f>((D19+E19+AC7+AB7+AA7+Z7+Y7+X7+W7+V7+U7+T7+S7+R7+Q7+P7+SUM($P$8:AC8))*AD5)</f>
        <v>291505.28786531975</v>
      </c>
      <c r="AE7" s="4">
        <f>((D20+E20+AD7+AC7+AB7+AA7+Z7+Y7+X7+W7+V7+U7+T7+S7+R7+Q7+P7+SUM($P$8:AD8))*AE5)</f>
        <v>443819.6085380665</v>
      </c>
      <c r="AF7" s="4">
        <f>((E20+F20+AE7+AD7+AC7+AB7+AA7+Z7+Y7+X7+W7+V7+U7+T7+S7+R7+Q7+P7+SUM($P$8:AE8))*AF5)</f>
        <v>347871.06733913207</v>
      </c>
      <c r="AG7" s="4">
        <f>((D22+E22+AF7+AE7+AD7+AC7+AB7+AA7+Z7+Y7+X7+W7+V7+U7+T7+R7+S7+Q7+P7+SUM($P$8:AF8))*AG5)</f>
        <v>530747.68507221749</v>
      </c>
      <c r="AH7" s="4">
        <f>((E22+F22+AG7+AF7+AE7+AD7+AC7+AB7+AA7+Z7+Y7+X7+W7+V7+U7+S7+T7+R7+Q7+P7+SUM($P$8:AG8))*AH5)</f>
        <v>485157.20889742125</v>
      </c>
      <c r="AI7" s="4">
        <f>((F22+G22+AH7+AG7+AF7+AE7+AD7+AC7+AB7+AA7+Z7+Y7+X7+W7+V7+T7+U7+S7+R7+Q7+P7+SUM($P$8:AH8))*AI5)</f>
        <v>303351.59987796244</v>
      </c>
      <c r="AJ7" s="4">
        <f>((G22+H22+AI7+AH7+AG7+AF7+AE7+AD7+AC7+AB7+AA7+Z7+Y7+X7+W7+U7+V7+T7+S7+R7+Q7+P7+SUM($P$8:AI8))*AJ5)</f>
        <v>198551.90771538272</v>
      </c>
      <c r="AK7" s="4">
        <f>((H22+I22+AJ7+AI7+AH7+AG7+AF7+AE7+AD7+AC7+AB7+AA7+Z7+Y7+X7+V7+W7+U7+T7+S7+R7+Q7+P7+SUM($P$8:AJ8))*AK5)</f>
        <v>131381.90122233293</v>
      </c>
      <c r="AL7" s="4">
        <f>((D27+E27+AK7+AJ7+AI7+AH7+AG7+AF7+AE7+AD7+AC7++AB7+AA7+Z7+Y7+X7+W7+V7+U7+T7+S7+R7+Q7+P7+SUM($P$8:AK8))*AL5)</f>
        <v>540044.74904892116</v>
      </c>
      <c r="AM7" s="4">
        <f>((E27+F27+AL7+AK7+AJ7+AI7+AH7+AG7+AF7+AE7+AD7++AC7+AB7+AA7+Z7+Y7+X7+W7+V7+U7+T7+S7+R7+Q7+P7+SUM($P$8:AL8))*AM5)</f>
        <v>489231.42034944368</v>
      </c>
      <c r="AN7" s="4">
        <f>((F27+G27+AM7+AL7+AK7+AJ7+AI7+AH7+AG7+AF7+AE7++AD7+AC7+AB7+AA7+Z7+Y7+X7+W7+V7+U7+T7+S7+R7+Q7+P7+SUM($P$8:AM8))*AN5)</f>
        <v>195635.40259042574</v>
      </c>
      <c r="AO7" s="4">
        <f>((G27+H27+AN7+AM7+AL7+AK7+AJ7+AI7+AH7+AG7+AF7++AE7+AD7+AC7+AB7+AA7+Z7+Y7+X7+W7+V7+U7+T7+S7+R7+Q7+P7+SUM($P$8:AN8))*AO5)</f>
        <v>441405.62148081156</v>
      </c>
      <c r="AP7" s="4">
        <f>((H27+I27+AO7+AN7+AM7+AL7+AK7+AJ7+AI7+AH7+AG7++AF7+AE7+AD7+AC7+AB7+AA7+Z7+Y7+X7+W7+V7+U7+T7+S7+R7+Q7+P7+SUM($P$8:AO8))*AP5)</f>
        <v>355950.77330034424</v>
      </c>
      <c r="AQ7" s="4">
        <f>((I27+J27+AP7+AO7+AN7+AM7+AL7+AK7+AJ7+AI7+AH7++AG7+AF7+AE7+AD7+AC7+AB7+AA7+Z7+Y7+X7+W7+V7+U7+T7+S7+R7+Q7+P7+SUM($P$8:AP8))*AQ5)</f>
        <v>300465.47402106936</v>
      </c>
      <c r="AR7" s="4">
        <f>((J27+K27+AQ7+AP7+AO7+AN7+AM7+AL7+AK7+AJ7+AI7++AH7+AG7+AF7+AE7+AD7+AC7+AB7+AA7+Z7+Y7+X7+W7+V7+U7+T7+S7+R7+Q7+P7+SUM($P$8:AQ8))*AR5)</f>
        <v>2270723.057972759</v>
      </c>
    </row>
    <row r="8" spans="1:44" ht="15" customHeight="1" x14ac:dyDescent="0.25">
      <c r="A8" s="13" t="s">
        <v>21</v>
      </c>
      <c r="B8" s="14">
        <v>474065</v>
      </c>
      <c r="C8" s="14">
        <v>44472</v>
      </c>
      <c r="D8" s="15">
        <v>0</v>
      </c>
      <c r="E8" s="14">
        <v>722823</v>
      </c>
      <c r="F8" s="15">
        <v>0</v>
      </c>
      <c r="G8" s="16">
        <v>-27600</v>
      </c>
      <c r="H8" s="15">
        <v>0</v>
      </c>
      <c r="I8" s="14">
        <v>2700</v>
      </c>
      <c r="J8" s="15">
        <v>0</v>
      </c>
      <c r="K8" s="15">
        <v>0</v>
      </c>
      <c r="M8" s="1" t="s">
        <v>22</v>
      </c>
      <c r="N8" s="1"/>
      <c r="O8" s="4"/>
      <c r="P8" s="4">
        <f>((D6+E6)-(D5+E5))*(P5^1/2)</f>
        <v>0</v>
      </c>
      <c r="Q8" s="4">
        <f>((D7+E7)-(D6+E6))*(Q5^1/2)</f>
        <v>0</v>
      </c>
      <c r="R8" s="4">
        <f>((D8+E8)-(D7+E7))*(R5^1/2)</f>
        <v>5999.4309000000003</v>
      </c>
      <c r="S8" s="4">
        <f>((D9+E9)-(D8+E8))*(S5^1/2)</f>
        <v>-2555.8118999999997</v>
      </c>
      <c r="T8" s="4">
        <f>((D10+E10)-(D9+E9))*(T5^1/2)</f>
        <v>-289.45545000000004</v>
      </c>
      <c r="U8" s="4">
        <f>((D11+E11)-(D10+E10))*(U5^1/2)</f>
        <v>1991.1320000000001</v>
      </c>
      <c r="V8" s="4">
        <f>((D12+E12)-(D11+E11))*(V5^1/2)</f>
        <v>4485.6147000000001</v>
      </c>
      <c r="W8" s="4">
        <f>((D13+E13)-(D12+E12))*(W5^1/2)</f>
        <v>8792.5920000000006</v>
      </c>
      <c r="X8" s="4">
        <f>((D14+E14)-(D13+E13))*(X5^1/2)</f>
        <v>2997.402</v>
      </c>
      <c r="Y8" s="4">
        <f>((D15+E15)-(D14+E14))*(Y5^1/2)</f>
        <v>719.64274999999998</v>
      </c>
      <c r="Z8" s="4">
        <f>((E15+F15)-(E14+F14))*(Z5^1/2)</f>
        <v>397.13149999999996</v>
      </c>
      <c r="AA8" s="4">
        <f>((D17+E17)-(D16+E16))*(AA5^1/2)</f>
        <v>25803.553</v>
      </c>
      <c r="AB8" s="4">
        <f>((D18+E18)-(D17+E17))*(AB5^1/2)</f>
        <v>25447.0245</v>
      </c>
      <c r="AC8" s="4">
        <f>((D19+E19)-(D18+E18))*(AC5^1/2)</f>
        <v>14218.215899999999</v>
      </c>
      <c r="AD8" s="4">
        <f>((D20+E20)-(D19+E19))*(AD5/2)</f>
        <v>46040.111550000001</v>
      </c>
      <c r="AE8" s="4">
        <f>((D21+E21)-(D20+E20))*(AE5^1/2)</f>
        <v>15235.772500000001</v>
      </c>
      <c r="AF8" s="4">
        <f>((D22+E22)-(D21+E21))*(AF5^1/2)</f>
        <v>24875.8596</v>
      </c>
      <c r="AG8" s="4">
        <f>((D23+E23)-(D22+E22))*(AG5^1/2)</f>
        <v>10607.238450000001</v>
      </c>
      <c r="AH8" s="4">
        <f>((D24+E24)-(D23+E23))*(AH5^1/2)</f>
        <v>39136.383200000004</v>
      </c>
      <c r="AI8" s="4">
        <f>((D25+E25)-(D24+E24))*(AI5^1/2)</f>
        <v>25754.499100000001</v>
      </c>
      <c r="AJ8" s="4">
        <f>((D26+E26)-(D25+E25))*(AJ5^1/2)</f>
        <v>13421.318949999999</v>
      </c>
      <c r="AK8" s="4">
        <f>((D27+E27)-(D26+E26))*(AK5/2)</f>
        <v>17341.28</v>
      </c>
      <c r="AL8" s="4">
        <f>((D28+E28)-(D27+E27))*(AL5^1/2)</f>
        <v>-12882.018749999999</v>
      </c>
      <c r="AM8" s="4">
        <f>((D29+E29)-(D28+E28))*(AM5^1/2)</f>
        <v>35946.412850000001</v>
      </c>
      <c r="AN8" s="4">
        <f>((D30+E30)-(D29+E29))*(AN5^1/2)</f>
        <v>14069.268399999999</v>
      </c>
      <c r="AO8" s="4">
        <f>((D31+E31)-(D30+E30))*(AO5^1/2)</f>
        <v>-165067.44769999999</v>
      </c>
      <c r="AP8" s="4">
        <f>((D32+E32)-(D31+E31))*(AP5^1/2)</f>
        <v>-80.423100000000005</v>
      </c>
      <c r="AQ8" s="4">
        <f>((D32+E32)-(D31+E31))*(AQ5^1/2)</f>
        <v>-64.17179999999999</v>
      </c>
      <c r="AR8" s="4">
        <f>((E32+F32)-(E31+F31))*(AR5^1/2)</f>
        <v>12091.784250000001</v>
      </c>
    </row>
    <row r="9" spans="1:44" ht="15" customHeight="1" x14ac:dyDescent="0.25">
      <c r="A9" s="13" t="s">
        <v>23</v>
      </c>
      <c r="B9" s="14">
        <v>819558</v>
      </c>
      <c r="C9" s="14">
        <v>87922</v>
      </c>
      <c r="D9" s="15">
        <v>0</v>
      </c>
      <c r="E9" s="14">
        <v>665646</v>
      </c>
      <c r="F9" s="15">
        <v>0</v>
      </c>
      <c r="G9" s="16">
        <v>-33300</v>
      </c>
      <c r="H9" s="15">
        <v>0</v>
      </c>
      <c r="I9" s="14">
        <v>53000000</v>
      </c>
      <c r="J9" s="15">
        <v>0</v>
      </c>
      <c r="K9" s="14">
        <v>1107699.9939999999</v>
      </c>
      <c r="M9" s="1" t="s">
        <v>24</v>
      </c>
      <c r="N9" s="1"/>
      <c r="O9" s="4"/>
      <c r="P9" s="4">
        <f>+B5*P5</f>
        <v>0</v>
      </c>
      <c r="Q9" s="4">
        <f>+(B6+P9+P10+P14)*Q5</f>
        <v>0</v>
      </c>
      <c r="R9" s="4">
        <f>+(B7+Q9+P9+P10+Q10+P14+Q14)*R5</f>
        <v>13077.463400000001</v>
      </c>
      <c r="S9" s="4">
        <f>+(B8+R9+Q9+P9+P10+Q10+R10+P14+Q14+R14)*S5</f>
        <v>42917.76012246</v>
      </c>
      <c r="T9" s="4">
        <f>+(B9+S9+R9+Q9+P9+P10+Q10+R10+S10+P14+Q14+R14+S14)*T5</f>
        <v>52984.346698170652</v>
      </c>
      <c r="U9" s="4">
        <f>+(B10+T9+S9+R9+Q9+P9+P10+Q10+R10+S10+T10+P14+Q14+R14+S14+T14)*U5</f>
        <v>76848.279674374542</v>
      </c>
      <c r="V9" s="4">
        <f>+(B11+U9+T9+S9+R9+Q9+P9+P10+Q10+R10+S10+T10+U10+P14+Q14+R14+S14+T14+U14)*V5</f>
        <v>119354.51273845919</v>
      </c>
      <c r="W9" s="4">
        <f>+(B12+V9+U9+T9+S9+R9+Q9+P9+P10+Q10+R10+S10+T10+U10+V10+P14+Q14+R14+S14+T14+U14+V14)*W5</f>
        <v>133712.37452971691</v>
      </c>
      <c r="X9" s="4">
        <f>+(B13+W9+V9+U9+T9+S9+R9+Q9+P9+P10+Q10+R10+S10+T10+U10+V10+W10+P14+Q14+R14+S14+T14+U14+V14+W14)*X5</f>
        <v>127391.58553911252</v>
      </c>
      <c r="Y9" s="4">
        <f>+(B14+X9+W9+V9+U9+T9+S9+R9+Q9+P9+P10+Q10+R10+S10+T10+U10+V10+W10+X10+P14+Q14+R14+S14+T14+U14+V14+W14+X14)*Y5</f>
        <v>112506.86427447348</v>
      </c>
      <c r="Z9" s="4">
        <f>+(B15+Y9+X9+W9+V9+U9+T9+S9+R9+Q9+P9+P10+Q10+R10+S10+T10+U10+V10+W10+X10+Y10+P14+Q14+R14+S14+T14+U14+V14+W14+X14+Y14)*Z5</f>
        <v>68841.829984751763</v>
      </c>
      <c r="AA9" s="4">
        <f>+(B16+Z9+Y9+X9+W9+V9+U9+T9+S9+R9+Q9+P9+P10+Q10+R10+S10+T10+U10+V10+W10+X10+Y10+Z10+P14+Q14+R14+S14+T14+U14+V14+W14+X14+Y14+Z14)*AA5</f>
        <v>103163.86824611999</v>
      </c>
      <c r="AB9" s="4">
        <f>+(B17+AA9+Z9+Y9+X9+W9+V9+U9+T9+S9+R9+Q9+P9+P10+Q10+R10+S10+T10+U10+V10+W10+X10+Y10+Z10+AA10+P14+Q14+R14+S14+T14+U14+V14+W14+X14+Y14+Z14+AA14)*AB5</f>
        <v>295072.06143613585</v>
      </c>
      <c r="AC9" s="4">
        <f>+(B18+AB9+AA9+Z9+Y9+X9+W9+V9+U9+T9+S9+R9+Q9+P9+P10+Q10+R10+S10+T10+U10+V10+W10+X10+Y10+Z10+AA10+AB10+P14+Q14+R14+S14+T14+U14+V14+W14+X14+Y14+Z14+AA14+AB14)*AC5</f>
        <v>222174.15355150832</v>
      </c>
      <c r="AD9" s="4">
        <f>+(B19+AC9+AB9+AA9+Z9+Y9+X9+W9+V9+U9+T9+S9+R9+Q9+P9+P10+Q10+R10+S10+T10+U10+V10+W10+X10+Y10+Z10+AA10+AB10+AC10+P14+Q14+R14+S14+T14+U14+V14+W14+X14+Y14+Z14+AA14+AB14+AC14)*AD5</f>
        <v>319129.83841369243</v>
      </c>
      <c r="AE9" s="4">
        <f>+(B20+AD9+AC9+AB9+AA9+Z9+Y9+X9+W9+V9+U9+T9+S9+R9+Q9+P9+P10+Q10+R10+S10+T10+U10+V10+W10+X10+Y10+Z10+AA10+AB10+AC10+AD10+P14+Q14+S14++R14+T14+U14+V14+W14+X14+Y14+Z14+AA14+AB14+AC14+AD14)*AE5</f>
        <v>384130.68875217217</v>
      </c>
      <c r="AF9" s="4">
        <f>+(B21+AE9+AD9+AC9+AB9+AA9+Z9+Y9+X9+W9+V9+U9+T9+S9+R9+Q9+P9+P10+Q10+R10+S10+T10+U10+V10+W10+X10+Y10+Z10+AA10+AB10+AC10+AD10+AE10+P14+Q14+R14+S14+T14+U14+V14+W14+X14+Y14+Z14+AA14+AB14+AC14+AD14+AE14)*AF5</f>
        <v>383643.93753257632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421040.19258632587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505361.77277082193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981413.27388612472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584127.41611309687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281120.71402621723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372796.29752300173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427051.41587838362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440040.87968311872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928088.1620194487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529065.127966222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469223.597470137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540739.44889592635</v>
      </c>
    </row>
    <row r="10" spans="1:44" ht="15" customHeight="1" x14ac:dyDescent="0.25">
      <c r="A10" s="13" t="s">
        <v>25</v>
      </c>
      <c r="B10" s="14">
        <v>897704</v>
      </c>
      <c r="C10" s="14">
        <v>128497</v>
      </c>
      <c r="D10" s="15">
        <v>0</v>
      </c>
      <c r="E10" s="14">
        <v>655949</v>
      </c>
      <c r="F10" s="15">
        <v>0</v>
      </c>
      <c r="G10" s="16">
        <v>-52700</v>
      </c>
      <c r="H10" s="15">
        <v>0</v>
      </c>
      <c r="I10" s="14">
        <v>53000000</v>
      </c>
      <c r="J10" s="15">
        <v>0</v>
      </c>
      <c r="K10" s="14">
        <v>964828.97264000005</v>
      </c>
      <c r="M10" s="22" t="s">
        <v>26</v>
      </c>
      <c r="N10" s="22"/>
      <c r="O10" s="23"/>
      <c r="P10" s="23">
        <f>((B6-B5)*(P5^1/2))</f>
        <v>0</v>
      </c>
      <c r="Q10" s="23">
        <f>((B7-B6)*(Q5^1/2))</f>
        <v>20561.553900000003</v>
      </c>
      <c r="R10" s="23">
        <f>((B8-B7)*(R5/2))</f>
        <v>-2603.9922000000001</v>
      </c>
      <c r="S10" s="23">
        <f>((B9-B8)*(S5/2))</f>
        <v>15443.5371</v>
      </c>
      <c r="T10" s="23">
        <f>((B10-B9)*(T5^1/2))</f>
        <v>2332.6581000000001</v>
      </c>
      <c r="U10" s="23">
        <f>((B11-B10)*(U5^1/2))</f>
        <v>-3751.0518500000003</v>
      </c>
      <c r="V10" s="23">
        <f>((B12-B11)*(V5^1/2))</f>
        <v>24508.116149999998</v>
      </c>
      <c r="W10" s="23">
        <f>((B13-B12)*(W5/2))</f>
        <v>7700.8185000000003</v>
      </c>
      <c r="X10" s="23">
        <f>((B14-B13)*(X5/2))</f>
        <v>9264.7420000000002</v>
      </c>
      <c r="Y10" s="23">
        <f>((B15-B14)*(Y5/2))</f>
        <v>5395.9123499999996</v>
      </c>
      <c r="Z10" s="23">
        <f>((B16-B15)*(Z5/2))</f>
        <v>2250.5321999999996</v>
      </c>
      <c r="AA10" s="23">
        <f>((B17-B16)*(AA5/2))</f>
        <v>59480.210200000001</v>
      </c>
      <c r="AB10" s="23">
        <f>((B18-B17)*(AB5^1/2))</f>
        <v>1454.0844999999999</v>
      </c>
      <c r="AC10" s="23">
        <f>((B19-B18)*(AC5^1/2))</f>
        <v>3861.7168999999999</v>
      </c>
      <c r="AD10" s="23">
        <f>((B20-B19)*(AD5/2))</f>
        <v>9575.8547999999992</v>
      </c>
      <c r="AE10" s="23">
        <f>((B21-B20)*(AE5^1/2))</f>
        <v>12926.452500000001</v>
      </c>
      <c r="AF10" s="23">
        <f>((B22-B21)*(AF5^1/2))</f>
        <v>12823.880800000001</v>
      </c>
      <c r="AG10" s="23">
        <f>((B23-B22)*(AG5/2))</f>
        <v>15653.226000000001</v>
      </c>
      <c r="AH10" s="23">
        <f>((B24-B23)*(AH5/2))</f>
        <v>37756.117900000005</v>
      </c>
      <c r="AI10" s="23">
        <f>((B25-B24)*(AI5^1/2))</f>
        <v>13179.690700000001</v>
      </c>
      <c r="AJ10" s="23">
        <f>((B26-B25)*(AJ5/2))</f>
        <v>18322.2039</v>
      </c>
      <c r="AK10" s="23">
        <f>((B27-B26)*(AK5/2))</f>
        <v>12591.1605</v>
      </c>
      <c r="AL10" s="23">
        <f>((B28-B27)*(AL5^1/2))</f>
        <v>1253.325</v>
      </c>
      <c r="AM10" s="23">
        <f>((B29-B28)*(AM5/2))</f>
        <v>218.73249999999999</v>
      </c>
      <c r="AN10" s="23">
        <f>((B30-B29)*(AN5/2))</f>
        <v>1706.0965999999999</v>
      </c>
      <c r="AO10" s="23">
        <f>((B31-B30)*(AO5/2))</f>
        <v>26818.702499999999</v>
      </c>
      <c r="AP10" s="23">
        <f>((B32-B31)*(AP5^1/2))</f>
        <v>47530.688999999998</v>
      </c>
      <c r="AQ10" s="23">
        <f>((C32-C31)*(AQ5/2))</f>
        <v>21953.685600000001</v>
      </c>
      <c r="AR10" s="23">
        <f>((D32-D31)*(AR5^1/2))</f>
        <v>-11366.970300000001</v>
      </c>
    </row>
    <row r="11" spans="1:44" ht="15" customHeight="1" x14ac:dyDescent="0.25">
      <c r="A11" s="13" t="s">
        <v>27</v>
      </c>
      <c r="B11" s="14">
        <v>799893</v>
      </c>
      <c r="C11" s="14">
        <v>132201</v>
      </c>
      <c r="D11" s="15">
        <v>0</v>
      </c>
      <c r="E11" s="14">
        <v>707869</v>
      </c>
      <c r="F11" s="15">
        <v>0</v>
      </c>
      <c r="G11" s="16">
        <v>-44200</v>
      </c>
      <c r="H11" s="15">
        <v>0</v>
      </c>
      <c r="I11" s="14">
        <v>53000000</v>
      </c>
      <c r="J11" s="15">
        <v>0</v>
      </c>
      <c r="K11" s="14">
        <v>991099.99462999997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4">
        <v>1191084</v>
      </c>
      <c r="C12" s="14">
        <v>222300</v>
      </c>
      <c r="D12" s="15">
        <v>0</v>
      </c>
      <c r="E12" s="14">
        <v>779467</v>
      </c>
      <c r="F12" s="15">
        <v>0</v>
      </c>
      <c r="G12" s="16">
        <v>-60900</v>
      </c>
      <c r="H12" s="15">
        <v>0</v>
      </c>
      <c r="I12" s="14">
        <v>69671069</v>
      </c>
      <c r="J12" s="17">
        <v>0.99085586122000002</v>
      </c>
      <c r="K12" s="14">
        <v>1483612.9802999999</v>
      </c>
      <c r="M12" s="1" t="s">
        <v>30</v>
      </c>
      <c r="N12" s="1"/>
      <c r="O12" s="1"/>
      <c r="P12" s="4">
        <v>0</v>
      </c>
      <c r="Q12" s="24">
        <f>-($P$7+$P$8)*$N$1</f>
        <v>0</v>
      </c>
      <c r="R12" s="24">
        <f>-((($P$7+$P$8)*(1+Q5))+($Q$7+$Q$8))*N1</f>
        <v>0</v>
      </c>
      <c r="S12" s="24">
        <f>-((($P$7+$P$8)*(1+Q5)*(1+R5))+(($Q$7+$Q$8)*(1+R5))+((R7+R8)))*$N$1</f>
        <v>-595.14354528000001</v>
      </c>
      <c r="T12" s="24">
        <f>-((($P$7+$P$8)*(1+R5)*(1+S5)*(1+Q5))+(($Q$7+$Q$8)*(1+S5)*(1+R5))+((R7+R8)*(1+S5))+((S7+S8)))*$N$1</f>
        <v>-6858.3599897360646</v>
      </c>
      <c r="U12" s="24">
        <f>-((($P$7+$P$8)*(1+T5)*(1+R5)*(1+S5)*(1+Q5))+(($Q$7+$Q$8)*(1+T5)*(1+S5)*(1+R5))+((R7+R8)*(1+S5)*(1+T5))+((S7+S8)*(1+T5))+(T7+T8))*$N$1</f>
        <v>-11587.473170683554</v>
      </c>
      <c r="V12" s="24">
        <f>-((($P$7+$P$8)*(1+U5)*(1+S5)*(1+T5)*(1+R5)*(1+Q5))+(($Q$7+$Q$8)*(1+U5)*(1+T5)*(1+S5)*(1+R5))+(($R$7+$R$8)*(1+U5)*(1+T5)*(1+S5))+((S7+S8)*(1+T5)*(1+U5))+((T7+T8)*(1+U5))+(U7+U8))*$N$1</f>
        <v>-18517.906399629897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-32232.77694075635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-45949.880974015796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-60026.864337130508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-72263.338584134544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-79677.182893767065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-93556.210615794364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-119254.93366258727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-143259.89678135663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-185211.06030313449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-242788.07302181443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-293943.39163865033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-365017.85449789843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-440425.42330727802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-518998.85848007974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-573717.63993319997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-604198.37271543534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-679029.48932516936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-760701.2185202078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-815441.25596420327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-925326.02662673045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-1012307.8773310671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-990958.45195918635</v>
      </c>
    </row>
    <row r="13" spans="1:44" ht="15" customHeight="1" x14ac:dyDescent="0.25">
      <c r="A13" s="13" t="s">
        <v>31</v>
      </c>
      <c r="B13" s="14">
        <v>1356693</v>
      </c>
      <c r="C13" s="14">
        <v>246379</v>
      </c>
      <c r="D13" s="15">
        <v>0</v>
      </c>
      <c r="E13" s="14">
        <v>968555</v>
      </c>
      <c r="F13" s="15">
        <v>0</v>
      </c>
      <c r="G13" s="16">
        <v>-80100</v>
      </c>
      <c r="H13" s="20">
        <v>3.3474355828000002</v>
      </c>
      <c r="I13" s="14">
        <v>69687259</v>
      </c>
      <c r="J13" s="17">
        <v>1.7017448093</v>
      </c>
      <c r="K13" s="14">
        <v>2358206.8108999999</v>
      </c>
      <c r="M13" t="s">
        <v>32</v>
      </c>
      <c r="P13">
        <v>0</v>
      </c>
      <c r="Q13" s="24">
        <f t="shared" ref="Q13:AR13" si="0">Q12*Q5</f>
        <v>0</v>
      </c>
      <c r="R13" s="24">
        <f t="shared" si="0"/>
        <v>0</v>
      </c>
      <c r="S13" s="24">
        <f t="shared" si="0"/>
        <v>-53.205832948031997</v>
      </c>
      <c r="T13" s="24">
        <f t="shared" si="0"/>
        <v>-409.44409138724308</v>
      </c>
      <c r="U13" s="24">
        <f t="shared" si="0"/>
        <v>-888.75919219142861</v>
      </c>
      <c r="V13" s="24">
        <f t="shared" si="0"/>
        <v>-2320.293671873626</v>
      </c>
      <c r="W13" s="24">
        <f t="shared" si="0"/>
        <v>-2997.6482554903405</v>
      </c>
      <c r="X13" s="24">
        <f t="shared" si="0"/>
        <v>-3492.1909540252004</v>
      </c>
      <c r="Y13" s="24">
        <f t="shared" si="0"/>
        <v>-3415.5285807827258</v>
      </c>
      <c r="Z13" s="24">
        <f t="shared" si="0"/>
        <v>-2269.0688315418247</v>
      </c>
      <c r="AA13" s="24">
        <f t="shared" si="0"/>
        <v>-3553.6023570620114</v>
      </c>
      <c r="AB13" s="24">
        <f t="shared" si="0"/>
        <v>-5519.8164263318668</v>
      </c>
      <c r="AC13" s="24">
        <f t="shared" si="0"/>
        <v>-5139.8876408575115</v>
      </c>
      <c r="AD13" s="24">
        <f t="shared" si="0"/>
        <v>-8466.6598997781766</v>
      </c>
      <c r="AE13" s="24">
        <f t="shared" si="0"/>
        <v>-12038.718919703742</v>
      </c>
      <c r="AF13" s="24">
        <f t="shared" si="0"/>
        <v>-14178.823464473962</v>
      </c>
      <c r="AG13" s="24">
        <f t="shared" si="0"/>
        <v>-17372.054445844235</v>
      </c>
      <c r="AH13" s="24">
        <f t="shared" si="0"/>
        <v>-23397.644473315289</v>
      </c>
      <c r="AI13" s="24">
        <f t="shared" si="0"/>
        <v>-46993.392666886568</v>
      </c>
      <c r="AJ13" s="24">
        <f t="shared" si="0"/>
        <v>-32645.028198397013</v>
      </c>
      <c r="AK13" s="24">
        <f t="shared" si="0"/>
        <v>-16924.670378029397</v>
      </c>
      <c r="AL13" s="24">
        <f t="shared" si="0"/>
        <v>-22657.438976828824</v>
      </c>
      <c r="AM13" s="24">
        <f t="shared" si="0"/>
        <v>-29266.170989914797</v>
      </c>
      <c r="AN13" s="24">
        <f t="shared" si="0"/>
        <v>-34383.695077113392</v>
      </c>
      <c r="AO13" s="24">
        <f t="shared" si="0"/>
        <v>-82033.390349998852</v>
      </c>
      <c r="AP13" s="24">
        <f t="shared" si="0"/>
        <v>-53576.376941687697</v>
      </c>
      <c r="AQ13" s="24">
        <f t="shared" si="0"/>
        <v>-46768.6239326953</v>
      </c>
      <c r="AR13" s="24">
        <f t="shared" si="0"/>
        <v>-47863.293229628704</v>
      </c>
    </row>
    <row r="14" spans="1:44" ht="15" customHeight="1" x14ac:dyDescent="0.25">
      <c r="A14" s="13" t="s">
        <v>33</v>
      </c>
      <c r="B14" s="14">
        <v>1600502</v>
      </c>
      <c r="C14" s="14">
        <v>414479</v>
      </c>
      <c r="D14" s="15">
        <v>0</v>
      </c>
      <c r="E14" s="14">
        <v>1047434</v>
      </c>
      <c r="F14" s="15">
        <v>0</v>
      </c>
      <c r="G14" s="16">
        <v>-132300</v>
      </c>
      <c r="H14" s="20">
        <v>5.8418411214999999</v>
      </c>
      <c r="I14" s="14">
        <v>69501953</v>
      </c>
      <c r="J14" s="17">
        <v>1.7798877012000001</v>
      </c>
      <c r="K14" s="14">
        <v>3544599.6030000001</v>
      </c>
      <c r="M14" s="39" t="s">
        <v>34</v>
      </c>
      <c r="N14" s="39"/>
      <c r="O14" s="40"/>
      <c r="P14" s="40">
        <f t="shared" ref="P14:AR14" si="1">(P7+P8)-(P9+P10)+P12+P13</f>
        <v>0</v>
      </c>
      <c r="Q14" s="40">
        <f t="shared" si="1"/>
        <v>-20561.553900000003</v>
      </c>
      <c r="R14" s="40">
        <f t="shared" si="1"/>
        <v>-4474.0402999999997</v>
      </c>
      <c r="S14" s="40">
        <f t="shared" si="1"/>
        <v>3591.2668217719647</v>
      </c>
      <c r="T14" s="40">
        <f t="shared" si="1"/>
        <v>-19039.7575732431</v>
      </c>
      <c r="U14" s="40">
        <f t="shared" si="1"/>
        <v>-24669.488042542733</v>
      </c>
      <c r="V14" s="40">
        <f t="shared" si="1"/>
        <v>-49836.142777978508</v>
      </c>
      <c r="W14" s="40">
        <f t="shared" si="1"/>
        <v>-68584.588208129819</v>
      </c>
      <c r="X14" s="40">
        <f t="shared" si="1"/>
        <v>-79396.863085202844</v>
      </c>
      <c r="Y14" s="40">
        <f t="shared" si="1"/>
        <v>-92424.346294187999</v>
      </c>
      <c r="Z14" s="40">
        <f t="shared" si="1"/>
        <v>-93762.113571288122</v>
      </c>
      <c r="AA14" s="40">
        <f t="shared" si="1"/>
        <v>-141787.91445334739</v>
      </c>
      <c r="AB14" s="40">
        <f t="shared" si="1"/>
        <v>-192185.77559458237</v>
      </c>
      <c r="AC14" s="40">
        <f t="shared" si="1"/>
        <v>-160258.55992116404</v>
      </c>
      <c r="AD14" s="40">
        <f t="shared" si="1"/>
        <v>-142886.85047950741</v>
      </c>
      <c r="AE14" s="40">
        <f t="shared" si="1"/>
        <v>-135251.53943694389</v>
      </c>
      <c r="AF14" s="40">
        <f t="shared" si="1"/>
        <v>-280687.78787973255</v>
      </c>
      <c r="AG14" s="40">
        <f t="shared" si="1"/>
        <v>-206653.94114860301</v>
      </c>
      <c r="AH14" s="40">
        <f t="shared" si="1"/>
        <v>-407239.7975446143</v>
      </c>
      <c r="AI14" s="40">
        <f t="shared" si="1"/>
        <v>-1152905.6815823268</v>
      </c>
      <c r="AJ14" s="40">
        <f t="shared" si="1"/>
        <v>-942120.28002619091</v>
      </c>
      <c r="AK14" s="40">
        <f t="shared" si="1"/>
        <v>-735631.00361511367</v>
      </c>
      <c r="AL14" s="40">
        <f t="shared" si="1"/>
        <v>-473742.70391634479</v>
      </c>
      <c r="AM14" s="40">
        <f t="shared" si="1"/>
        <v>-610387.97549402411</v>
      </c>
      <c r="AN14" s="40">
        <f t="shared" si="1"/>
        <v>-1027127.2188900141</v>
      </c>
      <c r="AO14" s="40">
        <f t="shared" si="1"/>
        <v>-1576043.3370528391</v>
      </c>
      <c r="AP14" s="40">
        <f t="shared" si="1"/>
        <v>-1199627.8703342958</v>
      </c>
      <c r="AQ14" s="40">
        <f t="shared" si="1"/>
        <v>-1249852.48211283</v>
      </c>
      <c r="AR14" s="40">
        <f t="shared" si="1"/>
        <v>714620.61843801755</v>
      </c>
    </row>
    <row r="15" spans="1:44" ht="15" customHeight="1" x14ac:dyDescent="0.25">
      <c r="A15" s="13" t="s">
        <v>35</v>
      </c>
      <c r="B15" s="14">
        <v>1790165</v>
      </c>
      <c r="C15" s="14">
        <v>299178</v>
      </c>
      <c r="D15" s="15">
        <v>0</v>
      </c>
      <c r="E15" s="14">
        <v>1072729</v>
      </c>
      <c r="F15" s="15">
        <v>0</v>
      </c>
      <c r="G15" s="14">
        <v>-129523</v>
      </c>
      <c r="H15" s="20">
        <v>6.0879013488</v>
      </c>
      <c r="I15" s="14">
        <v>81136</v>
      </c>
      <c r="J15" s="15">
        <v>0</v>
      </c>
      <c r="K15" s="14">
        <v>2636920</v>
      </c>
    </row>
    <row r="16" spans="1:44" ht="15" customHeight="1" x14ac:dyDescent="0.25">
      <c r="A16" s="13" t="s">
        <v>36</v>
      </c>
      <c r="B16" s="14">
        <v>1933511</v>
      </c>
      <c r="C16" s="14">
        <v>282064</v>
      </c>
      <c r="D16" s="15">
        <v>0</v>
      </c>
      <c r="E16" s="14">
        <v>1111775</v>
      </c>
      <c r="F16" s="15">
        <v>0</v>
      </c>
      <c r="G16" s="14">
        <v>-148565</v>
      </c>
      <c r="H16" s="20">
        <v>8.7630372334000004</v>
      </c>
      <c r="I16" s="14">
        <v>81157</v>
      </c>
      <c r="J16" s="15">
        <v>0</v>
      </c>
      <c r="K16" s="14">
        <v>3975881.43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4600785</v>
      </c>
      <c r="C17" s="14">
        <v>181893</v>
      </c>
      <c r="D17" s="15">
        <v>0</v>
      </c>
      <c r="E17" s="14">
        <v>2268885</v>
      </c>
      <c r="F17" s="15">
        <v>0</v>
      </c>
      <c r="G17" s="14">
        <v>-65652</v>
      </c>
      <c r="H17" s="20">
        <v>1.4827216667000001</v>
      </c>
      <c r="I17" s="14">
        <v>80738</v>
      </c>
      <c r="J17" s="17">
        <v>4.5830663371</v>
      </c>
      <c r="K17" s="14">
        <v>5086494</v>
      </c>
      <c r="L17" s="41" t="str">
        <f>+L19</f>
        <v>Ultrapar ON</v>
      </c>
      <c r="M17" s="2" t="s">
        <v>38</v>
      </c>
      <c r="N17" s="2"/>
      <c r="O17" s="28"/>
      <c r="P17" s="42">
        <f>+C6</f>
        <v>0</v>
      </c>
      <c r="Q17" s="42">
        <f>C7</f>
        <v>35111</v>
      </c>
      <c r="R17" s="42">
        <f>C8</f>
        <v>44472</v>
      </c>
      <c r="S17" s="42">
        <f>C9</f>
        <v>87922</v>
      </c>
      <c r="T17" s="42">
        <f>C10</f>
        <v>128497</v>
      </c>
      <c r="U17" s="42">
        <f>C11</f>
        <v>132201</v>
      </c>
      <c r="V17" s="42">
        <f>C12</f>
        <v>222300</v>
      </c>
      <c r="W17" s="42">
        <f>C13</f>
        <v>246379</v>
      </c>
      <c r="X17" s="42">
        <f>C14</f>
        <v>414479</v>
      </c>
      <c r="Y17" s="42">
        <f>C15</f>
        <v>299178</v>
      </c>
      <c r="Z17" s="42">
        <f>C16</f>
        <v>282064</v>
      </c>
      <c r="AA17" s="42">
        <f>C17</f>
        <v>181893</v>
      </c>
      <c r="AB17" s="42">
        <f>C18</f>
        <v>390269</v>
      </c>
      <c r="AC17" s="42">
        <f>C19</f>
        <v>466748</v>
      </c>
      <c r="AD17" s="42">
        <f>C20</f>
        <v>765303</v>
      </c>
      <c r="AE17" s="42">
        <f>C21</f>
        <v>848764</v>
      </c>
      <c r="AF17" s="42">
        <f>C22</f>
        <v>1011009</v>
      </c>
      <c r="AG17" s="42">
        <f>C23</f>
        <v>1225143</v>
      </c>
      <c r="AH17" s="42">
        <f>C24</f>
        <v>1241563</v>
      </c>
      <c r="AI17" s="42">
        <f>C25</f>
        <v>1503466</v>
      </c>
      <c r="AJ17" s="42">
        <f>C26</f>
        <v>1561585</v>
      </c>
      <c r="AK17" s="42">
        <f>C27</f>
        <v>1574306</v>
      </c>
      <c r="AL17" s="42">
        <f>C28</f>
        <v>1150421</v>
      </c>
      <c r="AM17" s="42">
        <f>C29</f>
        <v>373526</v>
      </c>
      <c r="AN17" s="42">
        <f>C30</f>
        <v>893383</v>
      </c>
      <c r="AO17" s="42">
        <f>C31</f>
        <v>850463</v>
      </c>
      <c r="AP17" s="42">
        <f>C32</f>
        <v>1800839</v>
      </c>
      <c r="AQ17" s="42">
        <f>D32</f>
        <v>1000574</v>
      </c>
      <c r="AR17" s="42">
        <f>E32</f>
        <v>7653790</v>
      </c>
    </row>
    <row r="18" spans="1:44" ht="15" customHeight="1" x14ac:dyDescent="0.25">
      <c r="A18" s="13" t="s">
        <v>39</v>
      </c>
      <c r="B18" s="14">
        <v>4650076</v>
      </c>
      <c r="C18" s="14">
        <v>390269</v>
      </c>
      <c r="D18" s="15">
        <v>0</v>
      </c>
      <c r="E18" s="14">
        <v>3131496</v>
      </c>
      <c r="F18" s="15">
        <v>0</v>
      </c>
      <c r="G18" s="14">
        <v>-398927</v>
      </c>
      <c r="H18" s="20">
        <v>4.6294584274000004</v>
      </c>
      <c r="I18" s="14">
        <v>133888</v>
      </c>
      <c r="J18" s="17">
        <v>4.604873048</v>
      </c>
      <c r="K18" s="14">
        <v>6804188.1600000001</v>
      </c>
      <c r="L18" s="43" t="str">
        <f>+L19</f>
        <v>Ultrapar ON</v>
      </c>
      <c r="M18" s="18" t="s">
        <v>40</v>
      </c>
      <c r="N18" s="18"/>
      <c r="O18" s="25"/>
      <c r="P18" s="44">
        <f t="shared" ref="P18:AR18" si="2">P14+P17</f>
        <v>0</v>
      </c>
      <c r="Q18" s="44">
        <f t="shared" si="2"/>
        <v>14549.446099999997</v>
      </c>
      <c r="R18" s="44">
        <f t="shared" si="2"/>
        <v>39997.959699999999</v>
      </c>
      <c r="S18" s="44">
        <f t="shared" si="2"/>
        <v>91513.266821771962</v>
      </c>
      <c r="T18" s="44">
        <f t="shared" si="2"/>
        <v>109457.2424267569</v>
      </c>
      <c r="U18" s="44">
        <f t="shared" si="2"/>
        <v>107531.51195745726</v>
      </c>
      <c r="V18" s="44">
        <f t="shared" si="2"/>
        <v>172463.8572220215</v>
      </c>
      <c r="W18" s="44">
        <f t="shared" si="2"/>
        <v>177794.4117918702</v>
      </c>
      <c r="X18" s="44">
        <f t="shared" si="2"/>
        <v>335082.13691479713</v>
      </c>
      <c r="Y18" s="44">
        <f t="shared" si="2"/>
        <v>206753.653705812</v>
      </c>
      <c r="Z18" s="44">
        <f t="shared" si="2"/>
        <v>188301.88642871188</v>
      </c>
      <c r="AA18" s="44">
        <f t="shared" si="2"/>
        <v>40105.085546652612</v>
      </c>
      <c r="AB18" s="44">
        <f t="shared" si="2"/>
        <v>198083.22440541763</v>
      </c>
      <c r="AC18" s="44">
        <f t="shared" si="2"/>
        <v>306489.44007883593</v>
      </c>
      <c r="AD18" s="44">
        <f t="shared" si="2"/>
        <v>622416.14952049265</v>
      </c>
      <c r="AE18" s="44">
        <f t="shared" si="2"/>
        <v>713512.46056305617</v>
      </c>
      <c r="AF18" s="44">
        <f t="shared" si="2"/>
        <v>730321.21212026745</v>
      </c>
      <c r="AG18" s="44">
        <f t="shared" si="2"/>
        <v>1018489.058851397</v>
      </c>
      <c r="AH18" s="44">
        <f t="shared" si="2"/>
        <v>834323.2024553857</v>
      </c>
      <c r="AI18" s="44">
        <f t="shared" si="2"/>
        <v>350560.31841767323</v>
      </c>
      <c r="AJ18" s="44">
        <f t="shared" si="2"/>
        <v>619464.71997380909</v>
      </c>
      <c r="AK18" s="44">
        <f t="shared" si="2"/>
        <v>838674.99638488633</v>
      </c>
      <c r="AL18" s="44">
        <f t="shared" si="2"/>
        <v>676678.29608365521</v>
      </c>
      <c r="AM18" s="44">
        <f t="shared" si="2"/>
        <v>-236861.97549402411</v>
      </c>
      <c r="AN18" s="44">
        <f t="shared" si="2"/>
        <v>-133744.2188900141</v>
      </c>
      <c r="AO18" s="44">
        <f t="shared" si="2"/>
        <v>-725580.33705283911</v>
      </c>
      <c r="AP18" s="44">
        <f t="shared" si="2"/>
        <v>601211.12966570421</v>
      </c>
      <c r="AQ18" s="44">
        <f t="shared" si="2"/>
        <v>-249278.48211283004</v>
      </c>
      <c r="AR18" s="44">
        <f t="shared" si="2"/>
        <v>8368410.6184380176</v>
      </c>
    </row>
    <row r="19" spans="1:44" ht="15" customHeight="1" x14ac:dyDescent="0.25">
      <c r="A19" s="13" t="s">
        <v>41</v>
      </c>
      <c r="B19" s="14">
        <v>4829274</v>
      </c>
      <c r="C19" s="14">
        <v>466748</v>
      </c>
      <c r="D19" s="15">
        <v>0</v>
      </c>
      <c r="E19" s="14">
        <v>3791274</v>
      </c>
      <c r="F19" s="15">
        <v>0</v>
      </c>
      <c r="G19" s="14">
        <v>-242886</v>
      </c>
      <c r="H19" s="20">
        <v>3.1827628582999998</v>
      </c>
      <c r="I19" s="14">
        <v>133951</v>
      </c>
      <c r="J19" s="15">
        <v>0</v>
      </c>
      <c r="K19" s="14">
        <v>10730814.609999999</v>
      </c>
      <c r="L19" s="18" t="str">
        <f>+A1</f>
        <v>Ultrapar ON</v>
      </c>
      <c r="M19" s="18" t="s">
        <v>42</v>
      </c>
      <c r="N19" s="18"/>
      <c r="O19" s="31"/>
      <c r="P19" s="45"/>
      <c r="Q19" s="45"/>
      <c r="R19" s="45">
        <f t="shared" ref="R19:AR19" si="3">R18/R17</f>
        <v>0.89939646744018709</v>
      </c>
      <c r="S19" s="45">
        <f t="shared" si="3"/>
        <v>1.040846054704988</v>
      </c>
      <c r="T19" s="45">
        <f t="shared" si="3"/>
        <v>0.85182722107719944</v>
      </c>
      <c r="U19" s="45">
        <f t="shared" si="3"/>
        <v>0.8133940889816057</v>
      </c>
      <c r="V19" s="45">
        <f t="shared" si="3"/>
        <v>0.7758158219614103</v>
      </c>
      <c r="W19" s="45">
        <f t="shared" si="3"/>
        <v>0.7216297322087929</v>
      </c>
      <c r="X19" s="45">
        <f t="shared" si="3"/>
        <v>0.80844177127139649</v>
      </c>
      <c r="Y19" s="45">
        <f t="shared" si="3"/>
        <v>0.69107238401825</v>
      </c>
      <c r="Z19" s="45">
        <f t="shared" si="3"/>
        <v>0.66758567711126504</v>
      </c>
      <c r="AA19" s="45">
        <f t="shared" si="3"/>
        <v>0.22048724000732636</v>
      </c>
      <c r="AB19" s="45">
        <f t="shared" si="3"/>
        <v>0.5075556203680478</v>
      </c>
      <c r="AC19" s="45">
        <f t="shared" si="3"/>
        <v>0.65664864140571777</v>
      </c>
      <c r="AD19" s="45">
        <f t="shared" si="3"/>
        <v>0.81329375361195844</v>
      </c>
      <c r="AE19" s="45">
        <f t="shared" si="3"/>
        <v>0.84064882648540251</v>
      </c>
      <c r="AF19" s="45">
        <f t="shared" si="3"/>
        <v>0.7223686555908676</v>
      </c>
      <c r="AG19" s="45">
        <f t="shared" si="3"/>
        <v>0.83132259568997013</v>
      </c>
      <c r="AH19" s="45">
        <f t="shared" si="3"/>
        <v>0.67199425438369675</v>
      </c>
      <c r="AI19" s="45">
        <f t="shared" si="3"/>
        <v>0.23316810517675374</v>
      </c>
      <c r="AJ19" s="45">
        <f t="shared" si="3"/>
        <v>0.39668972228460769</v>
      </c>
      <c r="AK19" s="45">
        <f t="shared" si="3"/>
        <v>0.53272679922765098</v>
      </c>
      <c r="AL19" s="45">
        <f t="shared" si="3"/>
        <v>0.58820057707887397</v>
      </c>
      <c r="AM19" s="45">
        <f t="shared" si="3"/>
        <v>-0.63412446655393229</v>
      </c>
      <c r="AN19" s="45">
        <f t="shared" si="3"/>
        <v>-0.14970535469111693</v>
      </c>
      <c r="AO19" s="45">
        <f t="shared" si="3"/>
        <v>-0.85315920510691134</v>
      </c>
      <c r="AP19" s="45">
        <f t="shared" si="3"/>
        <v>0.33385057168669946</v>
      </c>
      <c r="AQ19" s="45">
        <f t="shared" si="3"/>
        <v>-0.24913547834825814</v>
      </c>
      <c r="AR19" s="45">
        <f t="shared" si="3"/>
        <v>1.0933682029998233</v>
      </c>
    </row>
    <row r="20" spans="1:44" ht="15" customHeight="1" x14ac:dyDescent="0.25">
      <c r="A20" s="13" t="s">
        <v>43</v>
      </c>
      <c r="B20" s="14">
        <v>5153330</v>
      </c>
      <c r="C20" s="14">
        <v>765303</v>
      </c>
      <c r="D20" s="14">
        <v>1345611</v>
      </c>
      <c r="E20" s="14">
        <v>4003704</v>
      </c>
      <c r="F20" s="14">
        <v>15258</v>
      </c>
      <c r="G20" s="14">
        <v>-339310</v>
      </c>
      <c r="H20" s="20">
        <v>5.1476620180000001</v>
      </c>
      <c r="I20" s="14">
        <v>133951</v>
      </c>
      <c r="J20" s="17">
        <v>4.2203473482999998</v>
      </c>
      <c r="K20" s="14">
        <v>14078250.1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5551067</v>
      </c>
      <c r="C21" s="14">
        <v>848764</v>
      </c>
      <c r="D21" s="14">
        <v>1539177</v>
      </c>
      <c r="E21" s="14">
        <v>4278931</v>
      </c>
      <c r="F21" s="14">
        <v>15419</v>
      </c>
      <c r="G21" s="14">
        <v>-502036</v>
      </c>
      <c r="H21" s="20">
        <v>2.9365823180000001</v>
      </c>
      <c r="I21" s="14">
        <v>536182.43999999994</v>
      </c>
      <c r="J21" s="17">
        <v>11.725689410999999</v>
      </c>
      <c r="K21" s="14">
        <v>17163199.903999999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5990241</v>
      </c>
      <c r="C22" s="14">
        <v>1011009</v>
      </c>
      <c r="D22" s="14">
        <v>1968615</v>
      </c>
      <c r="E22" s="14">
        <v>4701406</v>
      </c>
      <c r="F22" s="14">
        <v>15513</v>
      </c>
      <c r="G22" s="14">
        <v>-548610</v>
      </c>
      <c r="H22" s="20">
        <v>2.2034996759999999</v>
      </c>
      <c r="I22" s="14">
        <v>536412.43999999994</v>
      </c>
      <c r="J22" s="17">
        <v>17.376514306000001</v>
      </c>
      <c r="K22" s="14">
        <v>24830531.848000001</v>
      </c>
      <c r="L22" s="47" t="str">
        <f>+L24</f>
        <v>Ultrapar ON</v>
      </c>
      <c r="M22" s="39" t="s">
        <v>46</v>
      </c>
      <c r="N22" s="32"/>
      <c r="O22" s="32"/>
      <c r="P22" s="30">
        <v>0</v>
      </c>
      <c r="Q22" s="30">
        <v>787799</v>
      </c>
      <c r="R22" s="30">
        <v>474065</v>
      </c>
      <c r="S22" s="30">
        <v>10502002</v>
      </c>
      <c r="T22" s="30">
        <v>10565590</v>
      </c>
      <c r="U22" s="30">
        <v>799893</v>
      </c>
      <c r="V22" s="30">
        <v>1191084</v>
      </c>
      <c r="W22" s="30">
        <v>1356693</v>
      </c>
      <c r="X22" s="30">
        <v>1600502</v>
      </c>
      <c r="Y22" s="30">
        <v>1790165</v>
      </c>
      <c r="Z22" s="30">
        <v>1933511</v>
      </c>
      <c r="AA22" s="30">
        <v>4600785</v>
      </c>
      <c r="AB22" s="30">
        <v>4650076</v>
      </c>
      <c r="AC22" s="30">
        <v>4829274</v>
      </c>
      <c r="AD22" s="30">
        <v>5153330</v>
      </c>
      <c r="AE22" s="30">
        <v>5551067</v>
      </c>
      <c r="AF22" s="30">
        <v>5990241</v>
      </c>
      <c r="AG22" s="30">
        <v>6519961</v>
      </c>
      <c r="AH22" s="30">
        <v>7697999</v>
      </c>
      <c r="AI22" s="30">
        <v>7945041</v>
      </c>
      <c r="AJ22" s="30">
        <v>8527623</v>
      </c>
      <c r="AK22" s="30">
        <v>9381261</v>
      </c>
      <c r="AL22" s="30">
        <v>9448105</v>
      </c>
      <c r="AM22" s="30">
        <v>9458255</v>
      </c>
      <c r="AN22" s="30">
        <v>9533746</v>
      </c>
      <c r="AO22" s="30">
        <v>10066921</v>
      </c>
      <c r="AP22" s="30">
        <v>11708741</v>
      </c>
      <c r="AQ22" s="30">
        <v>11708741</v>
      </c>
      <c r="AR22" s="30">
        <v>11708741</v>
      </c>
    </row>
    <row r="23" spans="1:44" ht="15" customHeight="1" x14ac:dyDescent="0.25">
      <c r="A23" s="13" t="s">
        <v>47</v>
      </c>
      <c r="B23" s="14">
        <v>6519961</v>
      </c>
      <c r="C23" s="14">
        <v>1225143</v>
      </c>
      <c r="D23" s="14">
        <v>2168755</v>
      </c>
      <c r="E23" s="14">
        <v>4860225</v>
      </c>
      <c r="F23" s="14">
        <v>58941</v>
      </c>
      <c r="G23" s="14">
        <v>-711410</v>
      </c>
      <c r="H23" s="20">
        <v>2.3592493297999999</v>
      </c>
      <c r="I23" s="14">
        <v>536412.43999999994</v>
      </c>
      <c r="J23" s="17">
        <v>21.535891577000001</v>
      </c>
      <c r="K23" s="14">
        <v>30012276.017999999</v>
      </c>
      <c r="L23" s="47" t="str">
        <f>+L25</f>
        <v>Ultrapar ON</v>
      </c>
      <c r="M23" s="39" t="s">
        <v>48</v>
      </c>
      <c r="N23" s="32"/>
      <c r="O23" s="32"/>
      <c r="P23" s="30">
        <f>P22+P9+P10+P14</f>
        <v>0</v>
      </c>
      <c r="Q23" s="33">
        <f>Q22+Q9+Q10+Q14+((P9+P10+P14)*(1+Q5))</f>
        <v>787799</v>
      </c>
      <c r="R23" s="33">
        <f>R22+R9+R10+R14+((Q9+Q10+Q14)*(1+R5))+(((P9+P10+P14)*(1+R5)*(1+Q5)))</f>
        <v>480064.43090000004</v>
      </c>
      <c r="S23" s="33">
        <f>S22+S9+S10+S14+((R9+R10+R14)*(1+S5))+(((Q9+Q10+Q14)*(1+S5)*(1+R5)))+(((P9+P10+P14)*(1+S5)*(1+R5)*(1+Q5)))</f>
        <v>10570490.344066691</v>
      </c>
      <c r="T23" s="33">
        <f>T22+T9+T10+T14+((S9+S10+S14)*(1+T5))+(((R9+R10+R14)*(1+T5)*(1+S5)))+(((Q9+Q10+Q14)*(1+T5)*(1+S5)*(1+R5)))+(((P9+P10+P14)*(1+T5)*(1+S5)*(1+R5)*(1+Q5)))</f>
        <v>10674444.345432399</v>
      </c>
      <c r="U23" s="33">
        <f>U22+U9+U10+U14+((T9+T10+T14)*(1+U5))+((S9+S10+S14)*(1+U5)*(1+T5))+((R9+R10+R14)*(1+U5)*(1+T5)*(1+S5))+((Q9+Q10+Q14)*(1+U5)*(1+T5)*(1+S5)*(1+R5))+((P9+P10+P14)*(1+U5)*(1+T5)*(1+S5)*(1+R5)*(1+Q5))</f>
        <v>965524.21350889804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1471495.2906720436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1736011.1455261307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2065907.7890400263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2307530.8087666896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2444452.3437754265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5155370.4917005841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5341722.4060524721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5616507.6766836774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6172908.0297098653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6898723.2034562379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7532380.3561909273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8383280.2695795326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9816635.1278857924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10131422.885735001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10511857.646334635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10982111.439312613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11009294.249393487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10903613.678926708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10459054.648607302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10464179.22612381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11505968.424048303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10737925.131996637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11935027.822606018</v>
      </c>
    </row>
    <row r="24" spans="1:44" ht="15" customHeight="1" x14ac:dyDescent="0.25">
      <c r="A24" s="13" t="s">
        <v>49</v>
      </c>
      <c r="B24" s="14">
        <v>7697999</v>
      </c>
      <c r="C24" s="14">
        <v>1241563</v>
      </c>
      <c r="D24" s="14">
        <v>3158113</v>
      </c>
      <c r="E24" s="14">
        <v>5091971</v>
      </c>
      <c r="F24" s="14">
        <v>70465</v>
      </c>
      <c r="G24" s="14">
        <v>-783021</v>
      </c>
      <c r="H24" s="20">
        <v>2.7599611273</v>
      </c>
      <c r="I24" s="14">
        <v>549256.93999999994</v>
      </c>
      <c r="J24" s="17">
        <v>20.338259993000001</v>
      </c>
      <c r="K24" s="14">
        <v>28259269.563000001</v>
      </c>
      <c r="L24" s="47" t="str">
        <f>+L25</f>
        <v>Ultrapar ON</v>
      </c>
      <c r="M24" s="39" t="s">
        <v>50</v>
      </c>
      <c r="N24" s="32"/>
      <c r="O24" s="32"/>
      <c r="P24" s="30">
        <v>0</v>
      </c>
      <c r="Q24" s="30">
        <v>0</v>
      </c>
      <c r="R24" s="30">
        <v>0</v>
      </c>
      <c r="S24" s="30">
        <v>17428087.655999999</v>
      </c>
      <c r="T24" s="30">
        <v>16748049.408</v>
      </c>
      <c r="U24" s="30">
        <v>991099.99462999997</v>
      </c>
      <c r="V24" s="30">
        <v>1483612.9802999999</v>
      </c>
      <c r="W24" s="30">
        <v>2358206.8108999999</v>
      </c>
      <c r="X24" s="30">
        <v>3544599.6030000001</v>
      </c>
      <c r="Y24" s="30">
        <v>2636920</v>
      </c>
      <c r="Z24" s="30">
        <v>3975881.43</v>
      </c>
      <c r="AA24" s="30">
        <v>5086494</v>
      </c>
      <c r="AB24" s="30">
        <v>6804188.1600000001</v>
      </c>
      <c r="AC24" s="30">
        <v>10730814.609999999</v>
      </c>
      <c r="AD24" s="30">
        <v>14078250.1</v>
      </c>
      <c r="AE24" s="30">
        <v>17163199.903999999</v>
      </c>
      <c r="AF24" s="30">
        <v>24830531.848000001</v>
      </c>
      <c r="AG24" s="30">
        <v>30012276.017999999</v>
      </c>
      <c r="AH24" s="30">
        <v>28259269.563000001</v>
      </c>
      <c r="AI24" s="30">
        <v>32829412.083000001</v>
      </c>
      <c r="AJ24" s="30">
        <v>37187087.502999999</v>
      </c>
      <c r="AK24" s="30">
        <v>40752280.5</v>
      </c>
      <c r="AL24" s="30">
        <v>28888395.18</v>
      </c>
      <c r="AM24" s="30">
        <v>27672041.699000001</v>
      </c>
      <c r="AN24" s="30">
        <v>25882916.881999999</v>
      </c>
      <c r="AO24" s="30">
        <v>15868247.755999999</v>
      </c>
      <c r="AP24" s="30">
        <v>13810453.387</v>
      </c>
      <c r="AQ24" s="30">
        <f>+K33</f>
        <v>26929302.108871099</v>
      </c>
      <c r="AR24" s="30">
        <f>+K34</f>
        <v>16542474.6257664</v>
      </c>
    </row>
    <row r="25" spans="1:44" ht="15" customHeight="1" x14ac:dyDescent="0.25">
      <c r="A25" s="13" t="s">
        <v>51</v>
      </c>
      <c r="B25" s="14">
        <v>7945041</v>
      </c>
      <c r="C25" s="14">
        <v>1503466</v>
      </c>
      <c r="D25" s="14">
        <v>3293935</v>
      </c>
      <c r="E25" s="14">
        <v>5438895</v>
      </c>
      <c r="F25" s="14">
        <v>103728</v>
      </c>
      <c r="G25" s="14">
        <v>-831654</v>
      </c>
      <c r="H25" s="20">
        <v>2.4979321752999999</v>
      </c>
      <c r="I25" s="14">
        <v>543083.74</v>
      </c>
      <c r="J25" s="17">
        <v>24.478813077000002</v>
      </c>
      <c r="K25" s="14">
        <v>32829412.083000001</v>
      </c>
      <c r="L25" s="39" t="str">
        <f>+A1</f>
        <v>Ultrapar ON</v>
      </c>
      <c r="M25" s="39" t="s">
        <v>52</v>
      </c>
      <c r="N25" s="18"/>
      <c r="O25" s="18"/>
      <c r="P25" s="31"/>
      <c r="Q25" s="31">
        <f t="shared" ref="Q25:AR25" si="4">Q24/Q23</f>
        <v>0</v>
      </c>
      <c r="R25" s="31">
        <f t="shared" si="4"/>
        <v>0</v>
      </c>
      <c r="S25" s="31">
        <f t="shared" si="4"/>
        <v>1.6487492149105967</v>
      </c>
      <c r="T25" s="31">
        <f t="shared" si="4"/>
        <v>1.5689855945678803</v>
      </c>
      <c r="U25" s="31">
        <f t="shared" si="4"/>
        <v>1.0264890105947262</v>
      </c>
      <c r="V25" s="31">
        <f t="shared" si="4"/>
        <v>1.0082349496493612</v>
      </c>
      <c r="W25" s="31">
        <f t="shared" si="4"/>
        <v>1.3584053402982623</v>
      </c>
      <c r="X25" s="31">
        <f t="shared" si="4"/>
        <v>1.7157588648460846</v>
      </c>
      <c r="Y25" s="31">
        <f t="shared" si="4"/>
        <v>1.1427453059269703</v>
      </c>
      <c r="Z25" s="31">
        <f t="shared" si="4"/>
        <v>1.6264916925560922</v>
      </c>
      <c r="AA25" s="31">
        <f t="shared" si="4"/>
        <v>0.98663985608571381</v>
      </c>
      <c r="AB25" s="31">
        <f t="shared" si="4"/>
        <v>1.2737816836551581</v>
      </c>
      <c r="AC25" s="31">
        <f t="shared" si="4"/>
        <v>1.9105848736836617</v>
      </c>
      <c r="AD25" s="31">
        <f t="shared" si="4"/>
        <v>2.2806511991175245</v>
      </c>
      <c r="AE25" s="31">
        <f t="shared" si="4"/>
        <v>2.4878806407831076</v>
      </c>
      <c r="AF25" s="31">
        <f t="shared" si="4"/>
        <v>3.2965053109129805</v>
      </c>
      <c r="AG25" s="31">
        <f t="shared" si="4"/>
        <v>3.580015823508341</v>
      </c>
      <c r="AH25" s="31">
        <f t="shared" si="4"/>
        <v>2.8787124299572695</v>
      </c>
      <c r="AI25" s="31">
        <f t="shared" si="4"/>
        <v>3.240355520962773</v>
      </c>
      <c r="AJ25" s="31">
        <f t="shared" si="4"/>
        <v>3.5376323342779203</v>
      </c>
      <c r="AK25" s="31">
        <f t="shared" si="4"/>
        <v>3.7107873768353192</v>
      </c>
      <c r="AL25" s="31">
        <f t="shared" si="4"/>
        <v>2.6240006421475646</v>
      </c>
      <c r="AM25" s="31">
        <f t="shared" si="4"/>
        <v>2.5378780387718107</v>
      </c>
      <c r="AN25" s="31">
        <f t="shared" si="4"/>
        <v>2.4746898980441308</v>
      </c>
      <c r="AO25" s="31">
        <f t="shared" si="4"/>
        <v>1.5164350125411594</v>
      </c>
      <c r="AP25" s="31">
        <f t="shared" si="4"/>
        <v>1.2002860496414329</v>
      </c>
      <c r="AQ25" s="31">
        <f t="shared" si="4"/>
        <v>2.5078683058263973</v>
      </c>
      <c r="AR25" s="31">
        <f t="shared" si="4"/>
        <v>1.3860440772859752</v>
      </c>
    </row>
    <row r="26" spans="1:44" ht="15" customHeight="1" x14ac:dyDescent="0.25">
      <c r="A26" s="13" t="s">
        <v>53</v>
      </c>
      <c r="B26" s="14">
        <v>8527623</v>
      </c>
      <c r="C26" s="14">
        <v>1561585</v>
      </c>
      <c r="D26" s="14">
        <v>3371599</v>
      </c>
      <c r="E26" s="14">
        <v>5787982</v>
      </c>
      <c r="F26" s="14">
        <v>141687</v>
      </c>
      <c r="G26" s="14">
        <v>-873270</v>
      </c>
      <c r="H26" s="20">
        <v>2.3374726077000001</v>
      </c>
      <c r="I26" s="14">
        <v>543273.74</v>
      </c>
      <c r="J26" s="17">
        <v>28.365872677999999</v>
      </c>
      <c r="K26" s="14">
        <v>37187087.502999999</v>
      </c>
    </row>
    <row r="27" spans="1:44" ht="15" customHeight="1" x14ac:dyDescent="0.25">
      <c r="A27" s="13" t="s">
        <v>54</v>
      </c>
      <c r="B27" s="14">
        <v>9381261</v>
      </c>
      <c r="C27" s="14">
        <v>1574306</v>
      </c>
      <c r="D27" s="14">
        <v>3727473</v>
      </c>
      <c r="E27" s="14">
        <v>6607788</v>
      </c>
      <c r="F27" s="14">
        <v>150194</v>
      </c>
      <c r="G27" s="14">
        <v>-940250</v>
      </c>
      <c r="H27" s="20">
        <v>2.2933333333000001</v>
      </c>
      <c r="I27" s="14">
        <v>543363.74</v>
      </c>
      <c r="J27" s="17">
        <v>31.882326557999999</v>
      </c>
      <c r="K27" s="14">
        <v>40752280.5</v>
      </c>
      <c r="S27" s="67"/>
    </row>
    <row r="28" spans="1:44" ht="15" customHeight="1" x14ac:dyDescent="0.25">
      <c r="A28" s="13" t="s">
        <v>55</v>
      </c>
      <c r="B28" s="14">
        <v>9448105</v>
      </c>
      <c r="C28" s="14">
        <v>1150421</v>
      </c>
      <c r="D28" s="14">
        <v>2369355</v>
      </c>
      <c r="E28" s="14">
        <v>7278865</v>
      </c>
      <c r="F28" s="14">
        <v>129087</v>
      </c>
      <c r="G28" s="14">
        <v>-808603</v>
      </c>
      <c r="H28" s="20">
        <v>2.7443609023</v>
      </c>
      <c r="I28" s="14">
        <v>543014.94700000004</v>
      </c>
      <c r="J28" s="17">
        <v>23.190183376</v>
      </c>
      <c r="K28" s="14">
        <v>28888395.18</v>
      </c>
    </row>
    <row r="29" spans="1:44" ht="15" customHeight="1" x14ac:dyDescent="0.25">
      <c r="A29" s="13" t="s">
        <v>56</v>
      </c>
      <c r="B29" s="14">
        <v>9458255</v>
      </c>
      <c r="C29" s="14">
        <v>373526</v>
      </c>
      <c r="D29" s="14">
        <v>1762593</v>
      </c>
      <c r="E29" s="14">
        <v>9553674</v>
      </c>
      <c r="F29" s="14">
        <v>181619</v>
      </c>
      <c r="G29" s="14">
        <v>-596436</v>
      </c>
      <c r="H29" s="20">
        <v>2.1585557299999998</v>
      </c>
      <c r="I29" s="14">
        <v>1086029.8940000001</v>
      </c>
      <c r="J29" s="17">
        <v>22.774504831000002</v>
      </c>
      <c r="K29" s="14">
        <v>27672041.699000001</v>
      </c>
    </row>
    <row r="30" spans="1:44" ht="15" customHeight="1" x14ac:dyDescent="0.25">
      <c r="A30" s="13" t="s">
        <v>57</v>
      </c>
      <c r="B30" s="14">
        <v>9533746</v>
      </c>
      <c r="C30" s="14">
        <v>893383</v>
      </c>
      <c r="D30" s="14">
        <v>1782655</v>
      </c>
      <c r="E30" s="14">
        <v>10156146</v>
      </c>
      <c r="F30" s="14">
        <v>167481</v>
      </c>
      <c r="G30" s="14">
        <v>-284767</v>
      </c>
      <c r="H30" s="20">
        <v>1.0109519798</v>
      </c>
      <c r="I30" s="14">
        <v>1090266.0859999999</v>
      </c>
      <c r="J30" s="17">
        <v>21.488568425</v>
      </c>
      <c r="K30" s="14">
        <v>25882916.881999999</v>
      </c>
    </row>
    <row r="31" spans="1:44" ht="15" customHeight="1" x14ac:dyDescent="0.25">
      <c r="A31" s="13" t="s">
        <v>58</v>
      </c>
      <c r="B31" s="14">
        <v>10066921</v>
      </c>
      <c r="C31" s="14">
        <v>850463</v>
      </c>
      <c r="D31" s="14">
        <v>1471256</v>
      </c>
      <c r="E31" s="14">
        <v>7185886</v>
      </c>
      <c r="F31" s="14">
        <v>78593</v>
      </c>
      <c r="G31" s="14">
        <v>-705753</v>
      </c>
      <c r="H31" s="20">
        <v>4.4016506189999998</v>
      </c>
      <c r="I31" s="14">
        <v>1091351.29</v>
      </c>
      <c r="J31" s="17">
        <v>13.644854304000001</v>
      </c>
      <c r="K31" s="14">
        <v>15868247.755999999</v>
      </c>
    </row>
    <row r="32" spans="1:44" ht="15" customHeight="1" x14ac:dyDescent="0.25">
      <c r="A32" s="13" t="s">
        <v>59</v>
      </c>
      <c r="B32" s="14">
        <v>11708741</v>
      </c>
      <c r="C32" s="14">
        <v>1800839</v>
      </c>
      <c r="D32" s="14">
        <v>1000574</v>
      </c>
      <c r="E32" s="14">
        <v>7653790</v>
      </c>
      <c r="F32" s="14">
        <v>111384</v>
      </c>
      <c r="G32" s="14">
        <v>-638280</v>
      </c>
      <c r="H32" s="20">
        <v>4.6222839017000004</v>
      </c>
      <c r="I32" s="14">
        <v>1095198.524</v>
      </c>
      <c r="J32" s="17">
        <v>12.349589226000001</v>
      </c>
      <c r="K32" s="14">
        <v>12539509.6882139</v>
      </c>
    </row>
    <row r="33" spans="1:42" ht="15" customHeight="1" x14ac:dyDescent="0.25">
      <c r="A33" s="13" t="s">
        <v>60</v>
      </c>
      <c r="B33" s="14">
        <v>13506495</v>
      </c>
      <c r="C33" s="14">
        <v>2439795</v>
      </c>
      <c r="D33" s="14">
        <v>1610792</v>
      </c>
      <c r="E33" s="14">
        <v>8099107</v>
      </c>
      <c r="F33" s="14"/>
      <c r="G33" s="14"/>
      <c r="H33" s="14"/>
      <c r="I33" s="14"/>
      <c r="J33" s="14"/>
      <c r="K33" s="14">
        <v>26929302.108871099</v>
      </c>
    </row>
    <row r="34" spans="1:42" ht="15" customHeight="1" x14ac:dyDescent="0.25">
      <c r="A34" s="13" t="s">
        <v>61</v>
      </c>
      <c r="B34" s="14">
        <v>15158718</v>
      </c>
      <c r="C34" s="14">
        <v>2362740</v>
      </c>
      <c r="D34" s="14">
        <v>925971</v>
      </c>
      <c r="E34" s="14">
        <v>8807290</v>
      </c>
      <c r="F34" s="14"/>
      <c r="G34" s="14"/>
      <c r="H34" s="14"/>
      <c r="I34" s="14"/>
      <c r="J34" s="14"/>
      <c r="K34" s="14">
        <v>16542474.6257664</v>
      </c>
    </row>
    <row r="46" spans="1:42" ht="15" customHeight="1" x14ac:dyDescent="0.25">
      <c r="M46" s="46" t="s">
        <v>62</v>
      </c>
      <c r="N46" s="1"/>
      <c r="O46" s="1"/>
      <c r="P46" s="35"/>
      <c r="Q46" s="35"/>
      <c r="R46" s="35">
        <f>-G8/R17</f>
        <v>0.62061521856448998</v>
      </c>
      <c r="S46" s="35">
        <f>-G9/S17</f>
        <v>0.37874479652419191</v>
      </c>
      <c r="T46" s="35">
        <f>-G10/T17</f>
        <v>0.41012630645073428</v>
      </c>
      <c r="U46" s="35">
        <f>-G11/U17</f>
        <v>0.33433937716053586</v>
      </c>
      <c r="V46" s="35">
        <f>-G12/V17</f>
        <v>0.27395411605937919</v>
      </c>
      <c r="W46" s="35">
        <f>-G13/W17</f>
        <v>0.32510887697409274</v>
      </c>
      <c r="X46" s="35">
        <f>-G14/X17</f>
        <v>0.31919590618583815</v>
      </c>
      <c r="Y46" s="35">
        <f>-G15/Y17</f>
        <v>0.43292956032863378</v>
      </c>
      <c r="Z46" s="35">
        <f>-G16/Z17</f>
        <v>0.52670670486130811</v>
      </c>
      <c r="AA46" s="35">
        <f>-G17/AA17</f>
        <v>0.36093747422935463</v>
      </c>
      <c r="AB46" s="35">
        <f>-G18/AB17</f>
        <v>1.0221846982465941</v>
      </c>
      <c r="AC46" s="35">
        <f>-G19/AC17</f>
        <v>0.52037930532107257</v>
      </c>
      <c r="AD46" s="35">
        <f>-G20/AD17</f>
        <v>0.44336687560351912</v>
      </c>
      <c r="AE46" s="35">
        <f>-G21/AE17</f>
        <v>0.59149068527882898</v>
      </c>
      <c r="AF46" s="35">
        <f>-G22/AF17</f>
        <v>0.54263611896630004</v>
      </c>
      <c r="AG46" s="35">
        <f>-G23/AG17</f>
        <v>0.58067507221605963</v>
      </c>
      <c r="AH46" s="35">
        <f>-G24/AH17</f>
        <v>0.63067359449339255</v>
      </c>
      <c r="AI46" s="35">
        <f>-G25/AI17</f>
        <v>0.553157836625504</v>
      </c>
      <c r="AJ46" s="35">
        <f>-G26/AJ17</f>
        <v>0.55922027939561403</v>
      </c>
      <c r="AK46" s="35">
        <f>-G27/AK17</f>
        <v>0.59724729499855811</v>
      </c>
      <c r="AL46" s="35">
        <f>-G28/AL17</f>
        <v>0.70287572984151014</v>
      </c>
      <c r="AM46" s="35">
        <f>-G29/AM17</f>
        <v>1.596772379968195</v>
      </c>
      <c r="AN46" s="35">
        <f>-G30/AN17</f>
        <v>0.31875130822950515</v>
      </c>
      <c r="AO46" s="35">
        <f>-G31/AO17</f>
        <v>0.8298456252652967</v>
      </c>
      <c r="AP46" s="35">
        <f>-G32/AP17</f>
        <v>0.35443479400435018</v>
      </c>
    </row>
    <row r="47" spans="1:42" ht="15" customHeight="1" x14ac:dyDescent="0.25">
      <c r="M47" s="39" t="s">
        <v>63</v>
      </c>
      <c r="N47" s="32"/>
      <c r="O47" s="32"/>
      <c r="P47" s="36"/>
      <c r="Q47" s="36"/>
      <c r="R47" s="36">
        <f>-G8/R18</f>
        <v>0.69003519697030946</v>
      </c>
      <c r="S47" s="36">
        <f>-G9/S18</f>
        <v>0.36388166608513622</v>
      </c>
      <c r="T47" s="36">
        <f>-G10/T18</f>
        <v>0.48146654192630606</v>
      </c>
      <c r="U47" s="36">
        <f>-G11/U18</f>
        <v>0.41104230002352116</v>
      </c>
      <c r="V47" s="36">
        <f>-G12/V18</f>
        <v>0.3531174646152111</v>
      </c>
      <c r="W47" s="36">
        <f>-G13/W18</f>
        <v>0.4505203464649199</v>
      </c>
      <c r="X47" s="36">
        <f>-G14/X18</f>
        <v>0.39482856716304315</v>
      </c>
      <c r="Y47" s="36">
        <f>-G15/Y18</f>
        <v>0.62646051316847418</v>
      </c>
      <c r="Z47" s="36">
        <f>-G16/Z18</f>
        <v>0.78897244641383013</v>
      </c>
      <c r="AA47" s="36">
        <f>-G17/AA18</f>
        <v>1.6369993756435128</v>
      </c>
      <c r="AB47" s="36">
        <f>-G18/AB18</f>
        <v>2.0139363199354769</v>
      </c>
      <c r="AC47" s="36">
        <f>-G19/AC18</f>
        <v>0.79247754812539151</v>
      </c>
      <c r="AD47" s="36">
        <f>-G20/AD18</f>
        <v>0.54514973665352884</v>
      </c>
      <c r="AE47" s="36">
        <f>-G21/AE18</f>
        <v>0.70361209894474286</v>
      </c>
      <c r="AF47" s="36">
        <f>-G22/AF18</f>
        <v>0.75119001186789613</v>
      </c>
      <c r="AG47" s="36">
        <f>-G23/AG18</f>
        <v>0.69849547603613338</v>
      </c>
      <c r="AH47" s="36">
        <f>-G24/AH18</f>
        <v>0.93851039704468842</v>
      </c>
      <c r="AI47" s="36">
        <f>-G25/AI18</f>
        <v>2.3723563572564146</v>
      </c>
      <c r="AJ47" s="36">
        <f>-G26/AJ18</f>
        <v>1.4097170861270707</v>
      </c>
      <c r="AK47" s="36">
        <f>-G27/AK18</f>
        <v>1.1211136662627994</v>
      </c>
      <c r="AL47" s="36">
        <f>-G28/AL18</f>
        <v>1.194959265990756</v>
      </c>
      <c r="AM47" s="36">
        <f>-G29/AM18</f>
        <v>-2.5180740756552868</v>
      </c>
      <c r="AN47" s="36">
        <f>-G30/AN18</f>
        <v>-2.1291910959843503</v>
      </c>
      <c r="AO47" s="36">
        <f>-G31/AO18</f>
        <v>-0.9726738225385575</v>
      </c>
      <c r="AP47" s="36">
        <f>-G32/AP18</f>
        <v>1.0616569928685575</v>
      </c>
    </row>
    <row r="48" spans="1:42" ht="15" customHeight="1" x14ac:dyDescent="0.25">
      <c r="M48" s="39" t="s">
        <v>64</v>
      </c>
      <c r="N48" s="32"/>
      <c r="O48" s="32"/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37">
        <v>3.3474355828000002</v>
      </c>
      <c r="X48" s="37">
        <v>5.8418411214999999</v>
      </c>
      <c r="Y48" s="37">
        <v>6.0879013488</v>
      </c>
      <c r="Z48" s="37">
        <v>8.7630372334000004</v>
      </c>
      <c r="AA48" s="37">
        <v>1.4827216667000001</v>
      </c>
      <c r="AB48" s="37">
        <v>4.6294584274000004</v>
      </c>
      <c r="AC48" s="37">
        <v>3.1827628582999998</v>
      </c>
      <c r="AD48" s="37">
        <v>5.1476620180000001</v>
      </c>
      <c r="AE48" s="37">
        <v>2.9365823180000001</v>
      </c>
      <c r="AF48" s="37">
        <v>2.2034996759999999</v>
      </c>
      <c r="AG48" s="37">
        <v>2.3592493297999999</v>
      </c>
      <c r="AH48" s="37">
        <v>2.7599611273</v>
      </c>
      <c r="AI48" s="37">
        <v>2.4979321752999999</v>
      </c>
      <c r="AJ48" s="37">
        <v>2.3374726077000001</v>
      </c>
      <c r="AK48" s="37">
        <v>2.2933333333000001</v>
      </c>
      <c r="AL48" s="37">
        <v>2.7443609023</v>
      </c>
      <c r="AM48" s="37">
        <v>2.1585557299999998</v>
      </c>
      <c r="AN48" s="37">
        <v>1.0109519798</v>
      </c>
      <c r="AO48" s="37">
        <v>4.4016506189999998</v>
      </c>
      <c r="AP48" s="37">
        <v>4.6222839017000004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R49"/>
  <sheetViews>
    <sheetView showGridLines="0" topLeftCell="F1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3.7109375" customWidth="1"/>
    <col min="17" max="23" width="9" customWidth="1"/>
    <col min="24" max="26" width="12.5703125" customWidth="1"/>
    <col min="27" max="28" width="14.28515625" customWidth="1"/>
    <col min="29" max="30" width="15.28515625" customWidth="1"/>
    <col min="31" max="31" width="11" customWidth="1"/>
    <col min="32" max="42" width="15.28515625" customWidth="1"/>
    <col min="43" max="43" width="15.5703125" customWidth="1"/>
    <col min="44" max="44" width="14.7109375" customWidth="1"/>
  </cols>
  <sheetData>
    <row r="1" spans="1:44" ht="15" customHeight="1" x14ac:dyDescent="0.25">
      <c r="A1" s="6" t="s">
        <v>105</v>
      </c>
      <c r="M1" t="s">
        <v>1</v>
      </c>
      <c r="N1" s="7">
        <v>7.4099999999999999E-2</v>
      </c>
    </row>
    <row r="2" spans="1:44" ht="15" customHeight="1" x14ac:dyDescent="0.25">
      <c r="A2" s="6"/>
    </row>
    <row r="3" spans="1:44" ht="15" customHeight="1" x14ac:dyDescent="0.25">
      <c r="M3" s="2" t="s">
        <v>106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M7" s="1" t="s">
        <v>20</v>
      </c>
      <c r="N7" s="1"/>
      <c r="O7" s="5"/>
      <c r="P7" s="4">
        <f>((D5+E5)*P5)</f>
        <v>0</v>
      </c>
      <c r="Q7" s="4">
        <f>((D6+E6+P7+P8)*Q5)</f>
        <v>0</v>
      </c>
      <c r="R7" s="4">
        <f>((D7+E7+Q7+P7+P8+Q8)*R5)</f>
        <v>0</v>
      </c>
      <c r="S7" s="4">
        <f>((D8+E8+R7+Q7+P7+SUM($P$8:R8))*S5)</f>
        <v>0</v>
      </c>
      <c r="T7" s="4">
        <f>((D9+E9+S7+R7+Q7+P7+SUM($P$8:S8))*T5)</f>
        <v>0</v>
      </c>
      <c r="U7" s="4">
        <f>((D10+E10+T7+S7+R7+Q7+P7+SUM($P$8:T8))*U5)</f>
        <v>0</v>
      </c>
      <c r="V7" s="4">
        <f>((D11+E11+U7+T7+S7+R7+Q7+P7+SUM($P$8:U8))*V5)</f>
        <v>0</v>
      </c>
      <c r="W7" s="4">
        <f>((D12+E12+V7+U7+T7+S7+R7+Q7+P7+SUM($P$8:V8))*W5)</f>
        <v>0</v>
      </c>
      <c r="X7" s="4">
        <f>((D13+E13+W7+V7+U7+T7+S7+R7+Q7+P7+SUM($P$8:W8))*X5)</f>
        <v>0</v>
      </c>
      <c r="Y7" s="4">
        <f>((D14+E14+X7+W7+V7+U7+T7+S7+R7+Q7+P7+SUM($P$8:X8))*Y5)</f>
        <v>15754.310290199999</v>
      </c>
      <c r="Z7" s="4">
        <f>((E14+F14+Y7+X7+W7+V7+U7+T7+S7+R7+Q7+P7+SUM($P$8:Y8))*Z5)</f>
        <v>9239.4858223822794</v>
      </c>
      <c r="AA7" s="4">
        <f>((D16+E16+Z7+Y7+X7+W7+V7+U7+T7+S7+R7+P7+Q7+SUM($P$8:Z8))*AA5)</f>
        <v>51862.920894331168</v>
      </c>
      <c r="AB7" s="4">
        <f>((D17+E17+AA7+Z7+Y7+X7+W7+V7+U7+T7+S7+P7+Q7+R7+SUM($P$8:AA8))*AB5)</f>
        <v>156766.0269865579</v>
      </c>
      <c r="AC7" s="4">
        <f>((D18+E18+AB7+AA7+Z7+Y7+X7+W7+V7+U7+T7+S7+R7+Q7+P7+SUM($P$8:AB8))*AC5)</f>
        <v>226993.74574330362</v>
      </c>
      <c r="AD7" s="4">
        <f>((D19+E19+AC7+AB7+AA7+Z7+Y7+X7+W7+V7+U7+T7+S7+R7+Q7+P7+SUM($P$8:AC8))*AD5)</f>
        <v>830234.32138658839</v>
      </c>
      <c r="AE7" s="4">
        <f>((D20+E20+AD7+AC7+AB7+AA7+Z7+Y7+X7+W7+V7+U7+T7+S7+R7+Q7+P7+SUM($P$8:AD8))*AE5)</f>
        <v>1943729.5516777688</v>
      </c>
      <c r="AF7" s="4">
        <f>((E20+F20+AE7+AD7+AC7+AB7+AA7+Z7+Y7+X7+W7+V7+U7+T7+S7+R7+Q7+P7+SUM($P$8:AE8))*AF5)</f>
        <v>1120342.2922795459</v>
      </c>
      <c r="AG7" s="4">
        <f>((D22+E22+AF7+AE7+AD7+AC7+AB7+AA7+Z7+Y7+X7+W7+V7+U7+T7+R7+S7+Q7+P7+SUM($P$8:AF8))*AG5)</f>
        <v>1950170.2523346129</v>
      </c>
      <c r="AH7" s="4">
        <f>((E22+F22+AG7+AF7+AE7+AD7+AC7+AB7+AA7+Z7+Y7+X7+W7+V7+U7+S7+T7+R7+Q7+P7+SUM($P$8:AG8))*AH5)</f>
        <v>1521400.3901536001</v>
      </c>
      <c r="AI7" s="4">
        <f>((F22+G22+AH7+AG7+AF7+AE7+AD7+AC7+AB7+AA7+Z7+Y7+X7+W7+V7+T7+U7+S7+R7+Q7+P7+SUM($P$8:AH8))*AI5)</f>
        <v>978786.53920342086</v>
      </c>
      <c r="AJ7" s="4">
        <f>((G22+H22+AI7+AH7+AG7+AF7+AE7+AD7+AC7+AB7+AA7+Z7+Y7+X7+W7+U7+V7+T7+S7+R7+Q7+P7+SUM($P$8:AI8))*AJ5)</f>
        <v>712491.15791486844</v>
      </c>
      <c r="AK7" s="4">
        <f>((H22+I22+AJ7+AI7+AH7+AG7+AF7+AE7+AD7+AC7+AB7+AA7+Z7+Y7+X7+V7+W7+U7+T7+S7+R7+Q7+P7+SUM($P$8:AJ8))*AK5)</f>
        <v>432970.93019384675</v>
      </c>
      <c r="AL7" s="4">
        <f>((D27+E27+AK7+AJ7+AI7+AH7+AG7+AF7+AE7+AD7+AC7++AB7+AA7+Z7+Y7+X7+W7+V7+U7+T7+S7+R7+Q7+P7+SUM($P$8:AK8))*AL5)</f>
        <v>2769364.6380555374</v>
      </c>
      <c r="AM7" s="4">
        <f>((E27+F27+AL7+AK7+AJ7+AI7+AH7+AG7+AF7+AE7+AD7++AC7+AB7+AA7+Z7+Y7+X7+W7+V7+U7+T7+S7+R7+Q7+P7+SUM($P$8:AL8))*AM5)</f>
        <v>2100765.7232826515</v>
      </c>
      <c r="AN7" s="4">
        <f>((F27+G27+AM7+AL7+AK7+AJ7+AI7+AH7+AG7+AF7+AE7++AD7+AC7+AB7+AA7+Z7+Y7+X7+W7+V7+U7+T7+S7+R7+Q7+P7+SUM($P$8:AM8))*AN5)</f>
        <v>780270.84472924855</v>
      </c>
      <c r="AO7" s="4">
        <f>((G27+H27+AN7+AM7+AL7+AK7+AJ7+AI7+AH7+AG7+AF7++AE7+AD7+AC7+AB7+AA7+Z7+Y7+X7+W7+V7+U7+T7+S7+R7+Q7+P7+SUM($P$8:AN8))*AO5)</f>
        <v>1856443.6764327746</v>
      </c>
      <c r="AP7" s="4">
        <f>((H27+I27+AO7+AN7+AM7+AL7+AK7+AJ7+AI7+AH7+AG7++AF7+AE7+AD7+AC7+AB7+AA7+Z7+Y7+X7+W7+V7+U7+T7+S7+R7+Q7+P7+SUM($P$8:AO8))*AP5)</f>
        <v>1395715.2127429135</v>
      </c>
      <c r="AQ7" s="4">
        <f>((I27+J27+AP7+AO7+AN7+AM7+AL7+AK7+AJ7+AI7+AH7++AG7+AF7+AE7+AD7+AC7+AB7+AA7+Z7+Y7+X7+W7+V7+U7+T7+S7+R7+Q7+P7+SUM($P$8:AP8))*AQ5)</f>
        <v>1180920.7920863333</v>
      </c>
      <c r="AR7" s="4">
        <f>((J27+K27+AQ7+AP7+AO7+AN7+AM7+AL7+AK7+AJ7+AI7++AH7+AG7+AF7+AE7+AD7+AC7+AB7+AA7+Z7+Y7+X7+W7+V7+U7+T7+S7+R7+Q7+P7+SUM($P$8:AQ8))*AR5)</f>
        <v>2446968.1527349302</v>
      </c>
    </row>
    <row r="8" spans="1:44" ht="15" customHeight="1" x14ac:dyDescent="0.25">
      <c r="A8" s="13" t="s">
        <v>21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M8" s="1" t="s">
        <v>22</v>
      </c>
      <c r="N8" s="1"/>
      <c r="O8" s="4"/>
      <c r="P8" s="4">
        <f>((D6+E6)-(D5+E5))*(P5^1/2)</f>
        <v>0</v>
      </c>
      <c r="Q8" s="4">
        <f>((D7+E7)-(D6+E6))*(Q5^1/2)</f>
        <v>0</v>
      </c>
      <c r="R8" s="4">
        <f>((D8+E8)-(D7+E7))*(R5^1/2)</f>
        <v>0</v>
      </c>
      <c r="S8" s="4">
        <f>((D9+E9)-(D8+E8))*(S5^1/2)</f>
        <v>0</v>
      </c>
      <c r="T8" s="4">
        <f>((D10+E10)-(D9+E9))*(T5^1/2)</f>
        <v>0</v>
      </c>
      <c r="U8" s="4">
        <f>((D11+E11)-(D10+E10))*(U5^1/2)</f>
        <v>0</v>
      </c>
      <c r="V8" s="4">
        <f>((D12+E12)-(D11+E11))*(V5^1/2)</f>
        <v>0</v>
      </c>
      <c r="W8" s="4">
        <f>((D13+E13)-(D12+E12))*(W5^1/2)</f>
        <v>0</v>
      </c>
      <c r="X8" s="4">
        <f>((D14+E14)-(D13+E13))*(X5^1/2)</f>
        <v>10136.157999999999</v>
      </c>
      <c r="Y8" s="4">
        <f>((D15+E15)-(D14+E14))*(Y5^1/2)</f>
        <v>1609.67255</v>
      </c>
      <c r="Z8" s="4">
        <f>((E15+F15)-(E14+F14))*(Z5^1/2)</f>
        <v>888.13329999999996</v>
      </c>
      <c r="AA8" s="4">
        <f>((D17+E17)-(D16+E16))*(AA5^1/2)</f>
        <v>31462.624</v>
      </c>
      <c r="AB8" s="4">
        <f>((D18+E18)-(D17+E17))*(AB5^1/2)</f>
        <v>70285.9035</v>
      </c>
      <c r="AC8" s="4">
        <f>((D19+E19)-(D18+E18))*(AC5^1/2)</f>
        <v>180456.0796</v>
      </c>
      <c r="AD8" s="4">
        <f>((D20+E20)-(D19+E19))*(AD5/2)</f>
        <v>431255.18219999998</v>
      </c>
      <c r="AE8" s="4">
        <f>((D21+E21)-(D20+E20))*(AE5^1/2)</f>
        <v>804.245</v>
      </c>
      <c r="AF8" s="4">
        <f>((D22+E22)-(D21+E21))*(AF5^1/2)</f>
        <v>131.95480000000001</v>
      </c>
      <c r="AG8" s="4">
        <f>((D23+E23)-(D22+E22))*(AG5^1/2)</f>
        <v>236412.61785000001</v>
      </c>
      <c r="AH8" s="4">
        <f>((D24+E24)-(D23+E23))*(AH5^1/2)</f>
        <v>124701.29380000001</v>
      </c>
      <c r="AI8" s="4">
        <f>((D25+E25)-(D24+E24))*(AI5^1/2)</f>
        <v>1433939.6995000001</v>
      </c>
      <c r="AJ8" s="4">
        <f>((D26+E26)-(D25+E25))*(AJ5^1/2)</f>
        <v>-208997.98725000001</v>
      </c>
      <c r="AK8" s="4">
        <f>((D27+E27)-(D26+E26))*(AK5/2)</f>
        <v>22475.179749999999</v>
      </c>
      <c r="AL8" s="4">
        <f>((D28+E28)-(D27+E27))*(AL5^1/2)</f>
        <v>58886.793749999997</v>
      </c>
      <c r="AM8" s="4">
        <f>((D29+E29)-(D28+E28))*(AM5^1/2)</f>
        <v>85046.471600000004</v>
      </c>
      <c r="AN8" s="4">
        <f>((D30+E30)-(D29+E29))*(AN5^1/2)</f>
        <v>474819.98839999997</v>
      </c>
      <c r="AO8" s="4">
        <f>((D31+E31)-(D30+E30))*(AO5^1/2)</f>
        <v>984040.27749999997</v>
      </c>
      <c r="AP8" s="4">
        <f>((D32+E32)-(D31+E31))*(AP5^1/2)</f>
        <v>59716.728300000002</v>
      </c>
      <c r="AQ8" s="4">
        <f>((D32+E32)-(D31+E31))*(AQ5^1/2)</f>
        <v>47649.617399999996</v>
      </c>
      <c r="AR8" s="4">
        <f>((E32+F32)-(E31+F31))*(AR5^1/2)</f>
        <v>138189.05310000002</v>
      </c>
    </row>
    <row r="9" spans="1:44" ht="15" customHeight="1" x14ac:dyDescent="0.25">
      <c r="A9" s="13" t="s">
        <v>23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M9" s="1" t="s">
        <v>24</v>
      </c>
      <c r="N9" s="1"/>
      <c r="O9" s="4"/>
      <c r="P9" s="4">
        <f>+B5*P5</f>
        <v>0</v>
      </c>
      <c r="Q9" s="4">
        <f>+(B6+P9+P10+P14)*Q5</f>
        <v>0</v>
      </c>
      <c r="R9" s="4">
        <f>+(B7+Q9+P9+P10+Q10+P14+Q14)*R5</f>
        <v>0</v>
      </c>
      <c r="S9" s="4">
        <f>+(B8+R9+Q9+P9+P10+Q10+R10+P14+Q14+R14)*S5</f>
        <v>0</v>
      </c>
      <c r="T9" s="4">
        <f>+(B9+S9+R9+Q9+P9+P10+Q10+R10+S10+P14+Q14+R14+S14)*T5</f>
        <v>0</v>
      </c>
      <c r="U9" s="4">
        <f>+(B10+T9+S9+R9+Q9+P9+P10+Q10+R10+S10+T10+P14+Q14+R14+S14+T14)*U5</f>
        <v>0</v>
      </c>
      <c r="V9" s="4">
        <f>+(B11+U9+T9+S9+R9+Q9+P9+P10+Q10+R10+S10+T10+U10+P14+Q14+R14+S14+T14+U14)*V5</f>
        <v>0</v>
      </c>
      <c r="W9" s="4">
        <f>+(B12+V9+U9+T9+S9+R9+Q9+P9+P10+Q10+R10+S10+T10+U10+V10+P14+Q14+R14+S14+T14+U14+V14)*W5</f>
        <v>0</v>
      </c>
      <c r="X9" s="4">
        <f>+(B13+W9+V9+U9+T9+S9+R9+Q9+P9+P10+Q10+R10+S10+T10+U10+V10+W10+P14+Q14+R14+S14+T14+U14+V14+W14)*X5</f>
        <v>0</v>
      </c>
      <c r="Y9" s="4">
        <f>+(B14+X9+W9+V9+U9+T9+S9+R9+Q9+P9+P10+Q10+R10+S10+T10+U10+V10+W10+X10+P14+Q14+R14+S14+T14+U14+V14+W14+X14)*Y5</f>
        <v>20194.786290199998</v>
      </c>
      <c r="Z9" s="4">
        <f>+(B15+Y9+X9+W9+V9+U9+T9+S9+R9+Q9+P9+P10+Q10+R10+S10+T10+U10+V10+W10+X10+Y10+P14+Q14+R14+S14+T14+U14+V14+W14+X14+Y14)*Z5</f>
        <v>13243.211076894684</v>
      </c>
      <c r="AA9" s="4">
        <f>+(B16+Z9+Y9+X9+W9+V9+U9+T9+S9+R9+Q9+P9+P10+Q10+R10+S10+T10+U10+V10+W10+X10+Y10+Z10+P14+Q14+R14+S14+T14+U14+V14+W14+X14+Y14+Z14)*AA5</f>
        <v>9710.8966451823071</v>
      </c>
      <c r="AB9" s="4">
        <f>+(B17+AA9+Z9+Y9+X9+W9+V9+U9+T9+S9+R9+Q9+P9+P10+Q10+R10+S10+T10+U10+V10+W10+X10+Y10+Z10+AA10+P14+Q14+R14+S14+T14+U14+V14+W14+X14+Y14+Z14+AA14)*AB5</f>
        <v>187004.99566766122</v>
      </c>
      <c r="AC9" s="4">
        <f>+(B18+AB9+AA9+Z9+Y9+X9+W9+V9+U9+T9+S9+R9+Q9+P9+P10+Q10+R10+S10+T10+U10+V10+W10+X10+Y10+Z10+AA10+AB10+P14+Q14+R14+S14+T14+U14+V14+W14+X14+Y14+Z14+AA14+AB14)*AC5</f>
        <v>278715.13448604348</v>
      </c>
      <c r="AD9" s="4">
        <f>+(B19+AC9+AB9+AA9+Z9+Y9+X9+W9+V9+U9+T9+S9+R9+Q9+P9+P10+Q10+R10+S10+T10+U10+V10+W10+X10+Y10+Z10+AA10+AB10+AC10+P14+Q14+R14+S14+T14+U14+V14+W14+X14+Y14+Z14+AA14+AB14+AC14)*AD5</f>
        <v>1030711.152009788</v>
      </c>
      <c r="AE9" s="4">
        <f>+(B20+AD9+AC9+AB9+AA9+Z9+Y9+X9+W9+V9+U9+T9+S9+R9+Q9+P9+P10+Q10+R10+S10+T10+U10+V10+W10+X10+Y10+Z10+AA10+AB10+AC10+AD10+P14+Q14+S14++R14+T14+U14+V14+W14+X14+Y14+Z14+AA14+AB14+AC14+AD14)*AE5</f>
        <v>1267926.9899506585</v>
      </c>
      <c r="AF9" s="4">
        <f>+(B21+AE9+AD9+AC9+AB9+AA9+Z9+Y9+X9+W9+V9+U9+T9+S9+R9+Q9+P9+P10+Q10+R10+S10+T10+U10+V10+W10+X10+Y10+Z10+AA10+AB10+AC10+AD10+AE10+P14+Q14+R14+S14+T14+U14+V14+W14+X14+Y14+Z14+AA14+AB14+AC14+AD14+AE14)*AF5</f>
        <v>1422372.2302902015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1483167.1108407774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1806944.1633184073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3345428.3851579046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2318118.9004119774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944584.2845242687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1194053.7806763095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1499916.241192552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1784354.6740083888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4977433.1796356346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3144202.1710238755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2570158.8169804616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383541.41290152789</v>
      </c>
    </row>
    <row r="10" spans="1:44" ht="15" customHeight="1" x14ac:dyDescent="0.25">
      <c r="A10" s="13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M10" s="22" t="s">
        <v>26</v>
      </c>
      <c r="N10" s="22"/>
      <c r="O10" s="23"/>
      <c r="P10" s="23">
        <f>((B6-B5)*(P5^1/2))</f>
        <v>0</v>
      </c>
      <c r="Q10" s="23">
        <f>((B7-B6)*(Q5^1/2))</f>
        <v>0</v>
      </c>
      <c r="R10" s="23">
        <f>((B8-B7)*(R5/2))</f>
        <v>0</v>
      </c>
      <c r="S10" s="23"/>
      <c r="T10" s="23">
        <f>((B10-B9)*(T5^1/2))</f>
        <v>0</v>
      </c>
      <c r="U10" s="23">
        <f>((B11-B10)*(U5^1/2))</f>
        <v>0</v>
      </c>
      <c r="V10" s="23">
        <f>((B12-B11)*(V5^1/2))</f>
        <v>0</v>
      </c>
      <c r="W10" s="23"/>
      <c r="X10" s="23">
        <f>((B14-B13)*(X5/2))</f>
        <v>13101.678</v>
      </c>
      <c r="Y10" s="23">
        <f>((B15-B14)*(Y5/2))</f>
        <v>1430.2099499999999</v>
      </c>
      <c r="Z10" s="23">
        <f>((B16-B15)*(Z5/2))</f>
        <v>-3328.5098999999996</v>
      </c>
      <c r="AA10" s="23">
        <f>((B17-B16)*(AA5/2))</f>
        <v>64035.408900000002</v>
      </c>
      <c r="AB10" s="23">
        <f>((B18-B17)*(AB5^1/2))</f>
        <v>90854.7785</v>
      </c>
      <c r="AC10" s="23">
        <f>((B19-B18)*(AC5^1/2))</f>
        <v>228293.69625000001</v>
      </c>
      <c r="AD10" s="23">
        <f>((B20-B19)*(AD5/2))</f>
        <v>25598.721750000001</v>
      </c>
      <c r="AE10" s="23">
        <f>((B21-B20)*(AE5^1/2))</f>
        <v>99757.157500000001</v>
      </c>
      <c r="AF10" s="23">
        <f>((B22-B21)*(AF5^1/2))</f>
        <v>-1555.63</v>
      </c>
      <c r="AG10" s="23">
        <f>((B23-B22)*(AG5/2))</f>
        <v>39633.671549999999</v>
      </c>
      <c r="AH10" s="23">
        <f>((B24-B23)*(AH5/2))</f>
        <v>68988.907000000007</v>
      </c>
      <c r="AI10" s="23">
        <f>((B25-B24)*(AI5^1/2))</f>
        <v>209394.21525000001</v>
      </c>
      <c r="AJ10" s="23">
        <f>((B26-B25)*(AJ5/2))</f>
        <v>-133911.52109999998</v>
      </c>
      <c r="AK10" s="23">
        <f>((B27-B26)*(AK5/2))</f>
        <v>7615.2332499999993</v>
      </c>
      <c r="AL10" s="23">
        <f>((B28-B27)*(AL5^1/2))</f>
        <v>25488.45</v>
      </c>
      <c r="AM10" s="23">
        <f>((B29-B28)*(AM5/2))</f>
        <v>85983.853499999997</v>
      </c>
      <c r="AN10" s="23">
        <f>((B30-B29)*(AN5/2))</f>
        <v>236901.24559999999</v>
      </c>
      <c r="AO10" s="23">
        <f>((B31-B30)*(AO5/2))</f>
        <v>201198.49099999998</v>
      </c>
      <c r="AP10" s="23">
        <f>((B32-B31)*(AP5^1/2))</f>
        <v>64410.102299999999</v>
      </c>
      <c r="AQ10" s="23">
        <f>((C32-C31)*(AQ5/2))</f>
        <v>-116163.5475</v>
      </c>
      <c r="AR10" s="23">
        <f>((D32-D31)*(AR5^1/2))</f>
        <v>-87126.268949999998</v>
      </c>
    </row>
    <row r="11" spans="1:44" ht="15" customHeight="1" x14ac:dyDescent="0.25">
      <c r="A11" s="13" t="s">
        <v>27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M12" s="1" t="s">
        <v>30</v>
      </c>
      <c r="N12" s="1"/>
      <c r="O12" s="1"/>
      <c r="P12" s="4">
        <v>0</v>
      </c>
      <c r="Q12" s="24">
        <f>-($P$7+$P$8)*$N$1</f>
        <v>0</v>
      </c>
      <c r="R12" s="24">
        <f>-((($P$7+$P$8)*(1+Q5))+($Q$7+$Q$8))*N1</f>
        <v>0</v>
      </c>
      <c r="S12" s="24">
        <f>-((($P$7+$P$8)*(1+Q5)*(1+R5))+(($Q$7+$Q$8)*(1+R5))+((R7+R8)))*$N$1</f>
        <v>0</v>
      </c>
      <c r="T12" s="24">
        <f>-((($P$7+$P$8)*(1+R5)*(1+S5)*(1+Q5))+(($Q$7+$Q$8)*(1+S5)*(1+R5))+((R7+R8)*(1+S5))+((S7+S8)))*$N$1</f>
        <v>0</v>
      </c>
      <c r="U12" s="24">
        <f>-((($P$7+$P$8)*(1+T5)*(1+R5)*(1+S5)*(1+Q5))+(($Q$7+$Q$8)*(1+T5)*(1+S5)*(1+R5))+((R7+R8)*(1+S5)*(1+T5))+((S7+S8)*(1+T5))+(T7+T8))*$N$1</f>
        <v>0</v>
      </c>
      <c r="V12" s="24">
        <f>-((($P$7+$P$8)*(1+U5)*(1+S5)*(1+T5)*(1+R5)*(1+Q5))+(($Q$7+$Q$8)*(1+U5)*(1+T5)*(1+S5)*(1+R5))+(($R$7+$R$8)*(1+U5)*(1+T5)*(1+S5))+((S7+S8)*(1+T5)*(1+U5))+((T7+T8)*(1+U5))+(U7+U8))*$N$1</f>
        <v>0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0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0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-751.08930779999992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-2080.4974178726397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-2896.2816137623681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-9199.8786504061081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-26567.219539834008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-57904.298759939651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-154802.81503241826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-308954.95234334812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-410025.06326879404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-596283.33518865961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-756481.23175521451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-1015905.0598667618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-1117149.3090194718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-1183834.9110723378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-1437781.3623326959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-1661742.4009843993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-1829830.1708883946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-2224380.9231502949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-2461031.9557154872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-2410124.943942422</v>
      </c>
    </row>
    <row r="13" spans="1:44" ht="15" customHeight="1" x14ac:dyDescent="0.25">
      <c r="A13" s="13" t="s">
        <v>31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M13" t="s">
        <v>32</v>
      </c>
      <c r="P13">
        <v>0</v>
      </c>
      <c r="Q13" s="24">
        <f t="shared" ref="Q13:AR13" si="0">Q12*Q5</f>
        <v>0</v>
      </c>
      <c r="R13" s="24">
        <f t="shared" si="0"/>
        <v>0</v>
      </c>
      <c r="S13" s="24">
        <f t="shared" si="0"/>
        <v>0</v>
      </c>
      <c r="T13" s="24">
        <f t="shared" si="0"/>
        <v>0</v>
      </c>
      <c r="U13" s="24">
        <f t="shared" si="0"/>
        <v>0</v>
      </c>
      <c r="V13" s="24">
        <f t="shared" si="0"/>
        <v>0</v>
      </c>
      <c r="W13" s="24">
        <f t="shared" si="0"/>
        <v>0</v>
      </c>
      <c r="X13" s="24">
        <f t="shared" si="0"/>
        <v>0</v>
      </c>
      <c r="Y13" s="24">
        <f t="shared" si="0"/>
        <v>-42.736981613819992</v>
      </c>
      <c r="Z13" s="24">
        <f t="shared" si="0"/>
        <v>-65.32761892120088</v>
      </c>
      <c r="AA13" s="24">
        <f t="shared" si="0"/>
        <v>-129.17415997380161</v>
      </c>
      <c r="AB13" s="24">
        <f t="shared" si="0"/>
        <v>-542.7928403739603</v>
      </c>
      <c r="AC13" s="24">
        <f t="shared" si="0"/>
        <v>-1145.0471621668457</v>
      </c>
      <c r="AD13" s="24">
        <f t="shared" si="0"/>
        <v>-3422.1440567124332</v>
      </c>
      <c r="AE13" s="24">
        <f t="shared" si="0"/>
        <v>-10062.182977107188</v>
      </c>
      <c r="AF13" s="24">
        <f t="shared" si="0"/>
        <v>-18042.969216851532</v>
      </c>
      <c r="AG13" s="24">
        <f t="shared" si="0"/>
        <v>-24232.481239185727</v>
      </c>
      <c r="AH13" s="24">
        <f t="shared" si="0"/>
        <v>-38221.76178559308</v>
      </c>
      <c r="AI13" s="24">
        <f t="shared" si="0"/>
        <v>-80716.547428281396</v>
      </c>
      <c r="AJ13" s="24">
        <f t="shared" si="0"/>
        <v>-63900.428265619317</v>
      </c>
      <c r="AK13" s="24">
        <f t="shared" si="0"/>
        <v>-32955.904616074418</v>
      </c>
      <c r="AL13" s="24">
        <f t="shared" si="0"/>
        <v>-44393.809165212668</v>
      </c>
      <c r="AM13" s="24">
        <f t="shared" si="0"/>
        <v>-61968.376716539191</v>
      </c>
      <c r="AN13" s="24">
        <f t="shared" si="0"/>
        <v>-75110.756524494835</v>
      </c>
      <c r="AO13" s="24">
        <f t="shared" si="0"/>
        <v>-184080.91519137248</v>
      </c>
      <c r="AP13" s="24">
        <f t="shared" si="0"/>
        <v>-128791.65545040208</v>
      </c>
      <c r="AQ13" s="24">
        <f t="shared" si="0"/>
        <v>-113699.67635405551</v>
      </c>
      <c r="AR13" s="24">
        <f t="shared" si="0"/>
        <v>-116409.03479241898</v>
      </c>
    </row>
    <row r="14" spans="1:44" ht="15" customHeight="1" x14ac:dyDescent="0.25">
      <c r="A14" s="13" t="s">
        <v>33</v>
      </c>
      <c r="B14" s="14">
        <v>344781</v>
      </c>
      <c r="C14" s="14">
        <v>124963</v>
      </c>
      <c r="D14" s="15">
        <v>0</v>
      </c>
      <c r="E14" s="14">
        <v>266741</v>
      </c>
      <c r="F14" s="14">
        <v>10</v>
      </c>
      <c r="G14" s="51">
        <v>-21751</v>
      </c>
      <c r="H14" s="15">
        <v>0</v>
      </c>
      <c r="I14" s="14">
        <v>52523.99</v>
      </c>
      <c r="J14" s="15">
        <v>0</v>
      </c>
      <c r="K14" s="15">
        <v>0</v>
      </c>
      <c r="M14" s="39" t="s">
        <v>34</v>
      </c>
      <c r="N14" s="39"/>
      <c r="O14" s="40"/>
      <c r="P14" s="40">
        <f t="shared" ref="P14:AR14" si="1">(P7+P8)-(P9+P10)+P12+P13</f>
        <v>0</v>
      </c>
      <c r="Q14" s="40">
        <f t="shared" si="1"/>
        <v>0</v>
      </c>
      <c r="R14" s="40">
        <f t="shared" si="1"/>
        <v>0</v>
      </c>
      <c r="S14" s="40">
        <f t="shared" si="1"/>
        <v>0</v>
      </c>
      <c r="T14" s="40">
        <f t="shared" si="1"/>
        <v>0</v>
      </c>
      <c r="U14" s="40">
        <f t="shared" si="1"/>
        <v>0</v>
      </c>
      <c r="V14" s="40">
        <f t="shared" si="1"/>
        <v>0</v>
      </c>
      <c r="W14" s="40">
        <f t="shared" si="1"/>
        <v>0</v>
      </c>
      <c r="X14" s="40">
        <f t="shared" si="1"/>
        <v>-2965.5200000000004</v>
      </c>
      <c r="Y14" s="40">
        <f t="shared" si="1"/>
        <v>-5054.8396894138195</v>
      </c>
      <c r="Z14" s="40">
        <f t="shared" si="1"/>
        <v>-1932.9070913062467</v>
      </c>
      <c r="AA14" s="40">
        <f t="shared" si="1"/>
        <v>6553.7835754126772</v>
      </c>
      <c r="AB14" s="40">
        <f t="shared" si="1"/>
        <v>-60550.51517188338</v>
      </c>
      <c r="AC14" s="40">
        <f t="shared" si="1"/>
        <v>-127271.27209474075</v>
      </c>
      <c r="AD14" s="40">
        <f t="shared" si="1"/>
        <v>143853.18701014837</v>
      </c>
      <c r="AE14" s="40">
        <f t="shared" si="1"/>
        <v>411984.65121758502</v>
      </c>
      <c r="AF14" s="40">
        <f t="shared" si="1"/>
        <v>-627340.27477085544</v>
      </c>
      <c r="AG14" s="40">
        <f t="shared" si="1"/>
        <v>229524.54328585567</v>
      </c>
      <c r="AH14" s="40">
        <f t="shared" si="1"/>
        <v>-864336.48333905987</v>
      </c>
      <c r="AI14" s="40">
        <f t="shared" si="1"/>
        <v>-1979294.1408879794</v>
      </c>
      <c r="AJ14" s="40">
        <f t="shared" si="1"/>
        <v>-2760519.69677949</v>
      </c>
      <c r="AK14" s="40">
        <f t="shared" si="1"/>
        <v>-1646858.6214659682</v>
      </c>
      <c r="AL14" s="40">
        <f t="shared" si="1"/>
        <v>380480.48089167767</v>
      </c>
      <c r="AM14" s="40">
        <f t="shared" si="1"/>
        <v>-899837.63885913568</v>
      </c>
      <c r="AN14" s="40">
        <f t="shared" si="1"/>
        <v>-2503018.2439880343</v>
      </c>
      <c r="AO14" s="40">
        <f t="shared" si="1"/>
        <v>-4352058.8027826278</v>
      </c>
      <c r="AP14" s="40">
        <f t="shared" si="1"/>
        <v>-4106352.910881659</v>
      </c>
      <c r="AQ14" s="40">
        <f t="shared" si="1"/>
        <v>-3800156.4920636709</v>
      </c>
      <c r="AR14" s="40">
        <f t="shared" si="1"/>
        <v>-237791.91685143852</v>
      </c>
    </row>
    <row r="15" spans="1:44" ht="15" customHeight="1" x14ac:dyDescent="0.25">
      <c r="A15" s="13" t="s">
        <v>35</v>
      </c>
      <c r="B15" s="14">
        <v>395052</v>
      </c>
      <c r="C15" s="14">
        <v>84266</v>
      </c>
      <c r="D15" s="15">
        <v>0</v>
      </c>
      <c r="E15" s="14">
        <v>323320</v>
      </c>
      <c r="F15" s="15">
        <v>0</v>
      </c>
      <c r="G15" s="15">
        <v>0</v>
      </c>
      <c r="H15" s="15">
        <v>0</v>
      </c>
      <c r="I15" s="14">
        <v>52523.99</v>
      </c>
      <c r="J15" s="15">
        <v>0</v>
      </c>
      <c r="K15" s="15">
        <v>0</v>
      </c>
    </row>
    <row r="16" spans="1:44" ht="15" customHeight="1" x14ac:dyDescent="0.25">
      <c r="A16" s="13" t="s">
        <v>36</v>
      </c>
      <c r="B16" s="14">
        <v>183045</v>
      </c>
      <c r="C16" s="14">
        <v>158878</v>
      </c>
      <c r="D16" s="15">
        <v>0</v>
      </c>
      <c r="E16" s="14">
        <v>1125218</v>
      </c>
      <c r="F16" s="15">
        <v>0</v>
      </c>
      <c r="G16" s="14">
        <v>-11182</v>
      </c>
      <c r="H16" s="15">
        <v>0</v>
      </c>
      <c r="I16" s="14">
        <v>52523.99</v>
      </c>
      <c r="J16" s="15">
        <v>0</v>
      </c>
      <c r="K16" s="15">
        <v>0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4">
        <v>3054588</v>
      </c>
      <c r="C17" s="14">
        <v>-165032</v>
      </c>
      <c r="D17" s="15">
        <v>0</v>
      </c>
      <c r="E17" s="14">
        <v>2536098</v>
      </c>
      <c r="F17" s="15">
        <v>0</v>
      </c>
      <c r="G17" s="14">
        <v>-17465</v>
      </c>
      <c r="H17" s="15">
        <v>0</v>
      </c>
      <c r="I17" s="14">
        <v>1077400</v>
      </c>
      <c r="J17" s="17">
        <v>4.3226748312999996</v>
      </c>
      <c r="K17" s="14">
        <v>6464400</v>
      </c>
      <c r="L17" s="41" t="str">
        <f>+L19</f>
        <v>JBS ON</v>
      </c>
      <c r="M17" s="2" t="s">
        <v>38</v>
      </c>
      <c r="N17" s="2"/>
      <c r="O17" s="28"/>
      <c r="P17" s="42">
        <f>+C6</f>
        <v>0</v>
      </c>
      <c r="Q17" s="42">
        <f>C7</f>
        <v>0</v>
      </c>
      <c r="R17" s="42">
        <f>C8</f>
        <v>0</v>
      </c>
      <c r="S17" s="42">
        <f>C9</f>
        <v>0</v>
      </c>
      <c r="T17" s="42">
        <f>C10</f>
        <v>0</v>
      </c>
      <c r="U17" s="42">
        <f>C11</f>
        <v>0</v>
      </c>
      <c r="V17" s="42"/>
      <c r="W17" s="42"/>
      <c r="X17" s="42">
        <f>C14</f>
        <v>124963</v>
      </c>
      <c r="Y17" s="42">
        <f>C15</f>
        <v>84266</v>
      </c>
      <c r="Z17" s="42">
        <f>C16</f>
        <v>158878</v>
      </c>
      <c r="AA17" s="42">
        <f>C17</f>
        <v>-165032</v>
      </c>
      <c r="AB17" s="42">
        <f>C18</f>
        <v>25939</v>
      </c>
      <c r="AC17" s="42">
        <f>C19</f>
        <v>129424</v>
      </c>
      <c r="AD17" s="42">
        <f>C20</f>
        <v>-302748</v>
      </c>
      <c r="AE17" s="42">
        <f>C21</f>
        <v>-75705</v>
      </c>
      <c r="AF17" s="42">
        <f>C22</f>
        <v>718938</v>
      </c>
      <c r="AG17" s="42">
        <f>C23</f>
        <v>926907</v>
      </c>
      <c r="AH17" s="42">
        <f>C24</f>
        <v>2035910</v>
      </c>
      <c r="AI17" s="42">
        <f>C25</f>
        <v>4640114</v>
      </c>
      <c r="AJ17" s="42">
        <f>C26</f>
        <v>375973</v>
      </c>
      <c r="AK17" s="42">
        <f>C27</f>
        <v>534202</v>
      </c>
      <c r="AL17" s="42">
        <f>C28</f>
        <v>25199</v>
      </c>
      <c r="AM17" s="42">
        <f>C29</f>
        <v>6068368</v>
      </c>
      <c r="AN17" s="42">
        <f>C30</f>
        <v>4598311</v>
      </c>
      <c r="AO17" s="42">
        <f>C31</f>
        <v>20486561</v>
      </c>
      <c r="AP17" s="42">
        <f>C32</f>
        <v>15457836</v>
      </c>
      <c r="AQ17" s="42">
        <f>D32</f>
        <v>40740751</v>
      </c>
      <c r="AR17" s="42">
        <f>E32</f>
        <v>70545684</v>
      </c>
    </row>
    <row r="18" spans="1:44" ht="15" customHeight="1" x14ac:dyDescent="0.25">
      <c r="A18" s="13" t="s">
        <v>39</v>
      </c>
      <c r="B18" s="14">
        <v>6134411</v>
      </c>
      <c r="C18" s="14">
        <v>25939</v>
      </c>
      <c r="D18" s="15">
        <v>0</v>
      </c>
      <c r="E18" s="14">
        <v>4918671</v>
      </c>
      <c r="F18" s="15">
        <v>0</v>
      </c>
      <c r="G18" s="14">
        <v>-51127</v>
      </c>
      <c r="H18" s="20">
        <v>0.24920892494999999</v>
      </c>
      <c r="I18" s="14">
        <v>1403852.726</v>
      </c>
      <c r="J18" s="17">
        <v>3.5568497799999998</v>
      </c>
      <c r="K18" s="14">
        <v>6920993.9391999999</v>
      </c>
      <c r="L18" s="43" t="str">
        <f>+L19</f>
        <v>JBS ON</v>
      </c>
      <c r="M18" s="18" t="s">
        <v>40</v>
      </c>
      <c r="N18" s="18"/>
      <c r="O18" s="25"/>
      <c r="P18" s="44">
        <f t="shared" ref="P18:V18" si="2">P14+P17</f>
        <v>0</v>
      </c>
      <c r="Q18" s="44">
        <f t="shared" si="2"/>
        <v>0</v>
      </c>
      <c r="R18" s="44">
        <f t="shared" si="2"/>
        <v>0</v>
      </c>
      <c r="S18" s="44">
        <f t="shared" si="2"/>
        <v>0</v>
      </c>
      <c r="T18" s="44">
        <f t="shared" si="2"/>
        <v>0</v>
      </c>
      <c r="U18" s="44">
        <f t="shared" si="2"/>
        <v>0</v>
      </c>
      <c r="V18" s="44">
        <f t="shared" si="2"/>
        <v>0</v>
      </c>
      <c r="W18" s="44"/>
      <c r="X18" s="44">
        <f t="shared" ref="X18:AR18" si="3">X14+X17</f>
        <v>121997.48</v>
      </c>
      <c r="Y18" s="44">
        <f t="shared" si="3"/>
        <v>79211.160310586187</v>
      </c>
      <c r="Z18" s="44">
        <f t="shared" si="3"/>
        <v>156945.09290869374</v>
      </c>
      <c r="AA18" s="44">
        <f t="shared" si="3"/>
        <v>-158478.21642458733</v>
      </c>
      <c r="AB18" s="44">
        <f t="shared" si="3"/>
        <v>-34611.51517188338</v>
      </c>
      <c r="AC18" s="44">
        <f t="shared" si="3"/>
        <v>2152.7279052592494</v>
      </c>
      <c r="AD18" s="44">
        <f t="shared" si="3"/>
        <v>-158894.81298985163</v>
      </c>
      <c r="AE18" s="44">
        <f t="shared" si="3"/>
        <v>336279.65121758502</v>
      </c>
      <c r="AF18" s="44">
        <f t="shared" si="3"/>
        <v>91597.725229144562</v>
      </c>
      <c r="AG18" s="44">
        <f t="shared" si="3"/>
        <v>1156431.5432858556</v>
      </c>
      <c r="AH18" s="44">
        <f t="shared" si="3"/>
        <v>1171573.5166609401</v>
      </c>
      <c r="AI18" s="44">
        <f t="shared" si="3"/>
        <v>2660819.8591120206</v>
      </c>
      <c r="AJ18" s="44">
        <f t="shared" si="3"/>
        <v>-2384546.69677949</v>
      </c>
      <c r="AK18" s="44">
        <f t="shared" si="3"/>
        <v>-1112656.6214659682</v>
      </c>
      <c r="AL18" s="44">
        <f t="shared" si="3"/>
        <v>405679.48089167767</v>
      </c>
      <c r="AM18" s="44">
        <f t="shared" si="3"/>
        <v>5168530.361140864</v>
      </c>
      <c r="AN18" s="44">
        <f t="shared" si="3"/>
        <v>2095292.7560119657</v>
      </c>
      <c r="AO18" s="44">
        <f t="shared" si="3"/>
        <v>16134502.197217371</v>
      </c>
      <c r="AP18" s="44">
        <f t="shared" si="3"/>
        <v>11351483.089118341</v>
      </c>
      <c r="AQ18" s="44">
        <f t="shared" si="3"/>
        <v>36940594.507936329</v>
      </c>
      <c r="AR18" s="44">
        <f t="shared" si="3"/>
        <v>70307892.083148569</v>
      </c>
    </row>
    <row r="19" spans="1:44" ht="15" customHeight="1" x14ac:dyDescent="0.25">
      <c r="A19" s="13" t="s">
        <v>41</v>
      </c>
      <c r="B19" s="14">
        <v>16728086</v>
      </c>
      <c r="C19" s="14">
        <v>129424</v>
      </c>
      <c r="D19" s="15">
        <v>0</v>
      </c>
      <c r="E19" s="14">
        <v>13292503</v>
      </c>
      <c r="F19" s="15">
        <v>0</v>
      </c>
      <c r="G19" s="14">
        <v>-122953</v>
      </c>
      <c r="H19" s="20">
        <v>9.436695279E-2</v>
      </c>
      <c r="I19" s="14">
        <v>2323481.3760000002</v>
      </c>
      <c r="J19" s="17">
        <v>6.7333441187999998</v>
      </c>
      <c r="K19" s="14">
        <v>21654846.423999999</v>
      </c>
      <c r="L19" s="18" t="str">
        <f>+A1</f>
        <v>JBS ON</v>
      </c>
      <c r="M19" s="18" t="s">
        <v>42</v>
      </c>
      <c r="N19" s="18"/>
      <c r="O19" s="31"/>
      <c r="P19" s="45"/>
      <c r="Q19" s="45"/>
      <c r="R19" s="45"/>
      <c r="S19" s="45"/>
      <c r="T19" s="45"/>
      <c r="U19" s="45"/>
      <c r="V19" s="45"/>
      <c r="W19" s="45"/>
      <c r="X19" s="45">
        <f t="shared" ref="X19:AR19" si="4">X18/X17</f>
        <v>0.97626881556940848</v>
      </c>
      <c r="Y19" s="45">
        <f t="shared" si="4"/>
        <v>0.94001329493017571</v>
      </c>
      <c r="Z19" s="45">
        <f t="shared" si="4"/>
        <v>0.9878340167215961</v>
      </c>
      <c r="AA19" s="45">
        <f t="shared" si="4"/>
        <v>0.96028780130270086</v>
      </c>
      <c r="AB19" s="45">
        <f t="shared" si="4"/>
        <v>-1.3343426952420441</v>
      </c>
      <c r="AC19" s="45">
        <f t="shared" si="4"/>
        <v>1.6633143043479182E-2</v>
      </c>
      <c r="AD19" s="45">
        <f t="shared" si="4"/>
        <v>0.52484182551115655</v>
      </c>
      <c r="AE19" s="45">
        <f t="shared" si="4"/>
        <v>-4.4419741261156469</v>
      </c>
      <c r="AF19" s="45">
        <f t="shared" si="4"/>
        <v>0.1274069881257418</v>
      </c>
      <c r="AG19" s="45">
        <f t="shared" si="4"/>
        <v>1.2476241341211747</v>
      </c>
      <c r="AH19" s="45">
        <f t="shared" si="4"/>
        <v>0.57545447326303234</v>
      </c>
      <c r="AI19" s="45">
        <f t="shared" si="4"/>
        <v>0.57343846705318458</v>
      </c>
      <c r="AJ19" s="45">
        <f t="shared" si="4"/>
        <v>-6.3423349463378749</v>
      </c>
      <c r="AK19" s="45">
        <f t="shared" si="4"/>
        <v>-2.082838741648231</v>
      </c>
      <c r="AL19" s="45">
        <f t="shared" si="4"/>
        <v>16.099030949310595</v>
      </c>
      <c r="AM19" s="45">
        <f t="shared" si="4"/>
        <v>0.85171669897752811</v>
      </c>
      <c r="AN19" s="45">
        <f t="shared" si="4"/>
        <v>0.45566573379050823</v>
      </c>
      <c r="AO19" s="45">
        <f t="shared" si="4"/>
        <v>0.78756518466995862</v>
      </c>
      <c r="AP19" s="45">
        <f t="shared" si="4"/>
        <v>0.73435137292945407</v>
      </c>
      <c r="AQ19" s="45">
        <f t="shared" si="4"/>
        <v>0.90672345504716712</v>
      </c>
      <c r="AR19" s="45">
        <f t="shared" si="4"/>
        <v>0.99662924925568186</v>
      </c>
    </row>
    <row r="20" spans="1:44" ht="15" customHeight="1" x14ac:dyDescent="0.25">
      <c r="A20" s="13" t="s">
        <v>43</v>
      </c>
      <c r="B20" s="14">
        <v>17594371</v>
      </c>
      <c r="C20" s="14">
        <v>-302748</v>
      </c>
      <c r="D20" s="14">
        <v>12667244</v>
      </c>
      <c r="E20" s="14">
        <v>15219343</v>
      </c>
      <c r="F20" s="14">
        <v>3122</v>
      </c>
      <c r="G20" s="14">
        <v>0</v>
      </c>
      <c r="H20" s="20">
        <v>0.33977370571999999</v>
      </c>
      <c r="I20" s="14">
        <v>2492718.2760000001</v>
      </c>
      <c r="J20" s="17">
        <v>5.1955435858000003</v>
      </c>
      <c r="K20" s="14">
        <v>17872790.039000001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4">
        <v>20663822</v>
      </c>
      <c r="C21" s="14">
        <v>-75705</v>
      </c>
      <c r="D21" s="14">
        <v>12532619</v>
      </c>
      <c r="E21" s="14">
        <v>15378714</v>
      </c>
      <c r="F21" s="14">
        <v>0</v>
      </c>
      <c r="G21" s="14">
        <v>0</v>
      </c>
      <c r="H21" s="20">
        <v>0</v>
      </c>
      <c r="I21" s="14">
        <v>2964257.3960000002</v>
      </c>
      <c r="J21" s="17">
        <v>4.4057050211000002</v>
      </c>
      <c r="K21" s="14">
        <v>18022684.967999998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20610547</v>
      </c>
      <c r="C22" s="14">
        <v>718938</v>
      </c>
      <c r="D22" s="14">
        <v>11708212</v>
      </c>
      <c r="E22" s="14">
        <v>16207640</v>
      </c>
      <c r="F22" s="14">
        <v>258620</v>
      </c>
      <c r="G22" s="14">
        <v>0</v>
      </c>
      <c r="H22" s="20">
        <v>0</v>
      </c>
      <c r="I22" s="14">
        <v>2846124.1129999999</v>
      </c>
      <c r="J22" s="17">
        <v>4.3477352182000004</v>
      </c>
      <c r="K22" s="14">
        <v>17076744.677999999</v>
      </c>
      <c r="L22" s="47" t="str">
        <f>+L24</f>
        <v>JBS ON</v>
      </c>
      <c r="M22" s="39" t="s">
        <v>46</v>
      </c>
      <c r="N22" s="32"/>
      <c r="O22" s="32"/>
      <c r="P22" s="30">
        <v>0</v>
      </c>
      <c r="Q22" s="30">
        <v>0</v>
      </c>
      <c r="R22" s="30">
        <v>0</v>
      </c>
      <c r="S22" s="30">
        <v>10502002</v>
      </c>
      <c r="T22" s="30">
        <v>10565590</v>
      </c>
      <c r="U22" s="30">
        <v>0</v>
      </c>
      <c r="V22" s="30">
        <v>0</v>
      </c>
      <c r="W22" s="30">
        <v>0</v>
      </c>
      <c r="X22" s="30">
        <v>344781</v>
      </c>
      <c r="Y22" s="30">
        <v>395052</v>
      </c>
      <c r="Z22" s="30">
        <v>183045</v>
      </c>
      <c r="AA22" s="30">
        <v>3054588</v>
      </c>
      <c r="AB22" s="30">
        <v>6134411</v>
      </c>
      <c r="AC22" s="30">
        <v>16728086</v>
      </c>
      <c r="AD22" s="30">
        <v>17594371</v>
      </c>
      <c r="AE22" s="30">
        <v>20663822</v>
      </c>
      <c r="AF22" s="30">
        <v>20610547</v>
      </c>
      <c r="AG22" s="30">
        <v>21951788</v>
      </c>
      <c r="AH22" s="30">
        <v>24104328</v>
      </c>
      <c r="AI22" s="30">
        <v>28029243</v>
      </c>
      <c r="AJ22" s="30">
        <v>23771325</v>
      </c>
      <c r="AK22" s="30">
        <v>24287612</v>
      </c>
      <c r="AL22" s="30">
        <v>25646996</v>
      </c>
      <c r="AM22" s="30">
        <v>29636966</v>
      </c>
      <c r="AN22" s="30">
        <v>40119322</v>
      </c>
      <c r="AO22" s="30">
        <v>44119292</v>
      </c>
      <c r="AP22" s="30">
        <v>46344166</v>
      </c>
      <c r="AQ22" s="30">
        <v>46344166</v>
      </c>
      <c r="AR22" s="30">
        <v>46344166</v>
      </c>
    </row>
    <row r="23" spans="1:44" ht="15" customHeight="1" x14ac:dyDescent="0.25">
      <c r="A23" s="13" t="s">
        <v>47</v>
      </c>
      <c r="B23" s="14">
        <v>21951788</v>
      </c>
      <c r="C23" s="14">
        <v>926907</v>
      </c>
      <c r="D23" s="14">
        <v>14975663</v>
      </c>
      <c r="E23" s="14">
        <v>20940616</v>
      </c>
      <c r="F23" s="14">
        <v>277571</v>
      </c>
      <c r="G23" s="14">
        <v>-170396</v>
      </c>
      <c r="H23" s="20">
        <v>0.67856328391999998</v>
      </c>
      <c r="I23" s="14">
        <v>2868453.8289999999</v>
      </c>
      <c r="J23" s="17">
        <v>6.4190330426999997</v>
      </c>
      <c r="K23" s="14">
        <v>25156340.079999998</v>
      </c>
      <c r="L23" s="47" t="str">
        <f>+L25</f>
        <v>JBS ON</v>
      </c>
      <c r="M23" s="39" t="s">
        <v>48</v>
      </c>
      <c r="N23" s="32"/>
      <c r="O23" s="32"/>
      <c r="P23" s="30">
        <f>P22+P9+P10+P14</f>
        <v>0</v>
      </c>
      <c r="Q23" s="33">
        <f>Q22+Q9+Q10+Q14+((P9+P10+P14)*(1+Q5))</f>
        <v>0</v>
      </c>
      <c r="R23" s="33">
        <f>R22+R9+R10+R14+((Q9+Q10+Q14)*(1+R5))+(((P9+P10+P14)*(1+R5)*(1+Q5)))</f>
        <v>0</v>
      </c>
      <c r="S23" s="33">
        <f>S22+S9+S10+S14+((R9+R10+R14)*(1+S5))+(((Q9+Q10+Q14)*(1+S5)*(1+R5)))+(((P9+P10+P14)*(1+S5)*(1+R5)*(1+Q5)))</f>
        <v>10502002</v>
      </c>
      <c r="T23" s="33">
        <f>T22+T9+T10+T14+((S9+S10+S14)*(1+T5))+(((R9+R10+R14)*(1+T5)*(1+S5)))+(((Q9+Q10+Q14)*(1+T5)*(1+S5)*(1+R5)))+(((P9+P10+P14)*(1+T5)*(1+S5)*(1+R5)*(1+Q5)))</f>
        <v>10565590</v>
      </c>
      <c r="U23" s="33">
        <f>U22+U9+U10+U14+((T9+T10+T14)*(1+U5))+((S9+S10+S14)*(1+U5)*(1+T5))+((R9+R10+R14)*(1+U5)*(1+T5)*(1+S5))+((Q9+Q10+Q14)*(1+U5)*(1+T5)*(1+S5)*(1+R5))+((P9+P10+P14)*(1+U5)*(1+T5)*(1+S5)*(1+R5)*(1+Q5))</f>
        <v>0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0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0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354917.158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422335.06194098614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219166.54417152156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3172620.6541621666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6476716.8397535123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17464882.78008819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19574875.530561335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24552728.12371606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25520041.56686043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28903759.021438513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32513516.950892072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38911220.87147218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34761466.962120272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34907304.046311118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38264949.209615774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43484815.448783636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54111331.919489011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60345470.985242628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62612100.110930376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62017517.444272153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62833163.546130575</v>
      </c>
    </row>
    <row r="24" spans="1:44" ht="15" customHeight="1" x14ac:dyDescent="0.25">
      <c r="A24" s="13" t="s">
        <v>49</v>
      </c>
      <c r="B24" s="14">
        <v>24104328</v>
      </c>
      <c r="C24" s="14">
        <v>2035910</v>
      </c>
      <c r="D24" s="14">
        <v>15618188</v>
      </c>
      <c r="E24" s="14">
        <v>24188927</v>
      </c>
      <c r="F24" s="14">
        <v>295350</v>
      </c>
      <c r="G24" s="14">
        <v>-219885</v>
      </c>
      <c r="H24" s="20">
        <v>0.68522622322000004</v>
      </c>
      <c r="I24" s="14">
        <v>2888814.5260000001</v>
      </c>
      <c r="J24" s="17">
        <v>8.2801525412999997</v>
      </c>
      <c r="K24" s="14">
        <v>32354722.691</v>
      </c>
      <c r="L24" s="47" t="str">
        <f>+L25</f>
        <v>JBS ON</v>
      </c>
      <c r="M24" s="39" t="s">
        <v>50</v>
      </c>
      <c r="N24" s="32"/>
      <c r="O24" s="32"/>
      <c r="P24" s="30">
        <v>0</v>
      </c>
      <c r="Q24" s="30">
        <v>0</v>
      </c>
      <c r="R24" s="30">
        <v>0</v>
      </c>
      <c r="S24" s="30">
        <v>17428087.655999999</v>
      </c>
      <c r="T24" s="30">
        <v>16748049.408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6464400</v>
      </c>
      <c r="AB24" s="30">
        <v>6920993.9391999999</v>
      </c>
      <c r="AC24" s="30">
        <v>21654846.423999999</v>
      </c>
      <c r="AD24" s="30">
        <v>17872790.039000001</v>
      </c>
      <c r="AE24" s="30">
        <v>18022684.967999998</v>
      </c>
      <c r="AF24" s="30">
        <v>17076744.677999999</v>
      </c>
      <c r="AG24" s="30">
        <v>25156340.079999998</v>
      </c>
      <c r="AH24" s="30">
        <v>32354722.691</v>
      </c>
      <c r="AI24" s="30">
        <v>34492401.512000002</v>
      </c>
      <c r="AJ24" s="30">
        <v>31026199.576000001</v>
      </c>
      <c r="AK24" s="30">
        <v>26581915.370000001</v>
      </c>
      <c r="AL24" s="30">
        <v>30865422.265000001</v>
      </c>
      <c r="AM24" s="30">
        <v>68758050.807999998</v>
      </c>
      <c r="AN24" s="30">
        <v>61765024.954000004</v>
      </c>
      <c r="AO24" s="30">
        <v>87049860.662</v>
      </c>
      <c r="AP24" s="30">
        <v>48776378.976000004</v>
      </c>
      <c r="AQ24" s="30">
        <f>+K33</f>
        <v>0</v>
      </c>
      <c r="AR24" s="30">
        <f>+K34</f>
        <v>0</v>
      </c>
    </row>
    <row r="25" spans="1:44" ht="15" customHeight="1" x14ac:dyDescent="0.25">
      <c r="A25" s="13" t="s">
        <v>51</v>
      </c>
      <c r="B25" s="14">
        <v>28029243</v>
      </c>
      <c r="C25" s="14">
        <v>4640114</v>
      </c>
      <c r="D25" s="14">
        <v>31303975</v>
      </c>
      <c r="E25" s="14">
        <v>35381110</v>
      </c>
      <c r="F25" s="14">
        <v>354134</v>
      </c>
      <c r="G25" s="14">
        <v>-1717890</v>
      </c>
      <c r="H25" s="20">
        <v>1.3553002267000001</v>
      </c>
      <c r="I25" s="14">
        <v>2792907.0049999999</v>
      </c>
      <c r="J25" s="17">
        <v>9.2297594681999993</v>
      </c>
      <c r="K25" s="14">
        <v>34492401.512000002</v>
      </c>
      <c r="L25" s="39" t="str">
        <f>+A1</f>
        <v>JBS ON</v>
      </c>
      <c r="M25" s="39" t="s">
        <v>52</v>
      </c>
      <c r="N25" s="18"/>
      <c r="O25" s="18"/>
      <c r="P25" s="31"/>
      <c r="Q25" s="31"/>
      <c r="R25" s="31"/>
      <c r="S25" s="31"/>
      <c r="T25" s="31"/>
      <c r="U25" s="31"/>
      <c r="V25" s="31"/>
      <c r="W25" s="31"/>
      <c r="X25" s="31">
        <f t="shared" ref="X25:AR25" si="5">X24/X23</f>
        <v>0</v>
      </c>
      <c r="Y25" s="31">
        <f t="shared" si="5"/>
        <v>0</v>
      </c>
      <c r="Z25" s="31">
        <f t="shared" si="5"/>
        <v>0</v>
      </c>
      <c r="AA25" s="31">
        <f t="shared" si="5"/>
        <v>2.03755844289778</v>
      </c>
      <c r="AB25" s="31">
        <f t="shared" si="5"/>
        <v>1.0685960356827018</v>
      </c>
      <c r="AC25" s="31">
        <f t="shared" si="5"/>
        <v>1.2399079167418638</v>
      </c>
      <c r="AD25" s="31">
        <f t="shared" si="5"/>
        <v>0.913047442426699</v>
      </c>
      <c r="AE25" s="31">
        <f t="shared" si="5"/>
        <v>0.73404001694587495</v>
      </c>
      <c r="AF25" s="31">
        <f t="shared" si="5"/>
        <v>0.66915034731664991</v>
      </c>
      <c r="AG25" s="31">
        <f t="shared" si="5"/>
        <v>0.87034838829582761</v>
      </c>
      <c r="AH25" s="31">
        <f t="shared" si="5"/>
        <v>0.99511605403586723</v>
      </c>
      <c r="AI25" s="31">
        <f t="shared" si="5"/>
        <v>0.88643842931405314</v>
      </c>
      <c r="AJ25" s="31">
        <f t="shared" si="5"/>
        <v>0.89254574928639785</v>
      </c>
      <c r="AK25" s="31">
        <f t="shared" si="5"/>
        <v>0.76150009564571586</v>
      </c>
      <c r="AL25" s="31">
        <f t="shared" si="5"/>
        <v>0.80662389216614161</v>
      </c>
      <c r="AM25" s="31">
        <f t="shared" si="5"/>
        <v>1.5811967947520245</v>
      </c>
      <c r="AN25" s="31">
        <f t="shared" si="5"/>
        <v>1.1414434419374253</v>
      </c>
      <c r="AO25" s="31">
        <f t="shared" si="5"/>
        <v>1.4425251678504238</v>
      </c>
      <c r="AP25" s="31">
        <f t="shared" si="5"/>
        <v>0.77902480334603841</v>
      </c>
      <c r="AQ25" s="31">
        <f t="shared" si="5"/>
        <v>0</v>
      </c>
      <c r="AR25" s="31">
        <f t="shared" si="5"/>
        <v>0</v>
      </c>
    </row>
    <row r="26" spans="1:44" ht="15" customHeight="1" x14ac:dyDescent="0.25">
      <c r="A26" s="13" t="s">
        <v>53</v>
      </c>
      <c r="B26" s="14">
        <v>23771325</v>
      </c>
      <c r="C26" s="14">
        <v>375973</v>
      </c>
      <c r="D26" s="14">
        <v>26928789</v>
      </c>
      <c r="E26" s="14">
        <v>33110891</v>
      </c>
      <c r="F26" s="14">
        <v>362627</v>
      </c>
      <c r="G26" s="14">
        <v>-1677338</v>
      </c>
      <c r="H26" s="20">
        <v>3.5566568509000001</v>
      </c>
      <c r="I26" s="14">
        <v>2721596.4539999999</v>
      </c>
      <c r="J26" s="17">
        <v>8.9198478290000001</v>
      </c>
      <c r="K26" s="14">
        <v>31026199.576000001</v>
      </c>
    </row>
    <row r="27" spans="1:44" ht="15" customHeight="1" x14ac:dyDescent="0.25">
      <c r="A27" s="13" t="s">
        <v>54</v>
      </c>
      <c r="B27" s="14">
        <v>24287612</v>
      </c>
      <c r="C27" s="14">
        <v>534202</v>
      </c>
      <c r="D27" s="14">
        <v>28000317</v>
      </c>
      <c r="E27" s="14">
        <v>33563104</v>
      </c>
      <c r="F27" s="14">
        <v>64006</v>
      </c>
      <c r="G27" s="14">
        <v>-101743</v>
      </c>
      <c r="H27" s="20">
        <v>0.33616450561</v>
      </c>
      <c r="I27" s="14">
        <v>2709675.3689999999</v>
      </c>
      <c r="J27" s="17">
        <v>7.700490641</v>
      </c>
      <c r="K27" s="14">
        <v>26581915.370000001</v>
      </c>
      <c r="S27" s="67"/>
    </row>
    <row r="28" spans="1:44" ht="15" customHeight="1" x14ac:dyDescent="0.25">
      <c r="A28" s="13" t="s">
        <v>55</v>
      </c>
      <c r="B28" s="14">
        <v>25646996</v>
      </c>
      <c r="C28" s="14">
        <v>25199</v>
      </c>
      <c r="D28" s="14">
        <v>29594871</v>
      </c>
      <c r="E28" s="14">
        <v>35109179</v>
      </c>
      <c r="F28" s="14">
        <v>84967</v>
      </c>
      <c r="G28" s="14">
        <v>-135096</v>
      </c>
      <c r="H28" s="20">
        <v>0.4035852459</v>
      </c>
      <c r="I28" s="14">
        <v>2663108.0469999998</v>
      </c>
      <c r="J28" s="17">
        <v>9.1466212138999996</v>
      </c>
      <c r="K28" s="14">
        <v>30865422.265000001</v>
      </c>
    </row>
    <row r="29" spans="1:44" ht="15" customHeight="1" x14ac:dyDescent="0.25">
      <c r="A29" s="13" t="s">
        <v>56</v>
      </c>
      <c r="B29" s="14">
        <v>29636966</v>
      </c>
      <c r="C29" s="14">
        <v>6068368</v>
      </c>
      <c r="D29" s="14">
        <v>30550704</v>
      </c>
      <c r="E29" s="14">
        <v>38099818</v>
      </c>
      <c r="F29" s="14">
        <v>93633</v>
      </c>
      <c r="G29" s="14">
        <v>-15776</v>
      </c>
      <c r="H29" s="20">
        <v>8.7043410853000006E-3</v>
      </c>
      <c r="I29" s="14">
        <v>2665040.7289999998</v>
      </c>
      <c r="J29" s="17">
        <v>20.363212786999998</v>
      </c>
      <c r="K29" s="14">
        <v>68758050.807999998</v>
      </c>
    </row>
    <row r="30" spans="1:44" ht="15" customHeight="1" x14ac:dyDescent="0.25">
      <c r="A30" s="13" t="s">
        <v>57</v>
      </c>
      <c r="B30" s="14">
        <v>40119322</v>
      </c>
      <c r="C30" s="14">
        <v>4598311</v>
      </c>
      <c r="D30" s="14">
        <v>36948930</v>
      </c>
      <c r="E30" s="14">
        <v>52711326</v>
      </c>
      <c r="F30" s="14">
        <v>171096</v>
      </c>
      <c r="G30" s="14">
        <v>-1444668</v>
      </c>
      <c r="H30" s="20">
        <v>2.2848484361999999</v>
      </c>
      <c r="I30" s="14">
        <v>2610525.1460000002</v>
      </c>
      <c r="J30" s="17">
        <v>19.105968502</v>
      </c>
      <c r="K30" s="14">
        <v>61765024.954000004</v>
      </c>
    </row>
    <row r="31" spans="1:44" ht="15" customHeight="1" x14ac:dyDescent="0.25">
      <c r="A31" s="13" t="s">
        <v>58</v>
      </c>
      <c r="B31" s="14">
        <v>44119292</v>
      </c>
      <c r="C31" s="14">
        <v>20486561</v>
      </c>
      <c r="D31" s="14">
        <v>44348464</v>
      </c>
      <c r="E31" s="14">
        <v>64875217</v>
      </c>
      <c r="F31" s="14">
        <v>243190</v>
      </c>
      <c r="G31" s="14">
        <v>-7425363</v>
      </c>
      <c r="H31" s="20">
        <v>7.9490900921999996</v>
      </c>
      <c r="I31" s="14">
        <v>2293803.9700000002</v>
      </c>
      <c r="J31" s="17">
        <v>33.579152290000003</v>
      </c>
      <c r="K31" s="14">
        <v>87049860.662</v>
      </c>
    </row>
    <row r="32" spans="1:44" ht="15" customHeight="1" x14ac:dyDescent="0.25">
      <c r="A32" s="13" t="s">
        <v>59</v>
      </c>
      <c r="B32" s="14">
        <v>46344166</v>
      </c>
      <c r="C32" s="14">
        <v>15457836</v>
      </c>
      <c r="D32" s="14">
        <v>40740751</v>
      </c>
      <c r="E32" s="14">
        <v>70545684</v>
      </c>
      <c r="F32" s="14">
        <v>294837</v>
      </c>
      <c r="G32" s="14">
        <v>-4462114</v>
      </c>
      <c r="H32" s="20">
        <v>9.0950432014999993</v>
      </c>
      <c r="I32" s="14">
        <v>2218116.37</v>
      </c>
      <c r="J32" s="17">
        <v>20.819073482</v>
      </c>
      <c r="K32" s="14">
        <v>48776378.976000004</v>
      </c>
    </row>
    <row r="33" spans="1:42" ht="15" customHeight="1" x14ac:dyDescent="0.25">
      <c r="A33" s="13" t="s">
        <v>60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42" ht="15" customHeight="1" x14ac:dyDescent="0.25">
      <c r="A34" s="13" t="s">
        <v>61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46" spans="1:42" ht="15" customHeight="1" x14ac:dyDescent="0.25">
      <c r="M46" s="46" t="s">
        <v>62</v>
      </c>
      <c r="N46" s="1"/>
      <c r="O46" s="1"/>
      <c r="P46" s="35"/>
      <c r="Q46" s="35"/>
      <c r="R46" s="35"/>
      <c r="S46" s="35"/>
      <c r="T46" s="35"/>
      <c r="U46" s="35"/>
      <c r="V46" s="35"/>
      <c r="W46" s="35"/>
      <c r="X46" s="35">
        <f>-G14/X17</f>
        <v>0.17405952161839905</v>
      </c>
      <c r="Y46" s="35">
        <f>-G15/Y17</f>
        <v>0</v>
      </c>
      <c r="Z46" s="35">
        <f>-G16/Z17</f>
        <v>7.038104709273782E-2</v>
      </c>
      <c r="AA46" s="35">
        <f>-G17/AA17</f>
        <v>-0.10582796063793688</v>
      </c>
      <c r="AB46" s="35">
        <f>-G18/AB17</f>
        <v>1.9710474574964338</v>
      </c>
      <c r="AC46" s="35">
        <f>-G19/AC17</f>
        <v>0.95000154530844361</v>
      </c>
      <c r="AD46" s="35">
        <f>-G20/AD17</f>
        <v>0</v>
      </c>
      <c r="AE46" s="35">
        <f>-G21/AE17</f>
        <v>0</v>
      </c>
      <c r="AF46" s="35">
        <f>-G22/AF17</f>
        <v>0</v>
      </c>
      <c r="AG46" s="35">
        <f>-G23/AG17</f>
        <v>0.18383289801457967</v>
      </c>
      <c r="AH46" s="35">
        <f>-G24/AH17</f>
        <v>0.10800330073529774</v>
      </c>
      <c r="AI46" s="35">
        <f>-G25/AI17</f>
        <v>0.37022581772775409</v>
      </c>
      <c r="AJ46" s="35">
        <f>-G26/AJ17</f>
        <v>4.4613256803015107</v>
      </c>
      <c r="AK46" s="35">
        <f>-G27/AK17</f>
        <v>0.19045791666822662</v>
      </c>
      <c r="AL46" s="35">
        <f>-G28/AL17</f>
        <v>5.3611651256002224</v>
      </c>
      <c r="AM46" s="35">
        <f>-G29/AM17</f>
        <v>2.5997104987700152E-3</v>
      </c>
      <c r="AN46" s="35">
        <f>-G30/AN17</f>
        <v>0.31417361722597709</v>
      </c>
      <c r="AO46" s="35">
        <f>-G31/AO17</f>
        <v>0.3624504376307961</v>
      </c>
      <c r="AP46" s="35">
        <f>-G32/AP17</f>
        <v>0.28866356196300696</v>
      </c>
    </row>
    <row r="47" spans="1:42" ht="15" customHeight="1" x14ac:dyDescent="0.25">
      <c r="M47" s="39" t="s">
        <v>63</v>
      </c>
      <c r="N47" s="32"/>
      <c r="O47" s="32"/>
      <c r="P47" s="36"/>
      <c r="Q47" s="36"/>
      <c r="R47" s="36"/>
      <c r="S47" s="36"/>
      <c r="T47" s="36"/>
      <c r="U47" s="36"/>
      <c r="V47" s="36"/>
      <c r="W47" s="36"/>
      <c r="X47" s="36">
        <f>-G14/X18</f>
        <v>0.17829056796910889</v>
      </c>
      <c r="Y47" s="36">
        <f>-G15/Y18</f>
        <v>0</v>
      </c>
      <c r="Z47" s="36">
        <f>-G16/Z18</f>
        <v>7.1247847210523324E-2</v>
      </c>
      <c r="AA47" s="36">
        <f>-G17/AA18</f>
        <v>-0.11020442048141556</v>
      </c>
      <c r="AB47" s="36">
        <f>-G18/AB18</f>
        <v>-1.4771673457836065</v>
      </c>
      <c r="AC47" s="36">
        <f>-G19/AC18</f>
        <v>57.114974772063903</v>
      </c>
      <c r="AD47" s="36">
        <f>-G20/AD18</f>
        <v>0</v>
      </c>
      <c r="AE47" s="36">
        <f>-G21/AE18</f>
        <v>0</v>
      </c>
      <c r="AF47" s="36">
        <f>-G22/AF18</f>
        <v>0</v>
      </c>
      <c r="AG47" s="36">
        <f>-G23/AG18</f>
        <v>0.14734637859828786</v>
      </c>
      <c r="AH47" s="36">
        <f>-G24/AH18</f>
        <v>0.187683484538543</v>
      </c>
      <c r="AI47" s="36">
        <f>-G25/AI18</f>
        <v>0.64562431542182686</v>
      </c>
      <c r="AJ47" s="36">
        <f>-G26/AJ18</f>
        <v>-0.70342006816866764</v>
      </c>
      <c r="AK47" s="36">
        <f>-G27/AK18</f>
        <v>-9.1441508581461245E-2</v>
      </c>
      <c r="AL47" s="36">
        <f>-G28/AL18</f>
        <v>0.33301166650839953</v>
      </c>
      <c r="AM47" s="36">
        <f>-G29/AM18</f>
        <v>3.0523183376478646E-3</v>
      </c>
      <c r="AN47" s="36">
        <f>-G30/AN18</f>
        <v>0.68948264907366952</v>
      </c>
      <c r="AO47" s="36">
        <f>-G31/AO18</f>
        <v>0.46021642993612855</v>
      </c>
      <c r="AP47" s="36">
        <f>-G32/AP18</f>
        <v>0.39308643328530635</v>
      </c>
    </row>
    <row r="48" spans="1:42" ht="15" customHeight="1" x14ac:dyDescent="0.25">
      <c r="M48" s="39" t="s">
        <v>64</v>
      </c>
      <c r="N48" s="32"/>
      <c r="O48" s="32"/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37">
        <v>0.24920892494999999</v>
      </c>
      <c r="AC48" s="37">
        <v>9.436695279E-2</v>
      </c>
      <c r="AD48" s="37">
        <v>0.33977370571999999</v>
      </c>
      <c r="AE48" s="37">
        <v>0</v>
      </c>
      <c r="AF48" s="37">
        <v>0</v>
      </c>
      <c r="AG48" s="37">
        <v>0.67856328391999998</v>
      </c>
      <c r="AH48" s="37">
        <v>0.68522622322000004</v>
      </c>
      <c r="AI48" s="37">
        <v>1.3553002267000001</v>
      </c>
      <c r="AJ48" s="37">
        <v>3.5566568509000001</v>
      </c>
      <c r="AK48" s="37">
        <v>0.33616450561</v>
      </c>
      <c r="AL48" s="37">
        <v>0.4035852459</v>
      </c>
      <c r="AM48" s="37">
        <v>8.7043410853000006E-3</v>
      </c>
      <c r="AN48" s="37">
        <v>2.2848484361999999</v>
      </c>
      <c r="AO48" s="37">
        <v>7.9490900921999996</v>
      </c>
      <c r="AP48" s="37">
        <v>9.0950432014999993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R49"/>
  <sheetViews>
    <sheetView showGridLines="0" topLeftCell="E1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4" customWidth="1"/>
    <col min="17" max="17" width="11.5703125" customWidth="1"/>
    <col min="18" max="22" width="11.28515625" customWidth="1"/>
    <col min="23" max="30" width="11.42578125" customWidth="1"/>
    <col min="31" max="31" width="11" customWidth="1"/>
    <col min="32" max="33" width="12.42578125" customWidth="1"/>
    <col min="34" max="34" width="15.5703125" customWidth="1"/>
    <col min="35" max="36" width="14.5703125" customWidth="1"/>
    <col min="37" max="42" width="15.5703125" customWidth="1"/>
    <col min="43" max="43" width="13.5703125" customWidth="1"/>
    <col min="44" max="44" width="14.7109375" customWidth="1"/>
  </cols>
  <sheetData>
    <row r="1" spans="1:44" ht="15" customHeight="1" x14ac:dyDescent="0.25">
      <c r="A1" s="6" t="s">
        <v>107</v>
      </c>
      <c r="M1" t="s">
        <v>1</v>
      </c>
      <c r="N1" s="7">
        <v>3.2099999999999997E-2</v>
      </c>
    </row>
    <row r="2" spans="1:44" ht="15" customHeight="1" x14ac:dyDescent="0.25">
      <c r="A2" s="6"/>
    </row>
    <row r="3" spans="1:44" ht="15" customHeight="1" x14ac:dyDescent="0.25">
      <c r="M3" s="2" t="s">
        <v>108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M7" s="1" t="s">
        <v>20</v>
      </c>
      <c r="N7" s="1"/>
      <c r="O7" s="5"/>
      <c r="P7" s="4">
        <f>((D5+E5)*P5)</f>
        <v>0</v>
      </c>
      <c r="Q7" s="4">
        <f>((D6+E6+P7+P8)*Q5)</f>
        <v>0</v>
      </c>
      <c r="R7" s="4">
        <f>((D7+E7+Q7+P7+P8+Q8)*R5)</f>
        <v>0</v>
      </c>
      <c r="S7" s="4">
        <f>((D8+E8+R7+Q7+P7+SUM($P$8:R8))*S5)</f>
        <v>0</v>
      </c>
      <c r="T7" s="4">
        <f>((D9+E9+S7+R7+Q7+P7+SUM($P$8:S8))*T5)</f>
        <v>0</v>
      </c>
      <c r="U7" s="4">
        <f>((D10+E10+T7+S7+R7+Q7+P7+SUM($P$8:T8))*U5)</f>
        <v>0</v>
      </c>
      <c r="V7" s="4">
        <f>((D11+E11+U7+T7+S7+R7+Q7+P7+SUM($P$8:U8))*V5)</f>
        <v>96985.661287199997</v>
      </c>
      <c r="W7" s="4">
        <f>((D12+E12+V7+U7+T7+S7+R7+Q7+P7+SUM($P$8:V8))*W5)</f>
        <v>112670.20664070958</v>
      </c>
      <c r="X7" s="4">
        <f>((D13+E13+W7+V7+U7+T7+S7+R7+Q7+P7+SUM($P$8:W8))*X5)</f>
        <v>15865.403934521128</v>
      </c>
      <c r="Y7" s="4">
        <f>((D14+E14+X7+W7+V7+U7+T7+S7+R7+Q7+P7+SUM($P$8:X8))*Y5)</f>
        <v>12780.918903272308</v>
      </c>
      <c r="Z7" s="4">
        <f>((E14+F14+Y7+X7+W7+V7+U7+T7+S7+R7+Q7+P7+SUM($P$8:Y8))*Z5)</f>
        <v>7454.4114258430745</v>
      </c>
      <c r="AA7" s="4">
        <f>((D16+E16+Z7+Y7+X7+W7+V7+U7+T7+S7+R7+P7+Q7+SUM($P$8:Z8))*AA5)</f>
        <v>10920.579793942956</v>
      </c>
      <c r="AB7" s="4">
        <f>((D17+E17+AA7+Z7+Y7+X7+W7+V7+U7+T7+S7+P7+Q7+R7+SUM($P$8:AA8))*AB5)</f>
        <v>15090.821110143852</v>
      </c>
      <c r="AC7" s="4">
        <f>((D18+E18+AB7+AA7+Z7+Y7+X7+W7+V7+U7+T7+S7+R7+Q7+P7+SUM($P$8:AB8))*AC5)</f>
        <v>11674.387099121777</v>
      </c>
      <c r="AD7" s="4">
        <f>((D19+E19+AC7+AB7+AA7+Z7+Y7+X7+W7+V7+U7+T7+S7+R7+Q7+P7+SUM($P$8:AC8))*AD5)</f>
        <v>233222.84403347</v>
      </c>
      <c r="AE7" s="4">
        <f>((D20+E20+AD7+AC7+AB7+AA7+Z7+Y7+X7+W7+V7+U7+T7+S7+R7+Q7+P7+SUM($P$8:AD8))*AE5)</f>
        <v>299744.29453983461</v>
      </c>
      <c r="AF7" s="4">
        <f>((E20+F20+AE7+AD7+AC7+AB7+AA7+Z7+Y7+X7+W7+V7+U7+T7+S7+R7+Q7+P7+SUM($P$8:AE8))*AF5)</f>
        <v>288157.57081845467</v>
      </c>
      <c r="AG7" s="4">
        <f>((D22+E22+AF7+AE7+AD7+AC7+AB7+AA7+Z7+Y7+X7+W7+V7+U7+T7+R7+S7+Q7+P7+SUM($P$8:AF8))*AG5)</f>
        <v>357175.25593966298</v>
      </c>
      <c r="AH7" s="4">
        <f>((E22+F22+AG7+AF7+AE7+AD7+AC7+AB7+AA7+Z7+Y7+X7+W7+V7+U7+S7+T7+R7+Q7+P7+SUM($P$8:AG8))*AH5)</f>
        <v>411589.347083328</v>
      </c>
      <c r="AI7" s="4">
        <f>((F22+G22+AH7+AG7+AF7+AE7+AD7+AC7+AB7+AA7+Z7+Y7+X7+W7+V7+T7+U7+S7+R7+Q7+P7+SUM($P$8:AH8))*AI5)</f>
        <v>158563.47199013419</v>
      </c>
      <c r="AJ7" s="4">
        <f>((G22+H22+AI7+AH7+AG7+AF7+AE7+AD7+AC7+AB7+AA7+Z7+Y7+X7+W7+U7+V7+T7+S7+R7+Q7+P7+SUM($P$8:AI8))*AJ5)</f>
        <v>103262.76492521729</v>
      </c>
      <c r="AK7" s="4">
        <f>((H22+I22+AJ7+AI7+AH7+AG7+AF7+AE7+AD7+AC7+AB7+AA7+Z7+Y7+X7+V7+W7+U7+T7+S7+R7+Q7+P7+SUM($P$8:AJ8))*AK5)</f>
        <v>102197.57984548325</v>
      </c>
      <c r="AL7" s="4">
        <f>((D27+E27+AK7+AJ7+AI7+AH7+AG7+AF7+AE7+AD7+AC7++AB7+AA7+Z7+Y7+X7+W7+V7+U7+T7+S7+R7+Q7+P7+SUM($P$8:AK8))*AL5)</f>
        <v>325046.13076388784</v>
      </c>
      <c r="AM7" s="4">
        <f>((E27+F27+AL7+AK7+AJ7+AI7+AH7+AG7+AF7+AE7+AD7++AC7+AB7+AA7+Z7+Y7+X7+W7+V7+U7+T7+S7+R7+Q7+P7+SUM($P$8:AL8))*AM5)</f>
        <v>369626.37369388528</v>
      </c>
      <c r="AN7" s="4">
        <f>((F27+G27+AM7+AL7+AK7+AJ7+AI7+AH7+AG7+AF7+AE7++AD7+AC7+AB7+AA7+Z7+Y7+X7+W7+V7+U7+T7+S7+R7+Q7+P7+SUM($P$8:AM8))*AN5)</f>
        <v>111513.68048223067</v>
      </c>
      <c r="AO7" s="4">
        <f>((G27+H27+AN7+AM7+AL7+AK7+AJ7+AI7+AH7+AG7+AF7++AE7+AD7+AC7+AB7+AA7+Z7+Y7+X7+W7+V7+U7+T7+S7+R7+Q7+P7+SUM($P$8:AN8))*AO5)</f>
        <v>255465.78331422049</v>
      </c>
      <c r="AP7" s="4">
        <f>((H27+I27+AO7+AN7+AM7+AL7+AK7+AJ7+AI7+AH7+AG7++AF7+AE7+AD7+AC7+AB7+AA7+Z7+Y7+X7+W7+V7+U7+T7+S7+R7+Q7+P7+SUM($P$8:AO8))*AP5)</f>
        <v>269213.42001136218</v>
      </c>
      <c r="AQ7" s="4">
        <f>((I27+J27+AP7+AO7+AN7+AM7+AL7+AK7+AJ7+AI7+AH7++AG7+AF7+AE7+AD7+AC7+AB7+AA7+Z7+Y7+X7+W7+V7+U7+T7+S7+R7+Q7+P7+SUM($P$8:AP8))*AQ5)</f>
        <v>228045.45125318534</v>
      </c>
      <c r="AR7" s="4">
        <f>((J27+K27+AQ7+AP7+AO7+AN7+AM7+AL7+AK7+AJ7+AI7++AH7+AG7+AF7+AE7+AD7+AC7+AB7+AA7+Z7+Y7+X7+W7+V7+U7+T7+S7+R7+Q7+P7+SUM($P$8:AQ8))*AR5)</f>
        <v>1156027.4424984045</v>
      </c>
    </row>
    <row r="8" spans="1:44" ht="15" customHeight="1" x14ac:dyDescent="0.25">
      <c r="A8" s="13" t="s">
        <v>21</v>
      </c>
      <c r="B8" s="16">
        <v>1453429</v>
      </c>
      <c r="C8" s="16">
        <v>241558</v>
      </c>
      <c r="D8" s="15">
        <v>0</v>
      </c>
      <c r="E8" s="15">
        <v>0</v>
      </c>
      <c r="F8" s="15">
        <v>0</v>
      </c>
      <c r="G8" s="16">
        <v>-57370</v>
      </c>
      <c r="H8" s="15">
        <v>0</v>
      </c>
      <c r="I8" s="16">
        <v>1447130</v>
      </c>
      <c r="J8" s="15">
        <v>0</v>
      </c>
      <c r="K8" s="15">
        <v>0</v>
      </c>
      <c r="M8" s="1" t="s">
        <v>22</v>
      </c>
      <c r="N8" s="1"/>
      <c r="O8" s="4"/>
      <c r="P8" s="4">
        <f>((D6+E6)-(D5+E5))*(P5^1/2)</f>
        <v>0</v>
      </c>
      <c r="Q8" s="4">
        <f>((D7+E7)-(D6+E6))*(Q5^1/2)</f>
        <v>0</v>
      </c>
      <c r="R8" s="4">
        <f>((D8+E8)-(D7+E7))*(R5^1/2)</f>
        <v>0</v>
      </c>
      <c r="S8" s="4">
        <f>((D9+E9)-(D8+E8))*(S5^1/2)</f>
        <v>0</v>
      </c>
      <c r="T8" s="4">
        <f>((D10+E10)-(D9+E9))*(T5^1/2)</f>
        <v>0</v>
      </c>
      <c r="U8" s="4">
        <f>((D11+E11)-(D10+E10))*(U5^1/2)</f>
        <v>28587.624</v>
      </c>
      <c r="V8" s="4">
        <f>((D12+E12)-(D11+E11))*(V5^1/2)</f>
        <v>20074.312999999998</v>
      </c>
      <c r="W8" s="4">
        <f>((D13+E13)-(D12+E12))*(W5^1/2)</f>
        <v>-49562.49</v>
      </c>
      <c r="X8" s="4">
        <f>((D14+E14)-(D13+E13))*(X5^1/2)</f>
        <v>0</v>
      </c>
      <c r="Y8" s="4">
        <f>((D15+E15)-(D14+E14))*(Y5^1/2)</f>
        <v>0</v>
      </c>
      <c r="Z8" s="4">
        <f>((E15+F15)-(E14+F14))*(Z5^1/2)</f>
        <v>0</v>
      </c>
      <c r="AA8" s="4">
        <f>((D17+E17)-(D16+E16))*(AA5^1/2)</f>
        <v>0</v>
      </c>
      <c r="AB8" s="4">
        <f>((D18+E18)-(D17+E17))*(AB5^1/2)</f>
        <v>0</v>
      </c>
      <c r="AC8" s="4">
        <f>((D19+E19)-(D18+E18))*(AC5^1/2)</f>
        <v>77287.178599999999</v>
      </c>
      <c r="AD8" s="4">
        <f>((D20+E20)-(D19+E19))*(AD5/2)</f>
        <v>12398.8254</v>
      </c>
      <c r="AE8" s="4">
        <f>((D21+E21)-(D20+E20))*(AE5^1/2)</f>
        <v>23010</v>
      </c>
      <c r="AF8" s="4">
        <f>((D22+E22)-(D21+E21))*(AF5^1/2)</f>
        <v>3212</v>
      </c>
      <c r="AG8" s="4">
        <f>((D23+E23)-(D22+E22))*(AG5^1/2)</f>
        <v>20300.849999999999</v>
      </c>
      <c r="AH8" s="4">
        <f>((D24+E24)-(D23+E23))*(AH5^1/2)</f>
        <v>33428.15</v>
      </c>
      <c r="AI8" s="4">
        <f>((D25+E25)-(D24+E24))*(AI5^1/2)</f>
        <v>-2934.25</v>
      </c>
      <c r="AJ8" s="4">
        <f>((D26+E26)-(D25+E25))*(AJ5^1/2)</f>
        <v>-1635.3999999999999</v>
      </c>
      <c r="AK8" s="4">
        <f>((D27+E27)-(D26+E26))*(AK5/2)</f>
        <v>-2625.5</v>
      </c>
      <c r="AL8" s="4">
        <f>((D28+E28)-(D27+E27))*(AL5^1/2)</f>
        <v>75</v>
      </c>
      <c r="AM8" s="4">
        <f>((D29+E29)-(D28+E28))*(AM5^1/2)</f>
        <v>20472.5</v>
      </c>
      <c r="AN8" s="4">
        <f>((D30+E30)-(D29+E29))*(AN5^1/2)</f>
        <v>-3209.2</v>
      </c>
      <c r="AO8" s="4">
        <f>((D31+E31)-(D30+E30))*(AO5^1/2)</f>
        <v>6740.2</v>
      </c>
      <c r="AP8" s="4">
        <f>((D32+E32)-(D31+E31))*(AP5^1/2)</f>
        <v>17196.3</v>
      </c>
      <c r="AQ8" s="4">
        <f>((D32+E32)-(D31+E31))*(AQ5^1/2)</f>
        <v>13721.4</v>
      </c>
      <c r="AR8" s="4">
        <f>((E32+F32)-(E31+F31))*(AR5^1/2)</f>
        <v>110051.55</v>
      </c>
    </row>
    <row r="9" spans="1:44" ht="15" customHeight="1" x14ac:dyDescent="0.25">
      <c r="A9" s="13" t="s">
        <v>23</v>
      </c>
      <c r="B9" s="16">
        <v>1273118</v>
      </c>
      <c r="C9" s="16">
        <v>-73050</v>
      </c>
      <c r="D9" s="15">
        <v>0</v>
      </c>
      <c r="E9" s="15">
        <v>0</v>
      </c>
      <c r="F9" s="15">
        <v>0</v>
      </c>
      <c r="G9" s="16"/>
      <c r="H9" s="15">
        <v>0</v>
      </c>
      <c r="I9" s="16">
        <v>1447130</v>
      </c>
      <c r="J9" s="15">
        <v>0</v>
      </c>
      <c r="K9" s="15">
        <v>0</v>
      </c>
      <c r="M9" s="1" t="s">
        <v>24</v>
      </c>
      <c r="N9" s="1"/>
      <c r="O9" s="4"/>
      <c r="P9" s="4">
        <f>+B5*P5</f>
        <v>0</v>
      </c>
      <c r="Q9" s="4">
        <f>+(B6+P9+P10+P14)*Q5</f>
        <v>0</v>
      </c>
      <c r="R9" s="4">
        <f>+(B7+Q9+P9+P10+Q10+P14+Q14)*R5</f>
        <v>0</v>
      </c>
      <c r="S9" s="4">
        <f>+(B8+R9+Q9+P9+P10+Q10+R10+P14+Q14+R14)*S5</f>
        <v>129936.5526</v>
      </c>
      <c r="T9" s="4">
        <f>+(B9+S9+R9+Q9+P9+P10+Q10+R10+S10+P14+Q14+R14+S14)*T5</f>
        <v>76005.1446</v>
      </c>
      <c r="U9" s="4">
        <f>+(B10+T9+S9+R9+Q9+P9+P10+Q10+R10+S10+T10+P14+Q14+R14+S14+T14)*U5</f>
        <v>112874.94140000001</v>
      </c>
      <c r="V9" s="4">
        <f>+(B11+U9+T9+S9+R9+Q9+P9+P10+Q10+R10+S10+T10+U10+P14+Q14+R14+S14+T14+U14)*V5</f>
        <v>198581.78318719997</v>
      </c>
      <c r="W9" s="4">
        <f>+(B12+V9+U9+T9+S9+R9+Q9+P9+P10+Q10+R10+S10+T10+U10+V10+P14+Q14+R14+S14+T14+U14+V14)*W5</f>
        <v>205069.64557475131</v>
      </c>
      <c r="X9" s="4">
        <f>+(B13+W9+V9+U9+T9+S9+R9+Q9+P9+P10+Q10+R10+S10+T10+U10+V10+W10+P14+Q14+R14+S14+T14+U14+V14+W14)*X5</f>
        <v>15389.00461318413</v>
      </c>
      <c r="Y9" s="4">
        <f>+(B14+X9+W9+V9+U9+T9+S9+R9+Q9+P9+P10+Q10+R10+S10+T10+U10+V10+W10+X10+P14+Q14+R14+S14+T14+U14+V14+W14+X14)*Y5</f>
        <v>11979.663806159329</v>
      </c>
      <c r="Z9" s="4">
        <f>+(B15+Y9+X9+W9+V9+U9+T9+S9+R9+Q9+P9+P10+Q10+R10+S10+T10+U10+V10+W10+X10+Y10+P14+Q14+R14+S14+T14+U14+V14+W14+X14+Y14)*Z5</f>
        <v>6736.040605838496</v>
      </c>
      <c r="AA9" s="4">
        <f>+(B16+Z9+Y9+X9+W9+V9+U9+T9+S9+R9+Q9+P9+P10+Q10+R10+S10+T10+U10+V10+W10+X10+Y10+Z10+P14+Q14+R14+S14+T14+U14+V14+W14+X14+Y14+Z14)*AA5</f>
        <v>9476.7153113489021</v>
      </c>
      <c r="AB9" s="4">
        <f>+(B17+AA9+Z9+Y9+X9+W9+V9+U9+T9+S9+R9+Q9+P9+P10+Q10+R10+S10+T10+U10+V10+W10+X10+Y10+Z10+AA10+P14+Q14+R14+S14+T14+U14+V14+W14+X14+Y14+Z14+AA14)*AB5</f>
        <v>12580.801999328691</v>
      </c>
      <c r="AC9" s="4">
        <f>+(B18+AB9+AA9+Z9+Y9+X9+W9+V9+U9+T9+S9+R9+Q9+P9+P10+Q10+R10+S10+T10+U10+V10+W10+X10+Y10+Z10+AA10+AB10+P14+Q14+R14+S14+T14+U14+V14+W14+X14+Y14+Z14+AA14+AB14)*AC5</f>
        <v>327376.84622033837</v>
      </c>
      <c r="AD9" s="4">
        <f>+(B19+AC9+AB9+AA9+Z9+Y9+X9+W9+V9+U9+T9+S9+R9+Q9+P9+P10+Q10+R10+S10+T10+U10+V10+W10+X10+Y10+Z10+AA10+AB10+AC10+P14+Q14+R14+S14+T14+U14+V14+W14+X14+Y14+Z14+AA14+AB14+AC14)*AD5</f>
        <v>482369.78866920102</v>
      </c>
      <c r="AE9" s="4">
        <f>+(B20+AD9+AC9+AB9+AA9+Z9+Y9+X9+W9+V9+U9+T9+S9+R9+Q9+P9+P10+Q10+R10+S10+T10+U10+V10+W10+X10+Y10+Z10+AA10+AB10+AC10+AD10+P14+Q14+S14++R14+T14+U14+V14+W14+X14+Y14+Z14+AA14+AB14+AC14+AD14)*AE5</f>
        <v>635295.39208021294</v>
      </c>
      <c r="AF9" s="4">
        <f>+(B21+AE9+AD9+AC9+AB9+AA9+Z9+Y9+X9+W9+V9+U9+T9+S9+R9+Q9+P9+P10+Q10+R10+S10+T10+U10+V10+W10+X10+Y10+Z10+AA10+AB10+AC10+AD10+AE10+P14+Q14+R14+S14+T14+U14+V14+W14+X14+Y14+Z14+AA14+AB14+AC14+AD14+AE14)*AF5</f>
        <v>637449.69524038734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630057.20049990201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852752.34220409545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1483399.0780562195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740543.02377464704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273179.22533086763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400121.56789708784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506070.55911869259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500945.68707106775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1457113.6806636075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850018.59027376748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697021.09387643682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881178.19660623418</v>
      </c>
    </row>
    <row r="10" spans="1:44" ht="15" customHeight="1" x14ac:dyDescent="0.25">
      <c r="A10" s="13" t="s">
        <v>25</v>
      </c>
      <c r="B10" s="16">
        <v>1471642</v>
      </c>
      <c r="C10" s="16">
        <v>278211</v>
      </c>
      <c r="D10" s="15">
        <v>0</v>
      </c>
      <c r="E10" s="15">
        <v>0</v>
      </c>
      <c r="F10" s="15">
        <v>0</v>
      </c>
      <c r="G10" s="16">
        <v>-78329</v>
      </c>
      <c r="H10" s="15">
        <v>0</v>
      </c>
      <c r="I10" s="16">
        <v>1447130</v>
      </c>
      <c r="J10" s="15">
        <v>0</v>
      </c>
      <c r="K10" s="15">
        <v>0</v>
      </c>
      <c r="M10" s="22" t="s">
        <v>26</v>
      </c>
      <c r="N10" s="22"/>
      <c r="O10" s="23"/>
      <c r="P10" s="23">
        <f>((B6-B5)*(P5^1/2))</f>
        <v>0</v>
      </c>
      <c r="Q10" s="23">
        <f>((B7-B6)*(Q5^1/2))</f>
        <v>0</v>
      </c>
      <c r="R10" s="23">
        <f>((B8-B7)*(R5/2))</f>
        <v>12063.4607</v>
      </c>
      <c r="S10" s="23">
        <f>((B9-B8)*(S5/2))</f>
        <v>-8059.9016999999994</v>
      </c>
      <c r="T10" s="23">
        <f>((B10-B9)*(T5^1/2))</f>
        <v>5925.9414000000006</v>
      </c>
      <c r="U10" s="23">
        <f>((B11-B10)*(U5^1/2))</f>
        <v>3245.2153500000004</v>
      </c>
      <c r="V10" s="23">
        <f>((B12-B11)*(V5^1/2))</f>
        <v>31586.375799999998</v>
      </c>
      <c r="W10" s="23"/>
      <c r="X10" s="23"/>
      <c r="Y10" s="22"/>
      <c r="Z10" s="23"/>
      <c r="AA10" s="23"/>
      <c r="AB10" s="23">
        <f>((B18-B17)*(AB5^1/2))</f>
        <v>217667.69699999999</v>
      </c>
      <c r="AC10" s="23">
        <f>((B19-B18)*(AC5^1/2))</f>
        <v>10545.255450000001</v>
      </c>
      <c r="AD10" s="23">
        <f>((B20-B19)*(AD5/2))</f>
        <v>40840.907249999997</v>
      </c>
      <c r="AE10" s="23">
        <f>((B21-B20)*(AE5^1/2))</f>
        <v>27430</v>
      </c>
      <c r="AF10" s="23">
        <f>((B22-B21)*(AF5^1/2))</f>
        <v>-14833.6</v>
      </c>
      <c r="AG10" s="23">
        <f>((B23-B22)*(AG5/2))</f>
        <v>68408.25</v>
      </c>
      <c r="AH10" s="23">
        <f>((B24-B23)*(AH5/2))</f>
        <v>7051.0000000000009</v>
      </c>
      <c r="AI10" s="23">
        <f>((B25-B24)*(AI5^1/2))</f>
        <v>-117156.6</v>
      </c>
      <c r="AJ10" s="23">
        <f>((B26-B25)*(AJ5/2))</f>
        <v>-79096.75</v>
      </c>
      <c r="AK10" s="23">
        <f>((B27-B26)*(AK5/2))</f>
        <v>20886</v>
      </c>
      <c r="AL10" s="23">
        <f>((B28-B27)*(AL5^1/2))</f>
        <v>16125</v>
      </c>
      <c r="AM10" s="23">
        <f>((B29-B28)*(AM5/2))</f>
        <v>-19826</v>
      </c>
      <c r="AN10" s="23">
        <f>((B30-B29)*(AN5/2))</f>
        <v>77766.599999999991</v>
      </c>
      <c r="AO10" s="23">
        <f>((B31-B30)*(AO5/2))</f>
        <v>5080.3</v>
      </c>
      <c r="AP10" s="23">
        <f>((B32-B31)*(AP5^1/2))</f>
        <v>8829.75</v>
      </c>
      <c r="AQ10" s="23">
        <f>((C32-C31)*(AQ5/2))</f>
        <v>-22176</v>
      </c>
      <c r="AR10" s="23">
        <f>((D32-D31)*(AR5^1/2))</f>
        <v>9949.8000000000011</v>
      </c>
    </row>
    <row r="11" spans="1:44" ht="15" customHeight="1" x14ac:dyDescent="0.25">
      <c r="A11" s="13" t="s">
        <v>27</v>
      </c>
      <c r="B11" s="16">
        <v>1556263</v>
      </c>
      <c r="C11" s="16">
        <v>374092</v>
      </c>
      <c r="D11" s="15">
        <v>0</v>
      </c>
      <c r="E11" s="16">
        <v>745440</v>
      </c>
      <c r="F11" s="15">
        <v>0</v>
      </c>
      <c r="G11" s="16">
        <v>-96778</v>
      </c>
      <c r="H11" s="15">
        <v>0</v>
      </c>
      <c r="I11" s="16">
        <v>1447130</v>
      </c>
      <c r="J11" s="15">
        <v>0</v>
      </c>
      <c r="K11" s="15">
        <v>0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6">
        <v>2060435</v>
      </c>
      <c r="C12" s="16">
        <v>675516</v>
      </c>
      <c r="D12" s="15">
        <v>0</v>
      </c>
      <c r="E12" s="16">
        <v>1065860</v>
      </c>
      <c r="F12" s="15">
        <v>0</v>
      </c>
      <c r="G12" s="16">
        <v>-171344</v>
      </c>
      <c r="H12" s="15">
        <v>0</v>
      </c>
      <c r="I12" s="16">
        <v>1447130</v>
      </c>
      <c r="J12" s="15">
        <v>0</v>
      </c>
      <c r="K12" s="15">
        <v>0</v>
      </c>
      <c r="M12" s="1" t="s">
        <v>30</v>
      </c>
      <c r="N12" s="1"/>
      <c r="O12" s="1"/>
      <c r="P12" s="4">
        <v>0</v>
      </c>
      <c r="Q12" s="24">
        <f>-($P$7+$P$8)*$N$1</f>
        <v>0</v>
      </c>
      <c r="R12" s="24">
        <f>-((($P$7+$P$8)*(1+Q5))+($Q$7+$Q$8))*N1</f>
        <v>0</v>
      </c>
      <c r="S12" s="24">
        <f>-((($P$7+$P$8)*(1+Q5)*(1+R5))+(($Q$7+$Q$8)*(1+R5))+((R7+R8)))*$N$1</f>
        <v>0</v>
      </c>
      <c r="T12" s="24">
        <f>-((($P$7+$P$8)*(1+R5)*(1+S5)*(1+Q5))+(($Q$7+$Q$8)*(1+S5)*(1+R5))+((R7+R8)*(1+S5))+((S7+S8)))*$N$1</f>
        <v>0</v>
      </c>
      <c r="U12" s="24">
        <f>-((($P$7+$P$8)*(1+T5)*(1+R5)*(1+S5)*(1+Q5))+(($Q$7+$Q$8)*(1+T5)*(1+S5)*(1+R5))+((R7+R8)*(1+S5)*(1+T5))+((S7+S8)*(1+T5))+(T7+T8))*$N$1</f>
        <v>0</v>
      </c>
      <c r="V12" s="24">
        <f>-((($P$7+$P$8)*(1+U5)*(1+S5)*(1+T5)*(1+R5)*(1+Q5))+(($Q$7+$Q$8)*(1+U5)*(1+T5)*(1+S5)*(1+R5))+(($R$7+$R$8)*(1+U5)*(1+T5)*(1+S5))+((S7+S8)*(1+T5)*(1+U5))+((T7+T8)*(1+U5))+(U7+U8))*$N$1</f>
        <v>-917.66273039999987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-4790.2710451382391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-7261.5239565028724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-8322.6792434952204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-9206.5071892451379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-9734.8781217569976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-10519.604297372927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-11624.676308553551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-14981.366116394016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-23751.220442687289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-35655.462626190645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-47090.704866832581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-61990.748525125557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-80249.417161960941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-93756.376489477698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-102939.60725601346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-109159.80179353243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-123675.58658271382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-141544.43679979685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-151401.72042596567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-175042.74880417742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-193986.34395513573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-189108.24324476765</v>
      </c>
    </row>
    <row r="13" spans="1:44" ht="15" customHeight="1" x14ac:dyDescent="0.25">
      <c r="A13" s="13" t="s">
        <v>31</v>
      </c>
      <c r="B13" s="16"/>
      <c r="C13" s="16"/>
      <c r="D13" s="15">
        <v>0</v>
      </c>
      <c r="E13" s="16">
        <v>0</v>
      </c>
      <c r="F13" s="15">
        <v>0</v>
      </c>
      <c r="G13" s="16"/>
      <c r="H13" s="15">
        <v>0</v>
      </c>
      <c r="I13" s="16"/>
      <c r="J13" s="15">
        <v>0</v>
      </c>
      <c r="K13" s="15">
        <v>0</v>
      </c>
      <c r="M13" t="s">
        <v>32</v>
      </c>
      <c r="P13">
        <v>0</v>
      </c>
      <c r="Q13" s="24">
        <f t="shared" ref="Q13:AR13" si="0">Q12*Q5</f>
        <v>0</v>
      </c>
      <c r="R13" s="24">
        <f t="shared" si="0"/>
        <v>0</v>
      </c>
      <c r="S13" s="24">
        <f t="shared" si="0"/>
        <v>0</v>
      </c>
      <c r="T13" s="24">
        <f t="shared" si="0"/>
        <v>0</v>
      </c>
      <c r="U13" s="24">
        <f t="shared" si="0"/>
        <v>0</v>
      </c>
      <c r="V13" s="24">
        <f t="shared" si="0"/>
        <v>-114.98314011911998</v>
      </c>
      <c r="W13" s="24">
        <f t="shared" si="0"/>
        <v>-445.49520719785625</v>
      </c>
      <c r="X13" s="24">
        <f t="shared" si="0"/>
        <v>-551.87582069421831</v>
      </c>
      <c r="Y13" s="24">
        <f t="shared" si="0"/>
        <v>-473.56044895487804</v>
      </c>
      <c r="Z13" s="24">
        <f t="shared" si="0"/>
        <v>-289.08432574229732</v>
      </c>
      <c r="AA13" s="24">
        <f t="shared" si="0"/>
        <v>-434.17556423036211</v>
      </c>
      <c r="AB13" s="24">
        <f t="shared" si="0"/>
        <v>-620.65665354500265</v>
      </c>
      <c r="AC13" s="24">
        <f t="shared" si="0"/>
        <v>-501.02354889865808</v>
      </c>
      <c r="AD13" s="24">
        <f t="shared" si="0"/>
        <v>-885.39873747888635</v>
      </c>
      <c r="AE13" s="24">
        <f t="shared" si="0"/>
        <v>-1543.8293287746737</v>
      </c>
      <c r="AF13" s="24">
        <f t="shared" si="0"/>
        <v>-2082.2790173695339</v>
      </c>
      <c r="AG13" s="24">
        <f t="shared" si="0"/>
        <v>-2783.0606576298055</v>
      </c>
      <c r="AH13" s="24">
        <f t="shared" si="0"/>
        <v>-3973.6069804605486</v>
      </c>
      <c r="AI13" s="24">
        <f t="shared" si="0"/>
        <v>-8562.6128111812322</v>
      </c>
      <c r="AJ13" s="24">
        <f t="shared" si="0"/>
        <v>-5897.2760811881471</v>
      </c>
      <c r="AK13" s="24">
        <f t="shared" si="0"/>
        <v>-3036.7184140523968</v>
      </c>
      <c r="AL13" s="24">
        <f t="shared" si="0"/>
        <v>-4093.4925672574659</v>
      </c>
      <c r="AM13" s="24">
        <f t="shared" si="0"/>
        <v>-5330.4177817149657</v>
      </c>
      <c r="AN13" s="24">
        <f t="shared" si="0"/>
        <v>-6397.8085433508177</v>
      </c>
      <c r="AO13" s="24">
        <f t="shared" si="0"/>
        <v>-15231.013074852146</v>
      </c>
      <c r="AP13" s="24">
        <f t="shared" si="0"/>
        <v>-10134.975155761873</v>
      </c>
      <c r="AQ13" s="24">
        <f t="shared" si="0"/>
        <v>-8962.1690907272696</v>
      </c>
      <c r="AR13" s="24">
        <f t="shared" si="0"/>
        <v>-9133.9281487222779</v>
      </c>
    </row>
    <row r="14" spans="1:44" ht="15" customHeight="1" x14ac:dyDescent="0.25">
      <c r="A14" s="13" t="s">
        <v>33</v>
      </c>
      <c r="B14" s="16"/>
      <c r="C14" s="16"/>
      <c r="D14" s="15">
        <v>0</v>
      </c>
      <c r="E14" s="16">
        <v>0</v>
      </c>
      <c r="F14" s="15">
        <v>0</v>
      </c>
      <c r="G14" s="16"/>
      <c r="H14" s="15">
        <v>0</v>
      </c>
      <c r="I14" s="16"/>
      <c r="J14" s="15">
        <v>0</v>
      </c>
      <c r="K14" s="15">
        <v>0</v>
      </c>
      <c r="M14" s="39" t="s">
        <v>34</v>
      </c>
      <c r="N14" s="39"/>
      <c r="O14" s="40"/>
      <c r="P14" s="40">
        <f t="shared" ref="P14:AR14" si="1">(P7+P8)-(P9+P10)+P12+P13</f>
        <v>0</v>
      </c>
      <c r="Q14" s="40">
        <f t="shared" si="1"/>
        <v>0</v>
      </c>
      <c r="R14" s="40">
        <f t="shared" si="1"/>
        <v>-12063.4607</v>
      </c>
      <c r="S14" s="40">
        <f t="shared" si="1"/>
        <v>-121876.65089999999</v>
      </c>
      <c r="T14" s="40">
        <f t="shared" si="1"/>
        <v>-81931.085999999996</v>
      </c>
      <c r="U14" s="40">
        <f t="shared" si="1"/>
        <v>-87532.532750000013</v>
      </c>
      <c r="V14" s="40">
        <f t="shared" si="1"/>
        <v>-114140.8305705191</v>
      </c>
      <c r="W14" s="40">
        <f t="shared" si="1"/>
        <v>-147197.69518637782</v>
      </c>
      <c r="X14" s="40">
        <f t="shared" si="1"/>
        <v>-7337.0004558600931</v>
      </c>
      <c r="Y14" s="40">
        <f t="shared" si="1"/>
        <v>-7994.9845953371196</v>
      </c>
      <c r="Z14" s="40">
        <f t="shared" si="1"/>
        <v>-8777.220694982856</v>
      </c>
      <c r="AA14" s="40">
        <f t="shared" si="1"/>
        <v>-8725.1892033933054</v>
      </c>
      <c r="AB14" s="40">
        <f t="shared" si="1"/>
        <v>-226297.93884010275</v>
      </c>
      <c r="AC14" s="40">
        <f t="shared" si="1"/>
        <v>-261086.23582866881</v>
      </c>
      <c r="AD14" s="40">
        <f t="shared" si="1"/>
        <v>-293455.79133960389</v>
      </c>
      <c r="AE14" s="40">
        <f t="shared" si="1"/>
        <v>-365266.14731184026</v>
      </c>
      <c r="AF14" s="40">
        <f t="shared" si="1"/>
        <v>-368984.26606549288</v>
      </c>
      <c r="AG14" s="40">
        <f t="shared" si="1"/>
        <v>-370863.11008470145</v>
      </c>
      <c r="AH14" s="40">
        <f t="shared" si="1"/>
        <v>-480750.2006263535</v>
      </c>
      <c r="AI14" s="40">
        <f t="shared" si="1"/>
        <v>-1299425.2860392274</v>
      </c>
      <c r="AJ14" s="40">
        <f t="shared" si="1"/>
        <v>-659472.56142009562</v>
      </c>
      <c r="AK14" s="40">
        <f t="shared" si="1"/>
        <v>-300469.47115545021</v>
      </c>
      <c r="AL14" s="40">
        <f t="shared" si="1"/>
        <v>-204378.73149398991</v>
      </c>
      <c r="AM14" s="40">
        <f t="shared" si="1"/>
        <v>-225151.68978923609</v>
      </c>
      <c r="AN14" s="40">
        <f t="shared" si="1"/>
        <v>-618350.05193198472</v>
      </c>
      <c r="AO14" s="40">
        <f t="shared" si="1"/>
        <v>-1366620.7308502048</v>
      </c>
      <c r="AP14" s="40">
        <f t="shared" si="1"/>
        <v>-757616.34422234469</v>
      </c>
      <c r="AQ14" s="40">
        <f t="shared" si="1"/>
        <v>-636026.75566911453</v>
      </c>
      <c r="AR14" s="40">
        <f t="shared" si="1"/>
        <v>176708.82449868042</v>
      </c>
    </row>
    <row r="15" spans="1:44" ht="15" customHeight="1" x14ac:dyDescent="0.25">
      <c r="A15" s="13" t="s">
        <v>35</v>
      </c>
      <c r="B15" s="16"/>
      <c r="C15" s="16"/>
      <c r="D15" s="15">
        <v>0</v>
      </c>
      <c r="E15" s="16">
        <v>0</v>
      </c>
      <c r="F15" s="15">
        <v>0</v>
      </c>
      <c r="G15" s="16"/>
      <c r="H15" s="15">
        <v>0</v>
      </c>
      <c r="I15" s="16"/>
      <c r="J15" s="15">
        <v>0</v>
      </c>
      <c r="K15" s="15">
        <v>0</v>
      </c>
    </row>
    <row r="16" spans="1:44" ht="15" customHeight="1" x14ac:dyDescent="0.25">
      <c r="A16" s="13" t="s">
        <v>36</v>
      </c>
      <c r="B16" s="16"/>
      <c r="C16" s="16"/>
      <c r="D16" s="15">
        <v>0</v>
      </c>
      <c r="E16" s="16">
        <v>0</v>
      </c>
      <c r="F16" s="15">
        <v>0</v>
      </c>
      <c r="G16" s="16"/>
      <c r="H16" s="15">
        <v>0</v>
      </c>
      <c r="I16" s="16"/>
      <c r="J16" s="15">
        <v>0</v>
      </c>
      <c r="K16" s="15">
        <v>0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6"/>
      <c r="C17" s="16"/>
      <c r="D17" s="15">
        <v>0</v>
      </c>
      <c r="E17" s="16">
        <v>0</v>
      </c>
      <c r="F17" s="15">
        <v>0</v>
      </c>
      <c r="G17" s="16"/>
      <c r="H17" s="15">
        <v>0</v>
      </c>
      <c r="I17" s="16"/>
      <c r="J17" s="15">
        <v>0</v>
      </c>
      <c r="K17" s="15">
        <v>0</v>
      </c>
      <c r="L17" s="41" t="str">
        <f>+L19</f>
        <v>Vibra ON</v>
      </c>
      <c r="M17" s="2" t="s">
        <v>38</v>
      </c>
      <c r="N17" s="2"/>
      <c r="O17" s="28"/>
      <c r="P17" s="42">
        <f>+C6</f>
        <v>0</v>
      </c>
      <c r="Q17" s="42">
        <f>C7</f>
        <v>0</v>
      </c>
      <c r="R17" s="42">
        <f>C8</f>
        <v>241558</v>
      </c>
      <c r="S17" s="42">
        <f>C9</f>
        <v>-73050</v>
      </c>
      <c r="T17" s="42">
        <f>C10</f>
        <v>278211</v>
      </c>
      <c r="U17" s="42">
        <f>C11</f>
        <v>374092</v>
      </c>
      <c r="V17" s="42">
        <f>C12</f>
        <v>675516</v>
      </c>
      <c r="W17" s="42">
        <f>C13</f>
        <v>0</v>
      </c>
      <c r="X17" s="42">
        <f>C14</f>
        <v>0</v>
      </c>
      <c r="Y17" s="42">
        <f>C15</f>
        <v>0</v>
      </c>
      <c r="Z17" s="42">
        <f>C16</f>
        <v>0</v>
      </c>
      <c r="AA17" s="42">
        <f>C17</f>
        <v>0</v>
      </c>
      <c r="AB17" s="42">
        <f>C18</f>
        <v>1289192</v>
      </c>
      <c r="AC17" s="42">
        <f>C19</f>
        <v>1461661</v>
      </c>
      <c r="AD17" s="42">
        <f>C20</f>
        <v>1407000</v>
      </c>
      <c r="AE17" s="42">
        <f>C21</f>
        <v>1267000</v>
      </c>
      <c r="AF17" s="42">
        <f>C22</f>
        <v>1891000</v>
      </c>
      <c r="AG17" s="42">
        <f>C23</f>
        <v>2132000</v>
      </c>
      <c r="AH17" s="42">
        <f>C24</f>
        <v>1123000</v>
      </c>
      <c r="AI17" s="42">
        <f>C25</f>
        <v>-1161000</v>
      </c>
      <c r="AJ17" s="42">
        <f>C26</f>
        <v>-315000</v>
      </c>
      <c r="AK17" s="42">
        <f>C27</f>
        <v>1151000</v>
      </c>
      <c r="AL17" s="42">
        <f>C28</f>
        <v>3193000</v>
      </c>
      <c r="AM17" s="42">
        <f>C29</f>
        <v>2211000</v>
      </c>
      <c r="AN17" s="42">
        <f>C30</f>
        <v>3905000</v>
      </c>
      <c r="AO17" s="42">
        <f>C31</f>
        <v>2497000</v>
      </c>
      <c r="AP17" s="42">
        <f>C32</f>
        <v>1537000</v>
      </c>
      <c r="AQ17" s="42">
        <f>D32</f>
        <v>865000</v>
      </c>
      <c r="AR17" s="42">
        <f>E32</f>
        <v>6944000</v>
      </c>
    </row>
    <row r="18" spans="1:44" ht="15" customHeight="1" x14ac:dyDescent="0.25">
      <c r="A18" s="13" t="s">
        <v>39</v>
      </c>
      <c r="B18" s="16">
        <v>7378566</v>
      </c>
      <c r="C18" s="16">
        <v>1289192</v>
      </c>
      <c r="D18" s="15">
        <v>0</v>
      </c>
      <c r="E18" s="16">
        <v>0</v>
      </c>
      <c r="F18" s="15">
        <v>0</v>
      </c>
      <c r="G18" s="16">
        <v>-839162</v>
      </c>
      <c r="H18" s="15">
        <v>0</v>
      </c>
      <c r="I18" s="16">
        <v>1435522</v>
      </c>
      <c r="J18" s="15">
        <v>0</v>
      </c>
      <c r="K18" s="15">
        <v>0</v>
      </c>
      <c r="L18" s="43" t="str">
        <f>+L19</f>
        <v>Vibra ON</v>
      </c>
      <c r="M18" s="18" t="s">
        <v>40</v>
      </c>
      <c r="N18" s="18"/>
      <c r="O18" s="25"/>
      <c r="P18" s="44">
        <f t="shared" ref="P18:V18" si="2">P14+P17</f>
        <v>0</v>
      </c>
      <c r="Q18" s="44">
        <f t="shared" si="2"/>
        <v>0</v>
      </c>
      <c r="R18" s="44">
        <f t="shared" si="2"/>
        <v>229494.5393</v>
      </c>
      <c r="S18" s="44">
        <f t="shared" si="2"/>
        <v>-194926.65090000001</v>
      </c>
      <c r="T18" s="44">
        <f t="shared" si="2"/>
        <v>196279.91399999999</v>
      </c>
      <c r="U18" s="44">
        <f t="shared" si="2"/>
        <v>286559.46724999999</v>
      </c>
      <c r="V18" s="44">
        <f t="shared" si="2"/>
        <v>561375.16942948091</v>
      </c>
      <c r="W18" s="44"/>
      <c r="X18" s="44"/>
      <c r="Y18" s="44"/>
      <c r="Z18" s="44"/>
      <c r="AA18" s="44"/>
      <c r="AB18" s="44">
        <f t="shared" ref="AB18:AR18" si="3">AB14+AB17</f>
        <v>1062894.0611598971</v>
      </c>
      <c r="AC18" s="44">
        <f t="shared" si="3"/>
        <v>1200574.7641713312</v>
      </c>
      <c r="AD18" s="44">
        <f t="shared" si="3"/>
        <v>1113544.208660396</v>
      </c>
      <c r="AE18" s="44">
        <f t="shared" si="3"/>
        <v>901733.85268815979</v>
      </c>
      <c r="AF18" s="44">
        <f t="shared" si="3"/>
        <v>1522015.7339345072</v>
      </c>
      <c r="AG18" s="44">
        <f t="shared" si="3"/>
        <v>1761136.8899152987</v>
      </c>
      <c r="AH18" s="44">
        <f t="shared" si="3"/>
        <v>642249.7993736465</v>
      </c>
      <c r="AI18" s="44">
        <f t="shared" si="3"/>
        <v>-2460425.2860392276</v>
      </c>
      <c r="AJ18" s="44">
        <f t="shared" si="3"/>
        <v>-974472.56142009562</v>
      </c>
      <c r="AK18" s="44">
        <f t="shared" si="3"/>
        <v>850530.52884454979</v>
      </c>
      <c r="AL18" s="44">
        <f t="shared" si="3"/>
        <v>2988621.2685060101</v>
      </c>
      <c r="AM18" s="44">
        <f t="shared" si="3"/>
        <v>1985848.3102107639</v>
      </c>
      <c r="AN18" s="44">
        <f t="shared" si="3"/>
        <v>3286649.9480680153</v>
      </c>
      <c r="AO18" s="44">
        <f t="shared" si="3"/>
        <v>1130379.2691497952</v>
      </c>
      <c r="AP18" s="44">
        <f t="shared" si="3"/>
        <v>779383.65577765531</v>
      </c>
      <c r="AQ18" s="44">
        <f t="shared" si="3"/>
        <v>228973.24433088547</v>
      </c>
      <c r="AR18" s="44">
        <f t="shared" si="3"/>
        <v>7120708.8244986804</v>
      </c>
    </row>
    <row r="19" spans="1:44" ht="15" customHeight="1" x14ac:dyDescent="0.25">
      <c r="A19" s="13" t="s">
        <v>41</v>
      </c>
      <c r="B19" s="16">
        <v>7867905</v>
      </c>
      <c r="C19" s="16">
        <v>1461661</v>
      </c>
      <c r="D19" s="15">
        <v>0</v>
      </c>
      <c r="E19" s="16">
        <v>3586412</v>
      </c>
      <c r="F19" s="15">
        <v>0</v>
      </c>
      <c r="G19" s="16">
        <v>-1659551</v>
      </c>
      <c r="H19" s="15">
        <v>0</v>
      </c>
      <c r="I19" s="16">
        <v>1435522</v>
      </c>
      <c r="J19" s="15">
        <v>0</v>
      </c>
      <c r="K19" s="15">
        <v>0</v>
      </c>
      <c r="L19" s="18" t="str">
        <f>+A1</f>
        <v>Vibra ON</v>
      </c>
      <c r="M19" s="18" t="s">
        <v>42</v>
      </c>
      <c r="N19" s="18"/>
      <c r="O19" s="31"/>
      <c r="P19" s="45"/>
      <c r="Q19" s="45"/>
      <c r="R19" s="45">
        <f>R18/R17</f>
        <v>0.95005977570604161</v>
      </c>
      <c r="S19" s="45">
        <f>S18/S17</f>
        <v>2.6684004229979466</v>
      </c>
      <c r="T19" s="45">
        <f>T18/T17</f>
        <v>0.70550738108845445</v>
      </c>
      <c r="U19" s="45">
        <f>U18/U17</f>
        <v>0.76601335299872753</v>
      </c>
      <c r="V19" s="45">
        <f>V18/V17</f>
        <v>0.83103164015283271</v>
      </c>
      <c r="W19" s="45"/>
      <c r="X19" s="45"/>
      <c r="Y19" s="45"/>
      <c r="Z19" s="45"/>
      <c r="AA19" s="45"/>
      <c r="AB19" s="45">
        <f t="shared" ref="AB19:AR19" si="4">AB18/AB17</f>
        <v>0.82446529388942624</v>
      </c>
      <c r="AC19" s="45">
        <f t="shared" si="4"/>
        <v>0.82137702529610568</v>
      </c>
      <c r="AD19" s="45">
        <f t="shared" si="4"/>
        <v>0.79143156265841941</v>
      </c>
      <c r="AE19" s="45">
        <f t="shared" si="4"/>
        <v>0.71170785531820036</v>
      </c>
      <c r="AF19" s="45">
        <f t="shared" si="4"/>
        <v>0.80487347114463625</v>
      </c>
      <c r="AG19" s="45">
        <f t="shared" si="4"/>
        <v>0.82604919789648157</v>
      </c>
      <c r="AH19" s="45">
        <f t="shared" si="4"/>
        <v>0.57190543132114557</v>
      </c>
      <c r="AI19" s="45">
        <f t="shared" si="4"/>
        <v>2.1192293592069142</v>
      </c>
      <c r="AJ19" s="45">
        <f t="shared" si="4"/>
        <v>3.0935636870479226</v>
      </c>
      <c r="AK19" s="45">
        <f t="shared" si="4"/>
        <v>0.73894919969118145</v>
      </c>
      <c r="AL19" s="45">
        <f t="shared" si="4"/>
        <v>0.93599162809458503</v>
      </c>
      <c r="AM19" s="45">
        <f t="shared" si="4"/>
        <v>0.89816748539609403</v>
      </c>
      <c r="AN19" s="45">
        <f t="shared" si="4"/>
        <v>0.84165171525429328</v>
      </c>
      <c r="AO19" s="45">
        <f t="shared" si="4"/>
        <v>0.45269494158982587</v>
      </c>
      <c r="AP19" s="45">
        <f t="shared" si="4"/>
        <v>0.50708110330361433</v>
      </c>
      <c r="AQ19" s="45">
        <f t="shared" si="4"/>
        <v>0.26470895298368263</v>
      </c>
      <c r="AR19" s="45">
        <f t="shared" si="4"/>
        <v>1.0254476993805703</v>
      </c>
    </row>
    <row r="20" spans="1:44" ht="15" customHeight="1" x14ac:dyDescent="0.25">
      <c r="A20" s="13" t="s">
        <v>43</v>
      </c>
      <c r="B20" s="16">
        <v>9250000</v>
      </c>
      <c r="C20" s="16">
        <v>1407000</v>
      </c>
      <c r="D20" s="15">
        <v>0</v>
      </c>
      <c r="E20" s="16">
        <v>4006000</v>
      </c>
      <c r="F20" s="15">
        <v>0</v>
      </c>
      <c r="G20" s="16">
        <v>-573000</v>
      </c>
      <c r="H20" s="15">
        <v>0</v>
      </c>
      <c r="I20" s="16">
        <v>1435522</v>
      </c>
      <c r="J20" s="15">
        <v>0</v>
      </c>
      <c r="K20" s="15">
        <v>0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6">
        <v>10094000</v>
      </c>
      <c r="C21" s="16">
        <v>1267000</v>
      </c>
      <c r="D21" s="15">
        <v>0</v>
      </c>
      <c r="E21" s="16">
        <v>4714000</v>
      </c>
      <c r="F21" s="15">
        <v>0</v>
      </c>
      <c r="G21" s="16">
        <v>-480000</v>
      </c>
      <c r="H21" s="15">
        <v>0</v>
      </c>
      <c r="I21" s="16">
        <v>1435522</v>
      </c>
      <c r="J21" s="15">
        <v>0</v>
      </c>
      <c r="K21" s="15">
        <v>0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6">
        <v>9586000</v>
      </c>
      <c r="C22" s="16">
        <v>1891000</v>
      </c>
      <c r="D22" s="15">
        <v>0</v>
      </c>
      <c r="E22" s="16">
        <v>4824000</v>
      </c>
      <c r="F22" s="15">
        <v>0</v>
      </c>
      <c r="G22" s="16">
        <v>-556000</v>
      </c>
      <c r="H22" s="15">
        <v>0</v>
      </c>
      <c r="I22" s="16">
        <v>1165000</v>
      </c>
      <c r="J22" s="15">
        <v>0</v>
      </c>
      <c r="K22" s="15">
        <v>0</v>
      </c>
      <c r="L22" s="47" t="str">
        <f>+L24</f>
        <v>Vibra ON</v>
      </c>
      <c r="M22" s="39" t="s">
        <v>46</v>
      </c>
      <c r="N22" s="32"/>
      <c r="O22" s="32"/>
      <c r="P22" s="30">
        <v>1218194</v>
      </c>
      <c r="Q22" s="30">
        <v>1662464</v>
      </c>
      <c r="R22" s="30">
        <v>1812259</v>
      </c>
      <c r="S22" s="30">
        <v>10502002</v>
      </c>
      <c r="T22" s="30">
        <v>10565590</v>
      </c>
      <c r="U22" s="30">
        <v>2685759</v>
      </c>
      <c r="V22" s="30">
        <v>3293226</v>
      </c>
      <c r="W22" s="30">
        <v>4128396</v>
      </c>
      <c r="X22" s="30">
        <v>6073856</v>
      </c>
      <c r="Y22" s="30">
        <v>8042186</v>
      </c>
      <c r="Z22" s="30">
        <v>9964638</v>
      </c>
      <c r="AA22" s="30">
        <v>12712505</v>
      </c>
      <c r="AB22" s="30">
        <v>20166502</v>
      </c>
      <c r="AC22" s="30">
        <v>18507473</v>
      </c>
      <c r="AD22" s="30">
        <v>19470442</v>
      </c>
      <c r="AE22" s="30">
        <v>24997469</v>
      </c>
      <c r="AF22" s="30">
        <v>27245604</v>
      </c>
      <c r="AG22" s="30">
        <v>30339079</v>
      </c>
      <c r="AH22" s="30">
        <v>32200819</v>
      </c>
      <c r="AI22" s="30">
        <v>31685801</v>
      </c>
      <c r="AJ22" s="30">
        <v>24028136</v>
      </c>
      <c r="AK22" s="30">
        <v>23645201</v>
      </c>
      <c r="AL22" s="30">
        <v>25730604</v>
      </c>
      <c r="AM22" s="30">
        <v>26955701</v>
      </c>
      <c r="AN22" s="30">
        <v>30860271</v>
      </c>
      <c r="AO22" s="30">
        <v>42604282</v>
      </c>
      <c r="AP22" s="30">
        <v>46116194</v>
      </c>
      <c r="AQ22" s="30">
        <v>46116194</v>
      </c>
      <c r="AR22" s="30">
        <v>46116194</v>
      </c>
    </row>
    <row r="23" spans="1:44" ht="15" customHeight="1" x14ac:dyDescent="0.25">
      <c r="A23" s="13" t="s">
        <v>47</v>
      </c>
      <c r="B23" s="16">
        <v>11901000</v>
      </c>
      <c r="C23" s="16">
        <v>2132000</v>
      </c>
      <c r="D23" s="15">
        <v>0</v>
      </c>
      <c r="E23" s="16">
        <v>5511000</v>
      </c>
      <c r="F23" s="15">
        <v>0</v>
      </c>
      <c r="G23" s="16">
        <v>-555000</v>
      </c>
      <c r="H23" s="15">
        <v>0</v>
      </c>
      <c r="I23" s="16">
        <v>1165000</v>
      </c>
      <c r="J23" s="15">
        <v>0</v>
      </c>
      <c r="K23" s="15">
        <v>0</v>
      </c>
      <c r="L23" s="47" t="str">
        <f>+L25</f>
        <v>Vibra ON</v>
      </c>
      <c r="M23" s="39" t="s">
        <v>48</v>
      </c>
      <c r="N23" s="32"/>
      <c r="O23" s="32"/>
      <c r="P23" s="30">
        <f>P22+P9+P10+P14</f>
        <v>1218194</v>
      </c>
      <c r="Q23" s="33">
        <f>Q22+Q9+Q10+Q14+((P9+P10+P14)*(1+Q5))</f>
        <v>1662464</v>
      </c>
      <c r="R23" s="33">
        <f>R22+R9+R10+R14+((Q9+Q10+Q14)*(1+R5))+(((P9+P10+P14)*(1+R5)*(1+Q5)))</f>
        <v>1812259</v>
      </c>
      <c r="S23" s="33">
        <f>S22+S9+S10+S14+((R9+R10+R14)*(1+S5))+(((Q9+Q10+Q14)*(1+S5)*(1+R5)))+(((P9+P10+P14)*(1+S5)*(1+R5)*(1+Q5)))</f>
        <v>10502002</v>
      </c>
      <c r="T23" s="33">
        <f>T22+T9+T10+T14+((S9+S10+S14)*(1+T5))+(((R9+R10+R14)*(1+T5)*(1+S5)))+(((Q9+Q10+Q14)*(1+T5)*(1+S5)*(1+R5)))+(((P9+P10+P14)*(1+T5)*(1+S5)*(1+R5)*(1+Q5)))</f>
        <v>10565590.000000002</v>
      </c>
      <c r="U23" s="33">
        <f>U22+U9+U10+U14+((T9+T10+T14)*(1+U5))+((S9+S10+S14)*(1+U5)*(1+T5))+((R9+R10+R14)*(1+U5)*(1+T5)*(1+S5))+((Q9+Q10+Q14)*(1+U5)*(1+T5)*(1+S5)*(1+R5))+((P9+P10+P14)*(1+U5)*(1+T5)*(1+S5)*(1+R5)*(1+Q5))</f>
        <v>2714346.6239999998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3441422.9817038807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4348247.2513907151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6318467.9506537337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8304701.0498567531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10233354.842333112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12993958.139609126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20468511.435005292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18899334.907495681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20115217.850808278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25981614.525879189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28540855.453765418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32038482.155098163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34388207.038917691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34173400.534687221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26674179.257773586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26362898.288053315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28762082.772758417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30378929.377193764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34398591.534982003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46594130.830614604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50438287.073958613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50676786.112182818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51964899.532306165</v>
      </c>
    </row>
    <row r="24" spans="1:44" ht="15" customHeight="1" x14ac:dyDescent="0.25">
      <c r="A24" s="13" t="s">
        <v>49</v>
      </c>
      <c r="B24" s="14">
        <v>12121000</v>
      </c>
      <c r="C24" s="14">
        <v>1123000</v>
      </c>
      <c r="D24" s="14">
        <v>454000</v>
      </c>
      <c r="E24" s="14">
        <v>6100000</v>
      </c>
      <c r="F24" s="14">
        <v>45000</v>
      </c>
      <c r="G24" s="14">
        <v>-520000</v>
      </c>
      <c r="H24" s="15">
        <v>0</v>
      </c>
      <c r="I24" s="16">
        <v>1165000</v>
      </c>
      <c r="J24" s="15">
        <v>0</v>
      </c>
      <c r="K24" s="15">
        <v>0</v>
      </c>
      <c r="L24" s="47" t="str">
        <f>+L25</f>
        <v>Vibra ON</v>
      </c>
      <c r="M24" s="39" t="s">
        <v>50</v>
      </c>
      <c r="N24" s="32"/>
      <c r="O24" s="32"/>
      <c r="P24" s="30">
        <v>377166.18703999999</v>
      </c>
      <c r="Q24" s="30">
        <v>828018.59149999998</v>
      </c>
      <c r="R24" s="30">
        <v>536181.91628999996</v>
      </c>
      <c r="S24" s="30">
        <v>17428087.655999999</v>
      </c>
      <c r="T24" s="30">
        <v>16748049.408</v>
      </c>
      <c r="U24" s="30">
        <v>2198448.1589000002</v>
      </c>
      <c r="V24" s="30">
        <v>3438305.6164000002</v>
      </c>
      <c r="W24" s="30">
        <v>8393780.6199999992</v>
      </c>
      <c r="X24" s="30">
        <v>13401296.5</v>
      </c>
      <c r="Y24" s="30">
        <v>15885852.699999999</v>
      </c>
      <c r="Z24" s="30">
        <v>22256683.579999998</v>
      </c>
      <c r="AA24" s="30">
        <v>32239044.739999998</v>
      </c>
      <c r="AB24" s="30">
        <v>19901731.600000001</v>
      </c>
      <c r="AC24" s="30">
        <v>37941907.479999997</v>
      </c>
      <c r="AD24" s="30">
        <v>31141151.02</v>
      </c>
      <c r="AE24" s="30">
        <v>23434183.785999998</v>
      </c>
      <c r="AF24" s="30">
        <v>29048061.258000001</v>
      </c>
      <c r="AG24" s="30">
        <v>29396537.142999999</v>
      </c>
      <c r="AH24" s="30">
        <v>15448754.681</v>
      </c>
      <c r="AI24" s="30">
        <v>7173878.3103</v>
      </c>
      <c r="AJ24" s="30">
        <v>16798047.122000001</v>
      </c>
      <c r="AK24" s="30">
        <v>20011024.068</v>
      </c>
      <c r="AL24" s="30">
        <v>23661566.776000001</v>
      </c>
      <c r="AM24" s="30">
        <v>32325937.899</v>
      </c>
      <c r="AN24" s="30">
        <v>39208449.141999997</v>
      </c>
      <c r="AO24" s="30">
        <v>43759114.585000001</v>
      </c>
      <c r="AP24" s="30">
        <v>46079187.652999997</v>
      </c>
      <c r="AQ24" s="30">
        <f>+K33</f>
        <v>22555314.7205039</v>
      </c>
      <c r="AR24" s="30">
        <f>+K34</f>
        <v>19004389.032334</v>
      </c>
    </row>
    <row r="25" spans="1:44" ht="15" customHeight="1" x14ac:dyDescent="0.25">
      <c r="A25" s="13" t="s">
        <v>51</v>
      </c>
      <c r="B25" s="14">
        <v>9925000</v>
      </c>
      <c r="C25" s="14">
        <v>-1161000</v>
      </c>
      <c r="D25" s="14">
        <v>460000</v>
      </c>
      <c r="E25" s="14">
        <v>6039000</v>
      </c>
      <c r="F25" s="14">
        <v>46000</v>
      </c>
      <c r="G25" s="14">
        <v>-496000</v>
      </c>
      <c r="H25" s="15">
        <v>0</v>
      </c>
      <c r="I25" s="16">
        <v>1165000</v>
      </c>
      <c r="J25" s="15">
        <v>0</v>
      </c>
      <c r="K25" s="15">
        <v>0</v>
      </c>
      <c r="L25" s="39" t="str">
        <f>+A1</f>
        <v>Vibra ON</v>
      </c>
      <c r="M25" s="39" t="s">
        <v>52</v>
      </c>
      <c r="N25" s="18"/>
      <c r="O25" s="18"/>
      <c r="P25" s="31">
        <f t="shared" ref="P25:AR25" si="5">P24/P23</f>
        <v>0.30961093802793316</v>
      </c>
      <c r="Q25" s="31">
        <f t="shared" si="5"/>
        <v>0.49806708085107404</v>
      </c>
      <c r="R25" s="31">
        <f t="shared" si="5"/>
        <v>0.29586384522852416</v>
      </c>
      <c r="S25" s="31">
        <f t="shared" si="5"/>
        <v>1.6595014603882192</v>
      </c>
      <c r="T25" s="31">
        <f t="shared" si="5"/>
        <v>1.5851504182918319</v>
      </c>
      <c r="U25" s="31">
        <f t="shared" si="5"/>
        <v>0.80993640954383883</v>
      </c>
      <c r="V25" s="31">
        <f t="shared" si="5"/>
        <v>0.99909416386173577</v>
      </c>
      <c r="W25" s="31">
        <f t="shared" si="5"/>
        <v>1.9303825506508139</v>
      </c>
      <c r="X25" s="31">
        <f t="shared" si="5"/>
        <v>2.1209724579853964</v>
      </c>
      <c r="Y25" s="31">
        <f t="shared" si="5"/>
        <v>1.9128747205504781</v>
      </c>
      <c r="Z25" s="31">
        <f t="shared" si="5"/>
        <v>2.1749156481830427</v>
      </c>
      <c r="AA25" s="31">
        <f t="shared" si="5"/>
        <v>2.4810796212838797</v>
      </c>
      <c r="AB25" s="31">
        <f t="shared" si="5"/>
        <v>0.97230967006052127</v>
      </c>
      <c r="AC25" s="31">
        <f t="shared" si="5"/>
        <v>2.0075789791391982</v>
      </c>
      <c r="AD25" s="31">
        <f t="shared" si="5"/>
        <v>1.5481388892215588</v>
      </c>
      <c r="AE25" s="31">
        <f t="shared" si="5"/>
        <v>0.90195256198024942</v>
      </c>
      <c r="AF25" s="31">
        <f t="shared" si="5"/>
        <v>1.0177712194035748</v>
      </c>
      <c r="AG25" s="31">
        <f t="shared" si="5"/>
        <v>0.91753838401867738</v>
      </c>
      <c r="AH25" s="31">
        <f t="shared" si="5"/>
        <v>0.44924571564654109</v>
      </c>
      <c r="AI25" s="31">
        <f t="shared" si="5"/>
        <v>0.20992579603010997</v>
      </c>
      <c r="AJ25" s="31">
        <f t="shared" si="5"/>
        <v>0.62974935272299304</v>
      </c>
      <c r="AK25" s="31">
        <f t="shared" si="5"/>
        <v>0.75906009458255397</v>
      </c>
      <c r="AL25" s="31">
        <f t="shared" si="5"/>
        <v>0.82266527646637277</v>
      </c>
      <c r="AM25" s="31">
        <f t="shared" si="5"/>
        <v>1.0640907550635377</v>
      </c>
      <c r="AN25" s="31">
        <f t="shared" si="5"/>
        <v>1.1398271671131233</v>
      </c>
      <c r="AO25" s="31">
        <f t="shared" si="5"/>
        <v>0.93915507822388955</v>
      </c>
      <c r="AP25" s="31">
        <f t="shared" si="5"/>
        <v>0.9135755856544695</v>
      </c>
      <c r="AQ25" s="31">
        <f t="shared" si="5"/>
        <v>0.44508179091257621</v>
      </c>
      <c r="AR25" s="31">
        <f t="shared" si="5"/>
        <v>0.36571588136178579</v>
      </c>
    </row>
    <row r="26" spans="1:44" ht="15" customHeight="1" x14ac:dyDescent="0.25">
      <c r="A26" s="13" t="s">
        <v>53</v>
      </c>
      <c r="B26" s="14">
        <v>7410000</v>
      </c>
      <c r="C26" s="14">
        <v>-315000</v>
      </c>
      <c r="D26" s="14">
        <v>461000</v>
      </c>
      <c r="E26" s="14">
        <v>5986000</v>
      </c>
      <c r="F26" s="14">
        <v>45000</v>
      </c>
      <c r="G26" s="14">
        <v>-684000</v>
      </c>
      <c r="H26" s="15">
        <v>0</v>
      </c>
      <c r="I26" s="14">
        <v>1165000</v>
      </c>
      <c r="J26" s="15">
        <v>0</v>
      </c>
      <c r="K26" s="15">
        <v>0</v>
      </c>
    </row>
    <row r="27" spans="1:44" ht="15" customHeight="1" x14ac:dyDescent="0.25">
      <c r="A27" s="13" t="s">
        <v>54</v>
      </c>
      <c r="B27" s="14">
        <v>8826000</v>
      </c>
      <c r="C27" s="14">
        <v>1151000</v>
      </c>
      <c r="D27" s="14">
        <v>453000</v>
      </c>
      <c r="E27" s="14">
        <v>5816000</v>
      </c>
      <c r="F27" s="14">
        <v>36000</v>
      </c>
      <c r="G27" s="14">
        <v>-683000</v>
      </c>
      <c r="H27" s="15">
        <v>0</v>
      </c>
      <c r="I27" s="14">
        <v>1165000</v>
      </c>
      <c r="J27" s="17">
        <v>11.719787999999999</v>
      </c>
      <c r="K27" s="14">
        <v>19921500</v>
      </c>
      <c r="S27" s="67"/>
    </row>
    <row r="28" spans="1:44" ht="15" customHeight="1" x14ac:dyDescent="0.25">
      <c r="A28" s="13" t="s">
        <v>55</v>
      </c>
      <c r="B28" s="14">
        <v>9686000</v>
      </c>
      <c r="C28" s="14">
        <v>3193000</v>
      </c>
      <c r="D28" s="14">
        <v>476000</v>
      </c>
      <c r="E28" s="14">
        <v>5797000</v>
      </c>
      <c r="F28" s="14">
        <v>33000</v>
      </c>
      <c r="G28" s="14">
        <v>-1034000</v>
      </c>
      <c r="H28" s="20">
        <v>5.5424949457999997</v>
      </c>
      <c r="I28" s="14">
        <v>1165000</v>
      </c>
      <c r="J28" s="17">
        <v>18.784345361</v>
      </c>
      <c r="K28" s="14">
        <v>29940500</v>
      </c>
    </row>
    <row r="29" spans="1:44" ht="15" customHeight="1" x14ac:dyDescent="0.25">
      <c r="A29" s="13" t="s">
        <v>56</v>
      </c>
      <c r="B29" s="14">
        <v>8766000</v>
      </c>
      <c r="C29" s="14">
        <v>2211000</v>
      </c>
      <c r="D29" s="14">
        <v>520000</v>
      </c>
      <c r="E29" s="14">
        <v>6703000</v>
      </c>
      <c r="F29" s="14">
        <v>47000</v>
      </c>
      <c r="G29" s="14">
        <v>-3049000</v>
      </c>
      <c r="H29" s="20">
        <v>8.7277095844999995</v>
      </c>
      <c r="I29" s="14">
        <v>1165000</v>
      </c>
      <c r="J29" s="17">
        <v>24.589695125999999</v>
      </c>
      <c r="K29" s="14">
        <v>35031550</v>
      </c>
    </row>
    <row r="30" spans="1:44" ht="15" customHeight="1" x14ac:dyDescent="0.25">
      <c r="A30" s="13" t="s">
        <v>57</v>
      </c>
      <c r="B30" s="14">
        <v>12207000</v>
      </c>
      <c r="C30" s="14">
        <v>3905000</v>
      </c>
      <c r="D30" s="14">
        <v>358000</v>
      </c>
      <c r="E30" s="14">
        <v>6723000</v>
      </c>
      <c r="F30" s="14">
        <v>448000</v>
      </c>
      <c r="G30" s="14">
        <v>-1080000</v>
      </c>
      <c r="H30" s="20">
        <v>4.1967311764000002</v>
      </c>
      <c r="I30" s="14">
        <v>1165000</v>
      </c>
      <c r="J30" s="17">
        <v>18.864288889000001</v>
      </c>
      <c r="K30" s="14">
        <v>25781450</v>
      </c>
    </row>
    <row r="31" spans="1:44" ht="15" customHeight="1" x14ac:dyDescent="0.25">
      <c r="A31" s="13" t="s">
        <v>58</v>
      </c>
      <c r="B31" s="14">
        <v>12308000</v>
      </c>
      <c r="C31" s="14">
        <v>2497000</v>
      </c>
      <c r="D31" s="14">
        <v>453000</v>
      </c>
      <c r="E31" s="14">
        <v>6762000</v>
      </c>
      <c r="F31" s="14">
        <v>609000</v>
      </c>
      <c r="G31" s="14">
        <v>-2761000</v>
      </c>
      <c r="H31" s="20">
        <v>9.4647247544000006</v>
      </c>
      <c r="I31" s="14">
        <v>1127610</v>
      </c>
      <c r="J31" s="17">
        <v>19.921774711000001</v>
      </c>
      <c r="K31" s="14">
        <v>24130854</v>
      </c>
    </row>
    <row r="32" spans="1:44" ht="15" customHeight="1" x14ac:dyDescent="0.25">
      <c r="A32" s="13" t="s">
        <v>59</v>
      </c>
      <c r="B32" s="14">
        <v>12613000</v>
      </c>
      <c r="C32" s="14">
        <v>1537000</v>
      </c>
      <c r="D32" s="14">
        <v>865000</v>
      </c>
      <c r="E32" s="14">
        <v>6944000</v>
      </c>
      <c r="F32" s="14">
        <v>4984000</v>
      </c>
      <c r="G32" s="14">
        <v>-490000</v>
      </c>
      <c r="H32" s="20">
        <v>5.5059698500999996</v>
      </c>
      <c r="I32" s="14">
        <v>1114904</v>
      </c>
      <c r="J32" s="17">
        <v>15.208524361</v>
      </c>
      <c r="K32" s="14">
        <v>14801503.440312</v>
      </c>
    </row>
    <row r="33" spans="1:42" ht="15" customHeight="1" x14ac:dyDescent="0.25">
      <c r="A33" s="13" t="s">
        <v>60</v>
      </c>
      <c r="B33" s="14">
        <v>15731000</v>
      </c>
      <c r="C33" s="14">
        <v>4766000</v>
      </c>
      <c r="D33" s="14">
        <v>1111000</v>
      </c>
      <c r="E33" s="14">
        <v>6954000</v>
      </c>
      <c r="F33" s="14"/>
      <c r="G33" s="14"/>
      <c r="H33" s="14"/>
      <c r="I33" s="14"/>
      <c r="J33" s="14"/>
      <c r="K33" s="14">
        <v>22555314.7205039</v>
      </c>
    </row>
    <row r="34" spans="1:42" ht="15" customHeight="1" x14ac:dyDescent="0.25">
      <c r="A34" s="13" t="s">
        <v>61</v>
      </c>
      <c r="B34" s="14">
        <v>20385000</v>
      </c>
      <c r="C34" s="14">
        <v>6367000</v>
      </c>
      <c r="D34" s="14">
        <v>1315000</v>
      </c>
      <c r="E34" s="14">
        <v>6984000</v>
      </c>
      <c r="F34" s="14"/>
      <c r="G34" s="14"/>
      <c r="H34" s="14"/>
      <c r="I34" s="14"/>
      <c r="J34" s="14"/>
      <c r="K34" s="14">
        <v>19004389.032334</v>
      </c>
    </row>
    <row r="46" spans="1:42" ht="15" customHeight="1" x14ac:dyDescent="0.25">
      <c r="M46" s="46" t="s">
        <v>62</v>
      </c>
      <c r="N46" s="1"/>
      <c r="O46" s="1"/>
      <c r="P46" s="35" t="e">
        <f>-G6/P17</f>
        <v>#DIV/0!</v>
      </c>
      <c r="Q46" s="35" t="e">
        <f>-G7/Q17</f>
        <v>#DIV/0!</v>
      </c>
      <c r="R46" s="35">
        <f>-G8/R17</f>
        <v>0.23749989650518716</v>
      </c>
      <c r="S46" s="35">
        <f>-G9/S17</f>
        <v>0</v>
      </c>
      <c r="T46" s="35">
        <f>-G10/T17</f>
        <v>0.28154530194708333</v>
      </c>
      <c r="U46" s="35">
        <f>-G11/U17</f>
        <v>0.2587010681864354</v>
      </c>
      <c r="V46" s="35">
        <f>-G12/V17</f>
        <v>0.25364906234641371</v>
      </c>
      <c r="W46" s="1"/>
      <c r="X46" s="35"/>
      <c r="Y46" s="35"/>
      <c r="Z46" s="35"/>
      <c r="AA46" s="35"/>
      <c r="AB46" s="35">
        <f>-G18/AB17</f>
        <v>0.65092088688108518</v>
      </c>
      <c r="AC46" s="35">
        <f>-G19/AC17</f>
        <v>1.1353870699156645</v>
      </c>
      <c r="AD46" s="35">
        <f>-G20/AD17</f>
        <v>0.40724946695095948</v>
      </c>
      <c r="AE46" s="35">
        <f>-G21/AE17</f>
        <v>0.37884767166535122</v>
      </c>
      <c r="AF46" s="35">
        <f>-G22/AF17</f>
        <v>0.29402432575356952</v>
      </c>
      <c r="AG46" s="35">
        <f>-G23/AG17</f>
        <v>0.2603189493433396</v>
      </c>
      <c r="AH46" s="35">
        <f>-G24/AH17</f>
        <v>0.46304541406945682</v>
      </c>
      <c r="AI46" s="35">
        <f>-G25/AI17</f>
        <v>-0.4272179155900086</v>
      </c>
      <c r="AJ46" s="35">
        <f>-G26/AJ17</f>
        <v>-2.1714285714285713</v>
      </c>
      <c r="AK46" s="35">
        <f>-G27/AK17</f>
        <v>0.59339704604691568</v>
      </c>
      <c r="AL46" s="35">
        <f>-G28/AL17</f>
        <v>0.32383338553084873</v>
      </c>
      <c r="AM46" s="35">
        <f>-G29/AM17</f>
        <v>1.3790140208050656</v>
      </c>
      <c r="AN46" s="35">
        <f>-G30/AN17</f>
        <v>0.27656850192061461</v>
      </c>
      <c r="AO46" s="35">
        <f>-G31/AO17</f>
        <v>1.105726872246696</v>
      </c>
      <c r="AP46" s="35">
        <f>-G32/AP17</f>
        <v>0.31880286271958358</v>
      </c>
    </row>
    <row r="47" spans="1:42" ht="15" customHeight="1" x14ac:dyDescent="0.25">
      <c r="M47" s="39" t="s">
        <v>63</v>
      </c>
      <c r="N47" s="32"/>
      <c r="O47" s="32"/>
      <c r="P47" s="36" t="e">
        <f>-G6/P18</f>
        <v>#DIV/0!</v>
      </c>
      <c r="Q47" s="36" t="e">
        <f>-G7/Q18</f>
        <v>#DIV/0!</v>
      </c>
      <c r="R47" s="36">
        <f>-G8/R18</f>
        <v>0.24998416160571363</v>
      </c>
      <c r="S47" s="36">
        <f>-G9/S18</f>
        <v>0</v>
      </c>
      <c r="T47" s="36">
        <f>-G10/T18</f>
        <v>0.3990678332985208</v>
      </c>
      <c r="U47" s="36">
        <f>-G11/U18</f>
        <v>0.33772396678686245</v>
      </c>
      <c r="V47" s="36">
        <f>-G12/V18</f>
        <v>0.30522190743515593</v>
      </c>
      <c r="W47" s="36"/>
      <c r="X47" s="36"/>
      <c r="Y47" s="36"/>
      <c r="Z47" s="36"/>
      <c r="AA47" s="36"/>
      <c r="AB47" s="36">
        <f>-G18/AB18</f>
        <v>0.78950671629894464</v>
      </c>
      <c r="AC47" s="36">
        <f>-G19/AC18</f>
        <v>1.3822970876332441</v>
      </c>
      <c r="AD47" s="36">
        <f>-G20/AD18</f>
        <v>0.51457319390069323</v>
      </c>
      <c r="AE47" s="36">
        <f>-G21/AE18</f>
        <v>0.53230784068832671</v>
      </c>
      <c r="AF47" s="36">
        <f>-G22/AF18</f>
        <v>0.36530502780198254</v>
      </c>
      <c r="AG47" s="36">
        <f>-G23/AG18</f>
        <v>0.31513734291642292</v>
      </c>
      <c r="AH47" s="36">
        <f>-G24/AH18</f>
        <v>0.80965381461719332</v>
      </c>
      <c r="AI47" s="36">
        <f>-G25/AI18</f>
        <v>-0.20159116507799216</v>
      </c>
      <c r="AJ47" s="36">
        <f>-G26/AJ18</f>
        <v>-0.70191817305066961</v>
      </c>
      <c r="AK47" s="36">
        <f>-G27/AK18</f>
        <v>0.8030282004431506</v>
      </c>
      <c r="AL47" s="36">
        <f>-G28/AL18</f>
        <v>0.34597893379675004</v>
      </c>
      <c r="AM47" s="36">
        <f>-G29/AM18</f>
        <v>1.5353639975031128</v>
      </c>
      <c r="AN47" s="36">
        <f>-G30/AN18</f>
        <v>0.32860207721082502</v>
      </c>
      <c r="AO47" s="36">
        <f>-G31/AO18</f>
        <v>2.4425430254720277</v>
      </c>
      <c r="AP47" s="36">
        <f>-G32/AP18</f>
        <v>0.62870191896837591</v>
      </c>
    </row>
    <row r="48" spans="1:42" ht="15" customHeight="1" x14ac:dyDescent="0.25">
      <c r="M48" s="39" t="s">
        <v>64</v>
      </c>
      <c r="N48" s="32"/>
      <c r="O48" s="32"/>
      <c r="P48" s="37">
        <v>4.9302139806999996</v>
      </c>
      <c r="Q48" s="37">
        <v>4.8455896125000004</v>
      </c>
      <c r="R48" s="37">
        <v>17.206445185</v>
      </c>
      <c r="S48" s="37">
        <v>3.7147916344</v>
      </c>
      <c r="T48" s="37">
        <v>2.4005662623999999</v>
      </c>
      <c r="U48" s="37">
        <v>5.7314193295999996</v>
      </c>
      <c r="V48" s="37">
        <v>5.3422575180000003</v>
      </c>
      <c r="W48" s="37">
        <v>4.3411906533</v>
      </c>
      <c r="X48" s="37">
        <v>5.2</v>
      </c>
      <c r="Y48" s="37">
        <v>5.122985581</v>
      </c>
      <c r="Z48" s="37">
        <v>3.6665711830999999</v>
      </c>
      <c r="AA48" s="37">
        <v>2.5404157044</v>
      </c>
      <c r="AB48" s="37">
        <v>5.9096945550999997</v>
      </c>
      <c r="AC48" s="37">
        <v>1.0123541523999999</v>
      </c>
      <c r="AD48" s="37">
        <v>1.6762240847000001</v>
      </c>
      <c r="AE48" s="37">
        <v>2.275862069</v>
      </c>
      <c r="AF48" s="37">
        <v>1.6731734522999999</v>
      </c>
      <c r="AG48" s="37">
        <v>1.2540894220000001</v>
      </c>
      <c r="AH48" s="37">
        <v>2.6096033403000001</v>
      </c>
      <c r="AI48" s="37">
        <v>4.7311827956999997</v>
      </c>
      <c r="AJ48" s="37">
        <v>0.46296296296</v>
      </c>
      <c r="AK48" s="37">
        <v>0.40387722131999998</v>
      </c>
      <c r="AL48" s="37">
        <v>2.5641025641000001</v>
      </c>
      <c r="AM48" s="37">
        <v>1.4</v>
      </c>
      <c r="AN48" s="37">
        <v>1.3087934560000001</v>
      </c>
      <c r="AO48" s="37">
        <v>11.26192223</v>
      </c>
      <c r="AP48" s="37">
        <v>12.359550561000001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R49"/>
  <sheetViews>
    <sheetView showGridLines="0" zoomScale="90" zoomScaleNormal="90" workbookViewId="0">
      <selection activeCell="S30" sqref="S30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3.85546875" customWidth="1"/>
    <col min="17" max="29" width="9.140625" customWidth="1"/>
    <col min="30" max="30" width="11.28515625" customWidth="1"/>
    <col min="31" max="31" width="10" customWidth="1"/>
    <col min="32" max="32" width="14.42578125" customWidth="1"/>
    <col min="33" max="42" width="15.42578125" customWidth="1"/>
    <col min="43" max="43" width="13.5703125" customWidth="1"/>
    <col min="44" max="44" width="14.7109375" customWidth="1"/>
  </cols>
  <sheetData>
    <row r="1" spans="1:44" ht="15" customHeight="1" x14ac:dyDescent="0.25">
      <c r="A1" s="6" t="s">
        <v>109</v>
      </c>
      <c r="M1" t="s">
        <v>1</v>
      </c>
      <c r="N1" s="7">
        <v>0</v>
      </c>
    </row>
    <row r="2" spans="1:44" ht="15" customHeight="1" x14ac:dyDescent="0.25">
      <c r="A2" s="6"/>
    </row>
    <row r="3" spans="1:44" ht="15" customHeight="1" x14ac:dyDescent="0.25">
      <c r="M3" s="2" t="s">
        <v>110</v>
      </c>
    </row>
    <row r="4" spans="1:44" ht="18.75" customHeight="1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M4" s="38" t="s">
        <v>14</v>
      </c>
      <c r="N4" s="11"/>
      <c r="O4" s="11"/>
      <c r="P4" s="12">
        <v>1996</v>
      </c>
      <c r="Q4" s="12">
        <v>1997</v>
      </c>
      <c r="R4" s="12">
        <v>1998</v>
      </c>
      <c r="S4" s="12">
        <v>1999</v>
      </c>
      <c r="T4" s="12">
        <v>2000</v>
      </c>
      <c r="U4" s="12">
        <v>2001</v>
      </c>
      <c r="V4" s="12">
        <v>2002</v>
      </c>
      <c r="W4" s="12">
        <v>2003</v>
      </c>
      <c r="X4" s="12">
        <v>2004</v>
      </c>
      <c r="Y4" s="12">
        <v>2005</v>
      </c>
      <c r="Z4" s="12">
        <v>2006</v>
      </c>
      <c r="AA4" s="12">
        <v>2007</v>
      </c>
      <c r="AB4" s="12">
        <v>2008</v>
      </c>
      <c r="AC4" s="12">
        <v>2009</v>
      </c>
      <c r="AD4" s="12">
        <v>2010</v>
      </c>
      <c r="AE4" s="12">
        <v>2011</v>
      </c>
      <c r="AF4" s="12">
        <v>2012</v>
      </c>
      <c r="AG4" s="12">
        <v>2013</v>
      </c>
      <c r="AH4" s="12">
        <v>2014</v>
      </c>
      <c r="AI4" s="12">
        <v>2015</v>
      </c>
      <c r="AJ4" s="12">
        <v>2016</v>
      </c>
      <c r="AK4" s="12">
        <v>2017</v>
      </c>
      <c r="AL4" s="12">
        <v>2018</v>
      </c>
      <c r="AM4" s="12">
        <v>2019</v>
      </c>
      <c r="AN4" s="12">
        <v>2020</v>
      </c>
      <c r="AO4" s="12">
        <v>2021</v>
      </c>
      <c r="AP4" s="12">
        <v>2022</v>
      </c>
      <c r="AQ4" s="12">
        <v>2023</v>
      </c>
      <c r="AR4" s="12">
        <v>2024</v>
      </c>
    </row>
    <row r="5" spans="1:44" ht="15" customHeight="1" x14ac:dyDescent="0.25">
      <c r="A5" s="13" t="s">
        <v>15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M5" s="18" t="s">
        <v>16</v>
      </c>
      <c r="N5" s="18"/>
      <c r="O5" s="19"/>
      <c r="P5" s="19">
        <v>9.5600000000000004E-2</v>
      </c>
      <c r="Q5" s="19">
        <v>5.2200000000000003E-2</v>
      </c>
      <c r="R5" s="19">
        <v>1.66E-2</v>
      </c>
      <c r="S5" s="19">
        <v>8.9399999999999993E-2</v>
      </c>
      <c r="T5" s="19">
        <v>5.9700000000000003E-2</v>
      </c>
      <c r="U5" s="19">
        <v>7.6700000000000004E-2</v>
      </c>
      <c r="V5" s="19">
        <v>0.12529999999999999</v>
      </c>
      <c r="W5" s="19">
        <v>9.2999999999999999E-2</v>
      </c>
      <c r="X5" s="19">
        <v>7.5999999999999998E-2</v>
      </c>
      <c r="Y5" s="19">
        <v>5.6899999999999999E-2</v>
      </c>
      <c r="Z5" s="19">
        <v>3.1399999999999997E-2</v>
      </c>
      <c r="AA5" s="19">
        <v>4.4600000000000001E-2</v>
      </c>
      <c r="AB5" s="19">
        <v>5.8999999999999997E-2</v>
      </c>
      <c r="AC5" s="19">
        <v>4.3099999999999999E-2</v>
      </c>
      <c r="AD5" s="19">
        <v>5.91E-2</v>
      </c>
      <c r="AE5" s="19">
        <v>6.5000000000000002E-2</v>
      </c>
      <c r="AF5" s="19">
        <v>5.8400000000000001E-2</v>
      </c>
      <c r="AG5" s="19">
        <v>5.91E-2</v>
      </c>
      <c r="AH5" s="19">
        <v>6.4100000000000004E-2</v>
      </c>
      <c r="AI5" s="19">
        <v>0.1067</v>
      </c>
      <c r="AJ5" s="19">
        <v>6.2899999999999998E-2</v>
      </c>
      <c r="AK5" s="19">
        <v>2.9499999999999998E-2</v>
      </c>
      <c r="AL5" s="19">
        <v>3.7499999999999999E-2</v>
      </c>
      <c r="AM5" s="19">
        <v>4.3099999999999999E-2</v>
      </c>
      <c r="AN5" s="19">
        <v>4.5199999999999997E-2</v>
      </c>
      <c r="AO5" s="19">
        <v>0.10059999999999999</v>
      </c>
      <c r="AP5" s="19">
        <v>5.79E-2</v>
      </c>
      <c r="AQ5" s="19">
        <v>4.6199999999999998E-2</v>
      </c>
      <c r="AR5" s="19">
        <v>4.8300000000000003E-2</v>
      </c>
    </row>
    <row r="6" spans="1:44" ht="15" customHeight="1" x14ac:dyDescent="0.25">
      <c r="A6" s="13" t="s">
        <v>17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M6" s="2" t="s">
        <v>18</v>
      </c>
      <c r="N6" s="2"/>
      <c r="O6" s="21"/>
    </row>
    <row r="7" spans="1:44" ht="15" customHeight="1" x14ac:dyDescent="0.25">
      <c r="A7" s="13" t="s">
        <v>19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M7" s="1" t="s">
        <v>20</v>
      </c>
      <c r="N7" s="1"/>
      <c r="O7" s="5"/>
      <c r="P7" s="4">
        <f>((D5+E5)*P5)</f>
        <v>0</v>
      </c>
      <c r="Q7" s="4">
        <f>((D6+E6+P7+P8)*Q5)</f>
        <v>0</v>
      </c>
      <c r="R7" s="4">
        <f>((D7+E7+Q7+P7+P8+Q8)*R5)</f>
        <v>0</v>
      </c>
      <c r="S7" s="4">
        <f>((D8+E8+R7+Q7+P7+SUM($P$8:R8))*S5)</f>
        <v>0</v>
      </c>
      <c r="T7" s="4">
        <f>((D9+E9+S7+R7+Q7+P7+SUM($P$8:S8))*T5)</f>
        <v>0</v>
      </c>
      <c r="U7" s="4">
        <f>((D10+E10+T7+S7+R7+Q7+P7+SUM($P$8:T8))*U5)</f>
        <v>0</v>
      </c>
      <c r="V7" s="4">
        <f>((D11+E11+U7+T7+S7+R7+Q7+P7+SUM($P$8:U8))*V5)</f>
        <v>0</v>
      </c>
      <c r="W7" s="4">
        <f>((D12+E12+V7+U7+T7+S7+R7+Q7+P7+SUM($P$8:V8))*W5)</f>
        <v>0</v>
      </c>
      <c r="X7" s="4">
        <f>((D13+E13+W7+V7+U7+T7+S7+R7+Q7+P7+SUM($P$8:W8))*X5)</f>
        <v>0</v>
      </c>
      <c r="Y7" s="4">
        <f>((D14+E14+X7+W7+V7+U7+T7+S7+R7+Q7+P7+SUM($P$8:X8))*Y5)</f>
        <v>0</v>
      </c>
      <c r="Z7" s="4">
        <f>((E14+F14+Y7+X7+W7+V7+U7+T7+S7+R7+Q7+P7+SUM($P$8:Y8))*Z5)</f>
        <v>0</v>
      </c>
      <c r="AA7" s="4">
        <f>((D16+E16+Z7+Y7+X7+W7+V7+U7+T7+S7+R7+P7+Q7+SUM($P$8:Z8))*AA5)</f>
        <v>0</v>
      </c>
      <c r="AB7" s="4">
        <f>((D17+E17+AA7+Z7+Y7+X7+W7+V7+U7+T7+S7+P7+Q7+R7+SUM($P$8:AA8))*AB5)</f>
        <v>0</v>
      </c>
      <c r="AC7" s="4">
        <f>((D18+E18+AB7+AA7+Z7+Y7+X7+W7+V7+U7+T7+S7+R7+Q7+P7+SUM($P$8:AB8))*AC5)</f>
        <v>0</v>
      </c>
      <c r="AD7" s="4">
        <f>((D19+E19+AC7+AB7+AA7+Z7+Y7+X7+W7+V7+U7+T7+S7+R7+Q7+P7+SUM($P$8:AC8))*AD5)</f>
        <v>0</v>
      </c>
      <c r="AE7" s="4">
        <f>((D20+E20+AD7+AC7+AB7+AA7+Z7+Y7+X7+W7+V7+U7+T7+S7+R7+Q7+P7+SUM($P$8:AD8))*AE5)</f>
        <v>0</v>
      </c>
      <c r="AF7" s="4">
        <f>((E20+F20+AE7+AD7+AC7+AB7+AA7+Z7+Y7+X7+W7+V7+U7+T7+S7+R7+Q7+P7+SUM($P$8:AE8))*AF5)</f>
        <v>0</v>
      </c>
      <c r="AG7" s="4">
        <f>((D22+E22+AF7+AE7+AD7+AC7+AB7+AA7+Z7+Y7+X7+W7+V7+U7+T7+R7+S7+Q7+P7+SUM($P$8:AF8))*AG5)</f>
        <v>0</v>
      </c>
      <c r="AH7" s="4">
        <f>((E22+F22+AG7+AF7+AE7+AD7+AC7+AB7+AA7+Z7+Y7+X7+W7+V7+U7+S7+T7+R7+Q7+P7+SUM($P$8:AG8))*AH5)</f>
        <v>345213.3063</v>
      </c>
      <c r="AI7" s="4">
        <f>((F22+G22+AH7+AG7+AF7+AE7+AD7+AC7+AB7+AA7+Z7+Y7+X7+W7+V7+T7+U7+S7+R7+Q7+P7+SUM($P$8:AH8))*AI5)</f>
        <v>572089.90158221009</v>
      </c>
      <c r="AJ7" s="4">
        <f>((G22+H22+AI7+AH7+AG7+AF7+AE7+AD7+AC7+AB7+AA7+Z7+Y7+X7+W7+U7+V7+T7+S7+R7+Q7+P7+SUM($P$8:AI8))*AJ5)</f>
        <v>34482.673675791018</v>
      </c>
      <c r="AK7" s="4">
        <f>((H22+I22+AJ7+AI7+AH7+AG7+AF7+AE7+AD7+AC7+AB7+AA7+Z7+Y7+X7+V7+W7+U7+T7+S7+R7+Q7+P7+SUM($P$8:AJ8))*AK5)</f>
        <v>41962.830053061036</v>
      </c>
      <c r="AL7" s="4">
        <f>((D27+E27+AK7+AJ7+AI7+AH7+AG7+AF7+AE7+AD7+AC7++AB7+AA7+Z7+Y7+X7+W7+V7+U7+T7+S7+R7+Q7+P7+SUM($P$8:AK8))*AL5)</f>
        <v>37478.950993539824</v>
      </c>
      <c r="AM7" s="4">
        <f>((E27+F27+AL7+AK7+AJ7+AI7+AH7+AG7+AF7+AE7+AD7++AC7+AB7+AA7+Z7+Y7+X7+W7+V7+U7+T7+S7+R7+Q7+P7+SUM($P$8:AL8))*AM5)</f>
        <v>373450.08067243837</v>
      </c>
      <c r="AN7" s="4">
        <f>((F27+G27+AM7+AL7+AK7+AJ7+AI7+AH7+AG7+AF7+AE7++AD7+AC7+AB7+AA7+Z7+Y7+X7+W7+V7+U7+T7+S7+R7+Q7+P7+SUM($P$8:AM8))*AN5)</f>
        <v>260015.85603554227</v>
      </c>
      <c r="AO7" s="4">
        <f>((G27+H27+AN7+AM7+AL7+AK7+AJ7+AI7+AH7+AG7+AF7++AE7+AD7+AC7+AB7+AA7+Z7+Y7+X7+W7+V7+U7+T7+S7+R7+Q7+P7+SUM($P$8:AN8))*AO5)</f>
        <v>-163051.04099442961</v>
      </c>
      <c r="AP7" s="4">
        <f>((H27+I27+AO7+AN7+AM7+AL7+AK7+AJ7+AI7+AH7+AG7++AF7+AE7+AD7+AC7+AB7+AA7+Z7+Y7+X7+W7+V7+U7+T7+S7+R7+Q7+P7+SUM($P$8:AO8))*AP5)</f>
        <v>202555.13036571816</v>
      </c>
      <c r="AQ7" s="4">
        <f>((I27+J27+AP7+AO7+AN7+AM7+AL7+AK7+AJ7+AI7+AH7++AG7+AF7+AE7+AD7+AC7+AB7+AA7+Z7+Y7+X7+W7+V7+U7+T7+S7+R7+Q7+P7+SUM($P$8:AP8))*AQ5)</f>
        <v>170981.68872891183</v>
      </c>
      <c r="AR7" s="4">
        <f>((J27+K27+AQ7+AP7+AO7+AN7+AM7+AL7+AK7+AJ7+AI7++AH7+AG7+AF7+AE7+AD7+AC7+AB7+AA7+Z7+Y7+X7+W7+V7+U7+T7+S7+R7+Q7+P7+SUM($P$8:AQ8))*AR5)</f>
        <v>2838025.9302372122</v>
      </c>
    </row>
    <row r="8" spans="1:44" ht="15" customHeight="1" x14ac:dyDescent="0.25">
      <c r="A8" s="13" t="s">
        <v>21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M8" s="1" t="s">
        <v>22</v>
      </c>
      <c r="N8" s="1"/>
      <c r="O8" s="4"/>
      <c r="P8" s="4">
        <f>((D6+E6)-(D5+E5))*(P5^1/2)</f>
        <v>0</v>
      </c>
      <c r="Q8" s="4">
        <f>((D7+E7)-(D6+E6))*(Q5^1/2)</f>
        <v>0</v>
      </c>
      <c r="R8" s="4">
        <f>((D8+E8)-(D7+E7))*(R5^1/2)</f>
        <v>0</v>
      </c>
      <c r="S8" s="4">
        <f>((D9+E9)-(D8+E8))*(S5^1/2)</f>
        <v>0</v>
      </c>
      <c r="T8" s="4">
        <f>((D10+E10)-(D9+E9))*(T5^1/2)</f>
        <v>0</v>
      </c>
      <c r="U8" s="4">
        <f>((D11+E11)-(D10+E10))*(U5^1/2)</f>
        <v>0</v>
      </c>
      <c r="V8" s="4">
        <f>((D12+E12)-(D11+E11))*(V5^1/2)</f>
        <v>0</v>
      </c>
      <c r="W8" s="4">
        <f>((D13+E13)-(D12+E12))*(W5^1/2)</f>
        <v>0</v>
      </c>
      <c r="X8" s="4">
        <f>((D14+E14)-(D13+E13))*(X5^1/2)</f>
        <v>0</v>
      </c>
      <c r="Y8" s="4">
        <f>((D15+E15)-(D14+E14))*(Y5^1/2)</f>
        <v>0</v>
      </c>
      <c r="Z8" s="4">
        <f>((E15+F15)-(E14+F14))*(Z5^1/2)</f>
        <v>0</v>
      </c>
      <c r="AA8" s="4">
        <f>((D17+E17)-(D16+E16))*(AA5^1/2)</f>
        <v>0</v>
      </c>
      <c r="AB8" s="4">
        <f>((D18+E18)-(D17+E17))*(AB5^1/2)</f>
        <v>0</v>
      </c>
      <c r="AC8" s="4">
        <f>((D19+E19)-(D18+E18))*(AC5^1/2)</f>
        <v>0</v>
      </c>
      <c r="AD8" s="4">
        <f>((D20+E20)-(D19+E19))*(AD5/2)</f>
        <v>0</v>
      </c>
      <c r="AE8" s="4">
        <f>((D21+E21)-(D20+E20))*(AE5^1/2)</f>
        <v>0</v>
      </c>
      <c r="AF8" s="4">
        <f>((D22+E22)-(D21+E21))*(AF5^1/2)</f>
        <v>0</v>
      </c>
      <c r="AG8" s="4">
        <f>((D23+E23)-(D22+E22))*(AG5^1/2)</f>
        <v>0</v>
      </c>
      <c r="AH8" s="4">
        <f>((D24+E24)-(D23+E23))*(AH5^1/2)</f>
        <v>0</v>
      </c>
      <c r="AI8" s="4">
        <f>((D25+E25)-(D24+E24))*(AI5^1/2)</f>
        <v>0</v>
      </c>
      <c r="AJ8" s="4">
        <f>((D26+E26)-(D25+E25))*(AJ5^1/2)</f>
        <v>119.0068</v>
      </c>
      <c r="AK8" s="4">
        <f>((D27+E27)-(D26+E26))*(AK5/2)</f>
        <v>25.97475</v>
      </c>
      <c r="AL8" s="4">
        <f>((D28+E28)-(D27+E27))*(AL5^1/2)</f>
        <v>1.40625</v>
      </c>
      <c r="AM8" s="4">
        <f>((D29+E29)-(D28+E28))*(AM5^1/2)</f>
        <v>6.0555500000000002</v>
      </c>
      <c r="AN8" s="4">
        <f>((D30+E30)-(D29+E29))*(AN5^1/2)</f>
        <v>-9.4919999999999991</v>
      </c>
      <c r="AO8" s="4">
        <f>((D31+E31)-(D30+E30))*(AO5^1/2)</f>
        <v>-26.256599999999999</v>
      </c>
      <c r="AP8" s="4">
        <f>((D32+E32)-(D31+E31))*(AP5^1/2)</f>
        <v>-25.794450000000001</v>
      </c>
      <c r="AQ8" s="4">
        <f>((D32+E32)-(D31+E31))*(AQ5^1/2)</f>
        <v>-20.582100000000001</v>
      </c>
      <c r="AR8" s="4">
        <f>((E32+F32)-(E31+F31))*(AR5^1/2)</f>
        <v>9167.7264000000014</v>
      </c>
    </row>
    <row r="9" spans="1:44" ht="15" customHeight="1" x14ac:dyDescent="0.25">
      <c r="A9" s="13" t="s">
        <v>23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M9" s="1" t="s">
        <v>24</v>
      </c>
      <c r="N9" s="1"/>
      <c r="O9" s="4"/>
      <c r="P9" s="4">
        <f>+B5*P5</f>
        <v>0</v>
      </c>
      <c r="Q9" s="4">
        <f>+(B6+P9+P10+P14)*Q5</f>
        <v>0</v>
      </c>
      <c r="R9" s="4">
        <f>+(B7+Q9+P9+P10+Q10+P14+Q14)*R5</f>
        <v>0</v>
      </c>
      <c r="S9" s="4">
        <f>+(B8+R9+Q9+P9+P10+Q10+R10+P14+Q14+R14)*S5</f>
        <v>0</v>
      </c>
      <c r="T9" s="4">
        <f>+(B9+S9+R9+Q9+P9+P10+Q10+R10+S10+P14+Q14+R14+S14)*T5</f>
        <v>0</v>
      </c>
      <c r="U9" s="4">
        <f>+(B10+T9+S9+R9+Q9+P9+P10+Q10+R10+S10+T10+P14+Q14+R14+S14+T14)*U5</f>
        <v>0</v>
      </c>
      <c r="V9" s="4">
        <f>+(B11+U9+T9+S9+R9+Q9+P9+P10+Q10+R10+S10+T10+U10+P14+Q14+R14+S14+T14+U14)*V5</f>
        <v>0</v>
      </c>
      <c r="W9" s="4">
        <f>+(B12+V9+U9+T9+S9+R9+Q9+P9+P10+Q10+R10+S10+T10+U10+V10+P14+Q14+R14+S14+T14+U14+V14)*W5</f>
        <v>0</v>
      </c>
      <c r="X9" s="4">
        <f>+(B13+W9+V9+U9+T9+S9+R9+Q9+P9+P10+Q10+R10+S10+T10+U10+V10+W10+P14+Q14+R14+S14+T14+U14+V14+W14)*X5</f>
        <v>0</v>
      </c>
      <c r="Y9" s="4">
        <f>+(B14+X9+W9+V9+U9+T9+S9+R9+Q9+P9+P10+Q10+R10+S10+T10+U10+V10+W10+X10+P14+Q14+R14+S14+T14+U14+V14+W14+X14)*Y5</f>
        <v>0</v>
      </c>
      <c r="Z9" s="4">
        <f>+(B15+Y9+X9+W9+V9+U9+T9+S9+R9+Q9+P9+P10+Q10+R10+S10+T10+U10+V10+W10+X10+Y10+P14+Q14+R14+S14+T14+U14+V14+W14+X14+Y14)*Z5</f>
        <v>0</v>
      </c>
      <c r="AA9" s="4">
        <f>+(B16+Z9+Y9+X9+W9+V9+U9+T9+S9+R9+Q9+P9+P10+Q10+R10+S10+T10+U10+V10+W10+X10+Y10+Z10+P14+Q14+R14+S14+T14+U14+V14+W14+X14+Y14+Z14)*AA5</f>
        <v>0</v>
      </c>
      <c r="AB9" s="4">
        <f>+(B17+AA9+Z9+Y9+X9+W9+V9+U9+T9+S9+R9+Q9+P9+P10+Q10+R10+S10+T10+U10+V10+W10+X10+Y10+Z10+AA10+P14+Q14+R14+S14+T14+U14+V14+W14+X14+Y14+Z14+AA14)*AB5</f>
        <v>0</v>
      </c>
      <c r="AC9" s="4">
        <f>+(B18+AB9+AA9+Z9+Y9+X9+W9+V9+U9+T9+S9+R9+Q9+P9+P10+Q10+R10+S10+T10+U10+V10+W10+X10+Y10+Z10+AA10+AB10+P14+Q14+R14+S14+T14+U14+V14+W14+X14+Y14+Z14+AA14+AB14)*AC5</f>
        <v>0</v>
      </c>
      <c r="AD9" s="4">
        <f>+(B19+AC9+AB9+AA9+Z9+Y9+X9+W9+V9+U9+T9+S9+R9+Q9+P9+P10+Q10+R10+S10+T10+U10+V10+W10+X10+Y10+Z10+AA10+AB10+AC10+P14+Q14+R14+S14+T14+U14+V14+W14+X14+Y14+Z14+AA14+AB14+AC14)*AD5</f>
        <v>0</v>
      </c>
      <c r="AE9" s="4">
        <f>+(B20+AD9+AC9+AB9+AA9+Z9+Y9+X9+W9+V9+U9+T9+S9+R9+Q9+P9+P10+Q10+R10+S10+T10+U10+V10+W10+X10+Y10+Z10+AA10+AB10+AC10+AD10+P14+Q14+S14++R14+T14+U14+V14+W14+X14+Y14+Z14+AA14+AB14+AC14+AD14)*AE5</f>
        <v>211130.595</v>
      </c>
      <c r="AF9" s="4">
        <f>+(B21+AE9+AD9+AC9+AB9+AA9+Z9+Y9+X9+W9+V9+U9+T9+S9+R9+Q9+P9+P10+Q10+R10+S10+T10+U10+V10+W10+X10+Y10+Z10+AA10+AB10+AC10+AD10+AE10+P14+Q14+R14+S14+T14+U14+V14+W14+X14+Y14+Z14+AA14+AB14+AC14+AD14+AE14)*AF5</f>
        <v>292915.8872</v>
      </c>
      <c r="AG9" s="4">
        <f>+(B22+AF9+AE9+AD9+AC9+AB9+AA9+Z9+Y9+X9+W9+V9+U9+T9+S9+R9+Q9+P9+P10+Q10+R10+S10+T10+U10+V10+W10+X10+Y10+Z10+AA10+AB10+AC10+AD10+AE10+AF10+P14+Q14+R14+S14+T14+U14+V14+W14+X14+Y14+Z14+AA14+AB14+AC14+AD14+AE14+AF14)*AG5</f>
        <v>333227.90340000001</v>
      </c>
      <c r="AH9" s="4">
        <f>+(B23+AG9+AF9+AE9+AD9+AC9+AB9+AA9+Z9+Y9+X9+W9+V9+U9+T9+S9+R9+Q9+P9+P10+Q10+R10+S10+T10+U10+V10+W10+X10+Y10+Z10+AA10+AB10+AC10+AD10+AE10+AF10+AG10+P14+Q14+R14+S14+T14+U14+V14+W14+X14+Y14+Z14+AA14+AB14+AC14+AD14+AE14+AF14+AG14)*AH5</f>
        <v>444935.5993</v>
      </c>
      <c r="AI9" s="4">
        <f>+(B24+AH9+AG9+AF9+AE9+AD9+AC9+AB9+AA9+Z9+Y9+X9+W9+V9+U9+T9+S9+R9+Q9+P9+P10+Q10+R10+S10+T10+U10+V10+W10+X10+Y10+Z10+AA10+AB10+AC10+AD10+AE10+AF10+AG10+AH10+P14+Q14+R14+S14+T14+U14+V14+W14+X14+Y14+Z14+AA14+AB14+AC14+AD14+AE14+AF14+AG14+AH14)*AI5</f>
        <v>882323.35258220998</v>
      </c>
      <c r="AJ9" s="4">
        <f>+(B25+AI9+AH9+AG9+AF9+AE9+AD9+AC9+AB9+AA9+Z9+Y9+X9+W9+V9+U9+T9+S9+R9+Q9+P9+P10++Q10+R10+S10+T10+U10+V10+W10+X10+Y10+Z10+AA10+AB10+AC10+AD10+AE10+AF10+AG10+AH10+AI10+P14+Q14+R14+S14+T14+U14+V14+W14+X14+Y14+Z14+AA14+AB14+AC14+AD14+AE14+AF14+AG14+AH14+AI14)*AJ5</f>
        <v>534528.67897579109</v>
      </c>
      <c r="AK9" s="4">
        <f>+(B26+AJ9+AI9+AH9+AG9+AF9+AE9+AD9+AC9+AB9+AA9+Z9+Y9+X9+W9+V9+U9+T9+S9+R9+Q9+P9+P10+Q10+R10+S10+T10+U10+V10+W10+X10+Y10+Z10+AA10+AB10+AC10+AD10+AE10+AF10+AG10+AH10+AI10+AJ10+P14+Q14+R14+S14+T14+U14+V14+W14+X14+Y14+Z14+AA14+AB14+AC14+AD14+AE14+AF14+AG14+AH14+AI14+AJ14)*AK5</f>
        <v>272608.61170656106</v>
      </c>
      <c r="AL9" s="4">
        <f>+(B27+AK9+AJ9+AI9+AH9+AG9+AF9+AE9+AD9+AC9+AB9+AA9+Z9+Y9+X9+W9+V9+U9+T9+S9+R9+Q9+P9+P10++Q10+R10+S10+T10+U10+V10+W10+X10+Y10+Z10+AA10+AB10+AC10+AD10+AE10+AF10+AG10+AH10+AI10+AJ10+AK10+P14+Q14+R14+S14+T14+U14+V14+W14+X14+Y14+Z14+AA14+AB14+AC14+AD14+AE14+AF14+AG14+AH14+AI14+AJ14+AK14)*AL5</f>
        <v>370963.63849353982</v>
      </c>
      <c r="AM9" s="4">
        <f>+(B28+AL9+AK9+AJ9+AI9+AH9+AG9+AF9+AE9+AD9+AC9+AB9+AA9+Z9+Y9+X9+W9+V9+U9+T9+S9+R9+Q9+P9+P10+Q10+R10+S10+T10+U10+V10+W10+X10+Y10+Z10+AA10+AB10+AC10+AD10+AE10+AF10+AG10+AH10+AI10+AJ10+AK10+AL10+P14+Q14+R14+S14+T14+U14+V14+W14+X14+Y14+Z14+AA14+AB14+AC14+AD14+AE14+AF14+AG14+AH14+AI14+AJ14+AK14+AL14)*AM5</f>
        <v>338841.81507243839</v>
      </c>
      <c r="AN9" s="4">
        <f>+(B29+AM9+AL9+AK9+AJ9+AI9+AH9+AG9+AF9+AE9+AD9+AC9+AB9+AA9+Z9+Y9+X9+W9+V9+U9+T9+S9+R9+Q9+P9+P10+Q10+R10+S10+T10+U10+V10+W10+X10+Y10+Z10+AA10+AB10+AC10+AD10+AE10+AF10+AG10+AH10+AI10+AJ10+AK10+AL10+AM10+P14+Q14+R14+S14+T14+U14+V14+W14+X14+Y14+Z14+AA14+AB14+AC14+AD14+AE14++AF14+AG14+AH14+AI14+AJ14+AK14+AL14+AM14)*AN5</f>
        <v>300742.00523554219</v>
      </c>
      <c r="AO9" s="4">
        <f>+(B30+AN9+AM9+AL9+AK9+AJ9+AI9+AH9+AG9+AF9+AE9+AD9+AC9+AB9+AA9+Z9+Y9+X9+W9+V9+U9+T9+S9+R9+Q9+P9+P10+Q10+R10+S10+T10+U10+V10+W10+X10+Y10+Z10+AA10+AB10+AC10+AD10+AE10+AF10+AG10+AH10+AI10+AJ10+AK10+AL10+AM10+AN10+P14+Q14+R14+S14+T14+U14+V14+W14+X14+Y14+Z14+AA14+AB14+AC14+AD14+AE14+AF14+AG14+AH14+AI14+AJ14+AK14+AL14+AM14+AN14)*AO5</f>
        <v>810276.81999665592</v>
      </c>
      <c r="AP9" s="4">
        <f>+(B31+AO9+AN9+AM9+AL9+AK9+AJ9+AI9+AH9+AG9+AF9+AE9+AD9+AC9+AB9+AA9+Z9+Y9+X9+W9+V9+U9+T9+S9+R9+Q9+P9+P10+Q10+R10+S10+T10+U10+V10+W10+X10+Y10+Z10+AA10+AB10+AC10+AD10+AE10+AF10+AG10+AH10+AI10+AJ10+AK10+AL10+AM10+AN10+AO10+P14+Q14+R14+S14+T14+U14+V14+W14+X14+Y14+Z14+AA14+AB14+AC14+AD14+AE14+AF14+AG14+AH14+AI14+AJ14+AK14+AL14+AM14+AN14+AO14)*AP5</f>
        <v>508545.84715264605</v>
      </c>
      <c r="AQ9" s="4">
        <f>+(B32+AP9+AO9+AN9+AM9+AL9+AK9+AJ9+AI9+AH9+AG9+AF9+AE9+AD9+AC9+AB9+AA9+Z9+Y9+X9+W9+V9+U9+T9+S9+R9+Q9+P9+P10+P14+Q10+R10+S10+T10+U10+V10+W10+X10+Y10+Z10+AA10+AB10+AC10+AD10+AE10+AF10+AG10+AH10+AI10+AJ10+AK10+AL10+AM10+AN10+AO10+AP10+Q14+R14+S14+T14+U14+V14+W14+X14+Y14+Z14+AA14+AB14+AC14+AD14+AE14+AF14+AG14+AH14+AI14+AJ14+AK14+AL14+AM14+AN14+AO14+AP14)*AQ5</f>
        <v>450035.05881105474</v>
      </c>
      <c r="AR9" s="4">
        <f>+(+P9+Q9+P10+Q10+P14+Q14+B33+AQ9+AP9+AO9+AN9+AM9+AL9+AK9+AJ9+AI9+AH9+AG9+AF9+AE9+AD9+AC9+AB9+AA9+Z9+Y9+X9+W9+V9+U9+T9+S9+R9+R10+S10+T10+U10+V10+W10+X10+Y10+Z10+AA10+AB10+AC10+AD10+AE10+AF10+AG10+AH10+AI10+AJ10+AK10+AL10+AM10+AN10+AO10+AP10+AQ10+R14+S14+T14+U14+V14+W14+X14+Y14+Z14+AA14+AB14+AC14+AD14+AE14+AF14+AG14+AH14+AI14+AJ14+AK14+AL14+AM14+AN14+AO14+AP14+AQ14)*AR5</f>
        <v>564710.64089809754</v>
      </c>
    </row>
    <row r="10" spans="1:44" ht="15" customHeight="1" x14ac:dyDescent="0.25">
      <c r="A10" s="13" t="s">
        <v>25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M10" s="22" t="s">
        <v>26</v>
      </c>
      <c r="N10" s="22"/>
      <c r="O10" s="23"/>
      <c r="P10" s="23">
        <f>((B6-B5)*(P5^1/2))</f>
        <v>0</v>
      </c>
      <c r="Q10" s="23">
        <f>((B7-B6)*(Q5^1/2))</f>
        <v>0</v>
      </c>
      <c r="R10" s="23">
        <f>((B8-B7)*(R5/2))</f>
        <v>0</v>
      </c>
      <c r="S10" s="23"/>
      <c r="T10" s="23">
        <f>((B10-B9)*(T5^1/2))</f>
        <v>0</v>
      </c>
      <c r="U10" s="23">
        <f>((B11-B10)*(U5^1/2))</f>
        <v>0</v>
      </c>
      <c r="V10" s="23">
        <f>((B12-B11)*(V5^1/2))</f>
        <v>0</v>
      </c>
      <c r="W10" s="23"/>
      <c r="X10" s="23"/>
      <c r="Y10" s="23">
        <f>((B15-B14)*(Y5/2))</f>
        <v>0</v>
      </c>
      <c r="Z10" s="23"/>
      <c r="AA10" s="23"/>
      <c r="AB10" s="23">
        <f>((B18-B17)*(AB5^1/2))</f>
        <v>0</v>
      </c>
      <c r="AC10" s="23">
        <f>((B19-B18)*(AC5^1/2))</f>
        <v>0</v>
      </c>
      <c r="AD10" s="23"/>
      <c r="AE10" s="23">
        <f>((B21-B20)*(AE5^1/2))</f>
        <v>57444.4</v>
      </c>
      <c r="AF10" s="23">
        <f>((B22-B21)*(AF5^1/2))</f>
        <v>18182.5772</v>
      </c>
      <c r="AG10" s="23">
        <f>((B23-B22)*(AG5/2))</f>
        <v>38500.66545</v>
      </c>
      <c r="AH10" s="23">
        <f>((B24-B23)*(AH5/2))</f>
        <v>31495.887550000003</v>
      </c>
      <c r="AI10" s="23">
        <f>((B25-B24)*(AI5^1/2))</f>
        <v>-18310.5736</v>
      </c>
      <c r="AJ10" s="23">
        <f>((B26-B25)*(AJ5/2))</f>
        <v>22275.94065</v>
      </c>
      <c r="AK10" s="23">
        <f>((B27-B26)*(AK5/2))</f>
        <v>8988.7237499999992</v>
      </c>
      <c r="AL10" s="23">
        <f>((B28-B27)*(AL5^1/2))</f>
        <v>-38776.59375</v>
      </c>
      <c r="AM10" s="23">
        <f>((B29-B28)*(AM5/2))</f>
        <v>-34084.148049999996</v>
      </c>
      <c r="AN10" s="23">
        <f>((B30-B29)*(AN5/2))</f>
        <v>25783.232599999999</v>
      </c>
      <c r="AO10" s="23">
        <f>((B31-B30)*(AO5/2))</f>
        <v>44858.0933</v>
      </c>
      <c r="AP10" s="23">
        <f>((B32-B31)*(AP5^1/2))</f>
        <v>21866.3403</v>
      </c>
      <c r="AQ10" s="23">
        <f>((C32-C31)*(AQ5/2))</f>
        <v>52279.873800000001</v>
      </c>
      <c r="AR10" s="23">
        <f>((D32-D31)*(AR5^1/2))</f>
        <v>-22.652700000000003</v>
      </c>
    </row>
    <row r="11" spans="1:44" ht="15" customHeight="1" x14ac:dyDescent="0.25">
      <c r="A11" s="13" t="s">
        <v>27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M11" s="2" t="s">
        <v>28</v>
      </c>
      <c r="N11" s="2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4" ht="15" customHeight="1" x14ac:dyDescent="0.25">
      <c r="A12" s="13" t="s">
        <v>29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M12" s="1" t="s">
        <v>30</v>
      </c>
      <c r="N12" s="1"/>
      <c r="O12" s="1"/>
      <c r="P12" s="4">
        <v>0</v>
      </c>
      <c r="Q12" s="24">
        <f>-($P$7+$P$8)*$N$1</f>
        <v>0</v>
      </c>
      <c r="R12" s="24">
        <f>-((($P$7+$P$8)*(1+Q5))+($Q$7+$Q$8))*N1</f>
        <v>0</v>
      </c>
      <c r="S12" s="24">
        <f>-((($P$7+$P$8)*(1+Q5)*(1+R5))+(($Q$7+$Q$8)*(1+R5))+((R7+R8)))*$N$1</f>
        <v>0</v>
      </c>
      <c r="T12" s="24">
        <f>-((($P$7+$P$8)*(1+R5)*(1+S5)*(1+Q5))+(($Q$7+$Q$8)*(1+S5)*(1+R5))+((R7+R8)*(1+S5))+((S7+S8)))*$N$1</f>
        <v>0</v>
      </c>
      <c r="U12" s="24">
        <f>-((($P$7+$P$8)*(1+T5)*(1+R5)*(1+S5)*(1+Q5))+(($Q$7+$Q$8)*(1+T5)*(1+S5)*(1+R5))+((R7+R8)*(1+S5)*(1+T5))+((S7+S8)*(1+T5))+(T7+T8))*$N$1</f>
        <v>0</v>
      </c>
      <c r="V12" s="24">
        <f>-((($P$7+$P$8)*(1+U5)*(1+S5)*(1+T5)*(1+R5)*(1+Q5))+(($Q$7+$Q$8)*(1+U5)*(1+T5)*(1+S5)*(1+R5))+(($R$7+$R$8)*(1+U5)*(1+T5)*(1+S5))+((S7+S8)*(1+T5)*(1+U5))+((T7+T8)*(1+U5))+(U7+U8))*$N$1</f>
        <v>0</v>
      </c>
      <c r="W12" s="24">
        <f>-((($P$7+$P$8)*(1+V5)*(1+T5)*(1+U5)*(1+S5)*(1+R5)*(1+Q5))+(($Q$7+$Q$8)*(1+V5)*(1+U5)*(1+T5)*(1+S5)*(1+R5))+(($R$7+$R$8)*(1+V5)*(1+U5)*(1+T5)*(1+S5))+(($S$7+$S$8)*(1+V5)*(1+U5)*(1+T5))+((T7+T8)*(1+U5)*(1+V5))+((U7+U8)*(1+V5))+(V7+V8))*$N$1</f>
        <v>0</v>
      </c>
      <c r="X12" s="24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0</v>
      </c>
      <c r="Y12" s="24">
        <f>-((($P$7+$P$8)*(1+X5)*(1+V5)*(1+W5)*(1+U5)*(1+T5)*(1+S5)*(1+R5)*(1+Q5))+(($Q$7+$Q$8)*(1+X5)*(1+W5)*(1+V5)*(1+U5)*(1+T5)*(1+S5)*(1+R5))+(($R$7+$R$8)*(1+X5)*(1+W5)*(1+V5)*(1+U5)*(1+T5)*(1+S5))+(($S$7+$S$8)*(1+X5)*(1+W5)*(1+V5)*(1+U5)*(1+T5)+(($T$7+$T$8)*(1+X5)*(1+W5)*(1+V5)*(1+U5))+(($U$7+$U$8)*(1+W5)*(1+X5)*(1+V5))+(($V$7+$V$8)*(1+X5)*(1+W5))+(($W$7+$W$8)*(1+X5))+($X$7+$X$8)))*$N$1</f>
        <v>0</v>
      </c>
      <c r="Z12" s="24">
        <f>-((($P$7+$P$8)*(1+Y5)*(1+W5)*(1+X5)*(1+V5)*(1+U5)*(1+T5)*(1+S5)*(1+R5)*(1+Q5))+(($Q$7+$Q$8)*(1+Y5)*(1+X5)*(1+W5)*(1+V5)*(1+U5)*(1+T5)*(1+S5)*(1+R5))+(($R$7+$R$8)*(1+Y5)*(1+X5)*(1+W5)*(1+V5)*(1+U5)*(1+T5)*(1+S5))+(($S$7+$S$8)*(1+Y5)*(1+X5)*(1+W5)*(1+V5)*(1+U5)*(1+T5))+(($T$7+$T$8)*(1+Y5)*(1+X5)*(1+W5)*(1+V5)*(1+U5))+(($U$7+$U$8)*(1+X5)*(1+Y5)*(1+W5)*(1+V5))+(($V$7+$V$8)*(1+Y5)*(1+X5)*(1+W5))+(($W$7+$W$8)*(1+Y5)*(1+X5))+($X$7+$X$8)*(1+Y5)+($Y$7+$Y$8))*$N$1</f>
        <v>0</v>
      </c>
      <c r="AA12" s="24">
        <f>-((($P$7+$P$8)*(1+Z5)*(1+Y5)*(1+X5)*(1+W5)*(1+V5)*(1+U5)*(1+T5)*(1+S5)*(1+R5)*(1+Q5))+(($Q$7+$Q$8)*(1+Z5)*(1+Y5)*(1+X5)*(1+W5)*(1+V5)*(1+U5)*(1+T5)*(1+S5)*(1+R5))+(($R$7+$R$8)*(1+Z5)*(1+Y5)*(1+X5)*(1+W5)*(1+V5)*(1+U5)*(1+T5)*(1+S5))+(($S$7+$S$8)*(1+Z5)*(1+Y5)*(1+X5)*(1+W5)*(1+V5)*(1+U5)*(1+T5))+(($T$7+$T$8)*(1+Z5)*(1+Y5)*(1+X5)*(1+W5)*(1+V5)*(1+U5))+(($U$7+$U$8)*(1+Z5)*(1+Y5)*(1+X5)*(1+W5)*(1+V5))+(($V$7+$V$8)*(1+Z5)*(1+Y5)*(1+X5)*(1+W5))+(($W$7+$W$8)*(1+Z5)*(1+Y5)*(1+X5))+(($X$7+$X$8)*(1+Z5)*(1+Y5))+(($Y$7+$Y$8)*(1+Z5))+($Z$7+$Z$8))*$N$1</f>
        <v>0</v>
      </c>
      <c r="AB12" s="24">
        <f>-((($P$7+$P$8)*(1+AA5)*(1+Z5)*(1+Y5)*(1+X5)*(1+W5)*(1+V5)*(1+U5)*(1+T5)*(1+S5)*(1+R5)*(1+Q5))+(($Q$7+$Q$8)*(1+AA5)*(1+Z5)*(1+Y5)*(1+X5)*(1+W5)*(1+V5)*(1+U5)*(1+T5)*(1+S5)*(1+R5))+(($R$7+$R$8)*(1+AA5)*(1+Z5)*(1+Y5)*(1+X5)*(1+W5)*(1+V5)*(1+U5)*(1+T5)*(1+S5))+(($S$7+$S$8)*(1+AA5)*(1+Z5)*(1+Y5)*(1+X5)*(1+W5)*(1+V5)*(1+U5)*(1+T5))+(($T$7+$T$8)*(1+AA5)*(1+Z5)*(1+Y5)*(1+X5)*(1+W5)*(1+V5)*(1+U5))+(($U$7+$U$8)*(1+AA5)*(1+Z5)*(1+Y5)*(1+X5)*(1+W5)*(1+V5))+(($V$7+$V$8)*(1+AA5)*(1+Z5)*(1+Y5)*(1+X5)*(1+W5))+(($W$7+$W$8)*(1+AA5)*(1+Z5)*(1+Y5)*(1+X5))+(($X$7+$X$8)*(1+AA5)*(1+Z5)*(1+Y5))+(($Y$7+$Y$8)*(1+AA5)*(1+Z5))+($Z$7+$Z$8)*(1+AA5)+($AA$7+$AA$8))*$N$1</f>
        <v>0</v>
      </c>
      <c r="AC12" s="24">
        <f>-((($P$7+$P$8)*(1+AB5)*(1+AA5)*(1+Z5)*(1+Y5)*(1+X5)*(1+W5)*(1+V5)*(1+U5)*(1+T5)*(1+S5)*(1+R5)*(1+Q5))+(($Q$7+$Q$8)*(1+AB5)*(1+AA5)*(1+Z5)*(1+Y5)*(1+X5)*(1+W5)*(1+V5)*(1+U5)*(1+T5)*(1+S5)*(1+R5))+(($R$7+$R$8)*(1+AB5)*(1+AA5)*(1+Z5)*(1+Y5)*(1+X5)*(1+W5)*(1+V5)*(1+U5)*(1+T5)*(1+S5))+(($S$7+$S$8)*(1+AB5)*(1+AA5)*(1+Z5)*(1+Y5)*(1+X5)*(1+W5)*(1+V5)*(1+U5)*(1+T5))+(($T$7+$T$8)*(1+AB5)*(1+AA5)*(1+Z5)*(1+Y5)*(1+X5)*(1+W5)*(1+V5)*(1+U5))+(($U$7+$U$8)*(1+AB5)*(1+AA5)*(1+Z5)*(1+Y5)*(1+X5)*(1+W5)*(1+V5))+(($V$7+$V$8)*(1+AB5)*(1+AA5)*(1+Z5)*(1+Y5)*(1+X5)*(1+W5))+(($W$7+$W$8)*(1+AB5)*(1+AA5)*(1+Z5)*(1+Y5)*(1+X5))+(($X$7+$X$8)*(1+AB5)*(1+AA5)*(1+Z5)*(1+Y5))+(($Y$7+$Y$8)*(1+AB5)*(1+AA5)*(1+Z5))+(($Z$7+$Z$8)*(1+AB5)*(1+AA5))+(($AA$7+$AA$8)*(1+AB5))+(($AB$7+$AB$8)))*$N$1</f>
        <v>0</v>
      </c>
      <c r="AD12" s="24">
        <f>-((($P$7+$P$8)*(1+AC5)*(1+AB5)*(1+AA5)*(1+Z5)*(1+Y5)*(1+X5)*(1+W5)*(1+V5)*(1+U5)*(1+T5)*(1+S5)*(1+R5)*(1+Q5))+(($Q$7+$Q$8)*(1+AC5)*(1+AB5)*(1+AA5)*(1+Z5)*(1+Y5)*(1+X5)*(1+W5)*(1+V5)*(1+U5)*(1+T5)*(1+S5)*(1+R5))+(($R$7+$R$8)*(1+AC5)*(1+AB5)*(1+AA5)*(1+Z5)*(1+Y5)*(1+X5)*(1+W5)*(1+V5)*(1+U5)*(1+T5)*(1+S5))+(($S$7+$S$8)*(1+AC5)*(1+AB5)*(1+AA5)*(1+Z5)*(1+Y5)*(1+X5)*(1+W5)*(1+V5)*(1+U5)*(1+T5))+(($T$7+$T$8)*(1+AC5)*(1+AB5)*(1+AA5)*(1+Z5)*(1+Y5)*(1+X5)*(1+W5)*(1+V5)*(1+U5))+(($U$7+$U$8)*(1+AC5)*(1+AB5)*(1+AA5)*(1+Z5)*(1+Y5)*(1+X5)*(1+W5)*(1+V5))+(($V$7+$V$8)*(1+AC5)*(1+AB5)*(1+AA5)*(1+Z5)*(1+Y5)*(1+X5)*(1+W5))+(($W$7+$W$8)*(1+AC5)*(1+AB5)*(1+AA5)*(1+Z5)*(1+Y5)*(1+X5))+(($X$7+$X$8)*(1+AC5)*(1+AB5)*(1+AA5)*(1+Z5)*(1+Y5))+(($Y$7+$Y$8)*(1+AC5)*(1+AB5)*(1+AA5)*(1+Z5))+(($Z$7+$Z$8)*(1+AC5)*(1+AB5)*(1+AA5))+(($AA$7+$AA$8)*(1+AC5)*(1+AB5))+(($AB$7+$AB$8))*(1+AC5)+(AC7+AC8))*$N$1</f>
        <v>0</v>
      </c>
      <c r="AE12" s="24">
        <f>-((($P$7+$P$8)*(1+AD5)*(1+AC5)*(1+AB5)*(1+AA5)*(1+Z5)*(1+Y5)*(1+X5)*(1+W5)*(1+V5)*(1+U5)*(1+T5)*(1+S5)*(1+R5)*(1+Q5))+(($Q$7+$Q$8)*(1+AD5)*(1+AC5)*(1+AB5)*(1+AA5)*(1+Z5)*(1+Y5)*(1+X5)*(1+W5)*(1+V5)*(1+U5)*(1+T5)*(1+S5)*(1+R5))+(($R$7+$R$8)*(1+AD5)*(1+AC5)*(1+AB5)*(1+AA5)*(1+Z5)*(1+Y5)*(1+X5)*(1+W5)*(1+V5)*(1+U5)*(1+T5)*(1+S5))+(($S$7+$S$8)*(1+AD5)*(1+AC5)*(1+AB5)*(1+AA5)*(1+Z5)*(1+Y5)*(1+X5)*(1+W5)*(1+V5)*(1+U5)*(1+T5))+(($T$7+$T$8)*(1+AD5)*(1+AC5)*(1+AB5)*(1+AA5)*(1+Z5)*(1+Y5)*(1+X5)*(1+W5)*(1+V5)*(1+U5))+(($U$7+$U$8)*(1+AD5)*(1+AC5)*(1+AB5)*(1+AA5)*(1+Z5)*(1+Y5)*(1+X5)*(1+W5)*(1+V5))+(($V$7+$V$8)*(1+AD5)*(1+AC5)*(1+AB5)*(1+AA5)*(1+Z5)*(1+Y5)*(1+X5)*(1+W5))+(($W$7+$W$8)*(1+AD5)*(1+AC5)*(1+AB5)*(1+AA5)*(1+Z5)*(1+Y5)*(1+X5))+(($X$7+$X$8)*(1+AD5)*(1+AC5)*(1+AB5)*(1+AA5)*(1+Z5)*(1+Y5))+(($Y$7+$Y$8)*(1+AD5)*(1+AC5)*(1+AB5)*(1+AA5)*(1+Z5))+(($Z$7+$Z$8)*(1+AD5)*(1+AC5)*(1+AB5)*(1+AA5))+(($AA$7+$AA$8)*(1+AD5)*(1+AC5)*(1+AB5))+(($AB$7+$AB$8)*(1+AC5)*(1+AD5))+(($AC$7+$AC$8)*(1+AD5))+(AD7+AD8))*$N$1</f>
        <v>0</v>
      </c>
      <c r="AF12" s="24">
        <f>-((($P$7+$P$8)*(1+AE5)*(1+AD5)*(1+AC5)*(1+AB5)*(1+AA5)*(1+Z5)*(1+Y5)*(1+X5)*(1+W5)*(1+V5)*(1+U5)*(1+T5)*(1+S5)*(1+R5)*(1+Q5))+(($Q$7+$Q$8)*(1+AE5)*(1+AD5)*(1+AC5)*(1+AB5)*(1+AA5)*(1+Z5)*(1+Y5)*(1+X5)*(1+W5)*(1+V5)*(1+U5)*(1+T5)*(1+S5)*(1+R5))+(($R$7+$R$8)*(1+AE5)*(1+AD5)*(1+AC5)*(1+AB5)*(1+AA5)*(1+Z5)*(1+Y5)*(1+X5)*(1+W5)*(1+V5)*(1+U5)*(1+T5)*(1+S5))+(($S$7+$S$8)*(1+AE5)*(1+AD5)*(1+AC5)*(1+AB5)*(1+AA5)*(1+Z5)*(1+Y5)*(1+X5)*(1+W5)*(1+V5)*(1+U5)*(1+T5))+(($T$7+$T$8)*(1+AE5)*(1+AD5)*(1+AC5)*(1+AB5)*(1+AA5)*(1+Z5)*(1+Y5)*(1+X5)*(1+W5)*(1+V5)*(1+U5))+(($U$7+$U$8)*(1+AE5)*(1+AD5)*(1+AC5)*(1+AB5)*(1+AA5)*(1+Z5)*(1+Y5)*(1+X5)*(1+W5)*(1+V5))+(($V$7+$V$8)*(1+AE5)*(1+AD5)*(1+AC5)*(1+AB5)*(1+AA5)*(1+Z5)*(1+Y5)*(1+X5)*(1+W5))+(($W$7+$W$8)*(1+AE5)*(1+AD5)*(1+AC5)*(1+AB5)*(1+AA5)*(1+Z5)*(1+Y5)*(1+X5))+(($X$7+$X$8)*(1+AE5)*(1+AD5)*(1+AC5)*(1+AB5)*(1+AA5)*(1+Z5)*(1+Y5))+(($Y$7+$Y$8)*(1+AE5)*(1+AD5)*(1+AC5)*(1+AB5)*(1+AA5)*(1+Z5))+(($Z$7+$Z$8)*(1+AE5)*(1+AD5)*(1+AC5)*(1+AB5)*(1+AA5))+(($AA$7+$AA$8)*(1+AE5)*(1+AD5)*(1+AC5)*(1+AB5))+(($AB$7+$AB$8)*(1+AD5)*(1+AE5)*(1+AC5)+(($AC$7+$AC$8)*(1+AE5)*(1+AD5))+(($AD$7+$AD$8)*(1+AE5))+(AE7+AE8)))*$N$1</f>
        <v>0</v>
      </c>
      <c r="AG12" s="24">
        <f>-((($P$7+$P$8)*(1+AF5)*(1+AE5)*(1+AD5)*(1+AC5)*(1+AB5)*(1+AA5)*(1+Z5)*(1+Y5)*(1+X5)*(1+W5)*(1+V5)*(1+U5)*(1+T5)*(1+S5)*(1+R5)*(1+Q5))+(($Q$7+$Q$8)*(1+AF5)*(1+AE5)*(1+AD5)*(1+AC5)*(1+AB5)*(1+AA5)*(1+Z5)*(1+Y5)*(1+X5)*(1+W5)*(1+V5)*(1+U5)*(1+T5)*(1+S5)*(1+R5))+(($R$7+$R$8)*(1+AF5)*(1+AE5)*(1+AD5)*(1+AC5)*(1+AB5)*(1+AA5)*(1+Z5)*(1+Y5)*(1+X5)*(1+W5)*(1+V5)*(1+U5)*(1+T5)*(1+S5))+(($S$7+$S$8)*(1+AF5)*(1+AE5)*(1+AD5)*(1+AC5)*(1+AB5)*(1+AA5)*(1+Z5)*(1+Y5)*(1+X5)*(1+W5)*(1+V5)*(1+U5)*(1+T5))+(($T$7+$T$8)*(1+AF5)*(1+AE5)*(1+AD5)*(1+AC5)*(1+AB5)*(1+AA5)*(1+Z5)*(1+Y5)*(1+X5)*(1+W5)*(1+V5)*(1+U5))+(($U$7+$U$8)*(1+AF5)*(1+AE5)*(1+AD5)*(1+AC5)*(1+AB5)*(1+AA5)*(1+Z5)*(1+Y5)*(1+X5)*(1+W5)*(1+V5))+(($V$7+$V$8)*(1+AF5)*(1+AE5)*(1+AD5)*(1+AC5)*(1+AB5)*(1+AA5)*(1+Z5)*(1+Y5)*(1+X5)*(1+W5))+(($W$7+$W$8)*(1+AF5)*(1+AE5)*(1+AD5)*(1+AC5)*(1+AB5)*(1+AA5)*(1+Z5)*(1+Y5)*(1+X5))+(($X$7+$X$8)*(1+AF5)*(1+AE5)*(1+AD5)*(1+AC5)*(1+AB5)*(1+AA5)*(1+Z5)*(1+Y5))+(($Y$7+$Y$8)*(1+AF5)*(1+AE5)*(1+AD5)*(1+AC5)*(1+AB5)*(1+AA5)*(1+Z5))+(($Z$7+$Z$8)*(1+AF5)*(1+AE5)*(1+AD5)*(1+AC5)*(1+AB5)*(1+AA5))+(($AA$7+$AA$8)*(1+AF5)*(1+AE5)*(1+AD5)*(1+AC5)*(1+AB5))+(($AB$7+$AB$8)*(1+AF5)*(1+AE5)*(1+AD5)*(1+AC5))+(($AC$7+$AC$8)*(1+AF5)*(1+AE5)*(1+AD5))+(($AD$7+$AD$8)*(1+AF5)*(1+AE5))+(($AE$7+$AE$8)*(1+AF5))+($AF$7+$AF$8))*$N$1</f>
        <v>0</v>
      </c>
      <c r="AH12" s="24">
        <f>-((($P$7+$P$8)*(1+AG5)*(1+AF5)*(1+AE5)*(1+AD5)*(1+AC5)*(1+AB5)*(1+AA5)*(1+Z5)*(1+Y5)*(1+X5)*(1+W5)*(1+V5)*(1+U5)*(1+T5)*(1+S5)*(1+R5)*(1+Q5))+(($Q$7+$Q$8)*(1+AG5)*(1+AF5)*(1+AE5)*(1+AD5)*(1+AC5)*(1+AB5)*(1+AA5)*(1+Z5)*(1+Y5)*(1+X5)*(1+W5)*(1+V5)*(1+U5)*(1+T5)*(1+S5)*(1+R5))+(($R$7+$R$8)*(1+AG5)*(1+AF5)*(1+AE5)*(1+AD5)*(1+AC5)*(1+AB5)*(1+AA5)*(1+Z5)*(1+Y5)*(1+X5)*(1+W5)*(1+V5)*(1+U5)*(1+T5)*(1+S5))+(($S$7+$S$8)*(1+AG5)*(1+AF5)*(1+AE5)*(1+AD5)*(1+AC5)*(1+AB5)*(1+AA5)*(1+Z5)*(1+Y5)*(1+X5)*(1+W5)*(1+V5)*(1+U5)*(1+T5))+(($T$7+$T$8)*(1+AG5)*(1+AF5)*(1+AE5)*(1+AD5)*(1+AC5)*(1+AB5)*(1+AA5)*(1+Z5)*(1+Y5)*(1+X5)*(1+W5)*(1+V5)*(1+U5))+(($U$7+$U$8)*(1+AG5)*(1+AF5)*(1+AE5)*(1+AD5)*(1+AC5)*(1+AB5)*(1+AA5)*(1+Z5)*(1+Y5)*(1+X5)*(1+W5)*(1+V5))+(($V$7+$V$8)*(1+AG5)*(1+AF5)*(1+AE5)*(1+AD5)*(1+AC5)*(1+AB5)*(1+AA5)*(1+Z5)*(1+Y5)*(1+X5)*(1+W5))+(($W$7+$W$8)*(1+AG5)*(1+AF5)*(1+AE5)*(1+AD5)*(1+AC5)*(1+AB5)*(1+AA5)*(1+Z5)*(1+Y5)*(1+X5))+(($X$7+$X$8)*(1+AG5)*(1+AF5)*(1+AE5)*(1+AD5)*(1+AC5)*(1+AB5)*(1+AA5)*(1+Z5)*(1+Y5))+(($Y$7+$Y$8)*(1+AG5)*(1+AF5)*(1+AE5)*(1+AD5)*(1+AC5)*(1+AB5)*(1+AA5)*(1+Z5))+(($Z$7+$Z$8)*(1+AG5)*(1+AF5)*(1+AE5)*(1+AD5)*(1+AC5)*(1+AB5)*(1+AA5))+(($AA$7+$AA$8)*(1+AG5)*(1+AF5)*(1+AE5)*(1+AD5)*(1+AC5)*(1+AB5))+(($AB$7+$AB$8)*(1+AG5)*(1+AF5)*(1+AE5)*(1+AD5)*(1+AC5))+(($AC$7+$AC$8)*(1+AG5)*(1+AF5)*(1+AE5)*(1+AD5))+(($AD$7+$AD$8)*(1+AG5)*(1+AF5)*(1+AE5))+(($AE$7+$AE$8)*(1+AG5)*(1+AF5))+(($AF$7+$AF$8)*(1+AG5))+(($AG$7+$AG$8)))*$N$1</f>
        <v>0</v>
      </c>
      <c r="AI12" s="24">
        <f>-((($P$7+$P$8)*(1+AH5)*(1+AG5)*(1+AF5)*(1+AE5)*(1+AD5)*(1+AC5)*(1+AB5)*(1+AA5)*(1+Z5)*(1+Y5)*(1+X5)*(1+W5)*(1+V5)*(1+U5)*(1+T5)*(1+S5)*(1+R5)*(1+Q5))+(($Q$7+$Q$8)*(1+AH5)*(1+AG5)*(1+AF5)*(1+AE5)*(1+AD5)*(1+AC5)*(1+AB5)*(1+AA5)*(1+Z5)*(1+Y5)*(1+X5)*(1+W5)*(1+V5)*(1+U5)*(1+T5)*(1+S5)*(1+R5))+(($R$7+$R$8)*(1+AH5)*(1+AG5)*(1+AF5)*(1+AE5)*(1+AD5)*(1+AC5)*(1+AB5)*(1+AA5)*(1+Z5)*(1+Y5)*(1+X5)*(1+W5)*(1+V5)*(1+U5)*(1+T5)*(1+S5))+(($S$7+$S$8)*(1+AH5)*(1+AG5)*(1+AF5)*(1+AE5)*(1+AD5)*(1+AC5)*(1+AB5)*(1+AA5)*(1+Z5)*(1+Y5)*(1+X5)*(1+W5)*(1+V5)*(1+U5)*(1+T5))+(($T$7+$T$8)*(1+AH5)*(1+AG5)*(1+AF5)*(1+AE5)*(1+AD5)*(1+AC5)*(1+AB5)*(1+AA5)*(1+Z5)*(1+Y5)*(1+X5)*(1+W5)*(1+V5)*(1+U5))+(($U$7+$U$8)*(1+AH5)*(1+AG5)*(1+AF5)*(1+AE5)*(1+AD5)*(1+AC5)*(1+AB5)*(1+AA5)*(1+Z5)*(1+Y5)*(1+X5)*(1+W5)*(1+V5))+(($V$7+$V$8)*(1+AH5)*(1+AG5)*(1+AF5)*(1+AE5)*(1+AD5)*(1+AC5)*(1+AB5)*(1+AA5)*(1+Z5)*(1+Y5)*(1+X5)*(1+W5))+(($W$7+$W$8)*(1+AH5)*(1+AG5)*(1+AF5)*(1+AE5)*(1+AD5)*(1+AC5)*(1+AB5)*(1+AA5)*(1+Z5)*(1+Y5)*(1+X5))+(($X$7+$X$8)*(1+AH5)*(1+AG5)*(1+AF5)*(1+AE5)*(1+AD5)*(1+AC5)*(1+AB5)*(1+AA5)*(1+Z5)*(1+Y5))+(($Y$7+$Y$8)*(1+AH5)*(1+AG5)*(1+AF5)*(1+AE5)*(1+AD5)*(1+AC5)*(1+AB5)*(1+AA5)*(1+Z5))+(($Z$7+$Z$8)*(1+AH5)*(1+AG5)*(1+AF5)*(1+AE5)*(1+AD5)*(1+AC5)*(1+AB5)*(1+AA5))+(($AA$7+$AA$8)*(1+AH5)*(1+AG5)*(1+AF5)*(1+AE5)*(1+AD5)*(1+AC5)*(1+AB5))+(($AB$7+$AB$8)*(1+AH5)*(1+AG5)*(1+AF5)*(1+AE5)*(1+AD5)*(1+AC5))+(($AC$7+$AC$8)*(1+AH5)*(1+AG5)*(1+AF5)*(1+AE5)*(1+AD5))+(($AD$7+$AD$8)*(1+AH5)*(1+AG5)*(1+AF5)*(1+AE5))+(($AE$7+$AE$8)*(1+AH5)*(1+AG5)*(1+AF5))+(($AF$7+$AF$8)*(1+AH5)*(1+AG5))+(($AG$7+$AG$8)*(1+AH5))+(($AH$7+$AH$8)))*$N$1</f>
        <v>0</v>
      </c>
      <c r="AJ12" s="24">
        <f>-((($P$7+$P$8)*(1+AI5)*(1+AH5)*(1+AG5)*(1+AF5)*(1+AE5)*(1+AD5)*(1+AC5)*(1+AB5)*(1+AA5)*(1+Z5)*(1+Y5)*(1+X5)*(1+W5)*(1+V5)*(1+U5)*(1+T5)*(1+S5)*(1+R5)*(1+Q5))+(($Q$7+$Q$8)*(1+AI5)*(1+AH5)*(1+AG5)*(1+AF5)*(1+AE5)*(1+AD5)*(1+AC5)*(1+AB5)*(1+AA5)*(1+Z5)*(1+Y5)*(1+X5)*(1+W5)*(1+V5)*(1+U5)*(1+T5)*(1+S5)*(1+R5))+(($R$7+$R$8)*(1+AI5)*(1+AH5)*(1+AG5)*(1+AF5)*(1+AE5)*(1+AD5)*(1+AC5)*(1+AB5)*(1+AA5)*(1+Z5)*(1+Y5)*(1+X5)*(1+W5)*(1+V5)*(1+U5)*(1+T5)*(1+S5))+(($S$7+$S$8)*(1+AI5)*(1+AH5)*(1+AG5)*(1+AF5)*(1+AE5)*(1+AD5)*(1+AC5)*(1+AB5)*(1+AA5)*(1+Z5)*(1+Y5)*(1+X5)*(1+W5)*(1+V5)*(1+U5)*(1+T5))+(($T$7+$T$8)*(1+AI5)*(1+AH5)*(1+AG5)*(1+AF5)*(1+AE5)*(1+AD5)*(1+AC5)*(1+AB5)*(1+AA5)*(1+Z5)*(1+Y5)*(1+X5)*(1+W5)*(1+V5)*(1+U5))+(($U$7+$U$8)*(1+AI5)*(1+AH5)*(1+AG5)*(1+AF5)*(1+AE5)*(1+AD5)*(1+AC5)*(1+AB5)*(1+AA5)*(1+Z5)*(1+Y5)*(1+X5)*(1+W5)*(1+V5))+(($V$7+$V$8)*(1+AI5)*(1+AH5)*(1+AG5)*(1+AF5)*(1+AE5)*(1+AD5)*(1+AC5)*(1+AB5)*(1+AA5)*(1+Z5)*(1+Y5)*(1+X5)*(1+W5))+(($W$7+$W$8)*(1+AI5)*(1+AH5)*(1+AG5)*(1+AF5)*(1+AE5)*(1+AD5)*(1+AC5)*(1+AB5)*(1+AA5)*(1+Z5)*(1+Y5)*(1+X5))+(($X$7+$X$8)*(1+AI5)*(1+AH5)*(1+AG5)*(1+AF5)*(1+AE5)*(1+AD5)*(1+AC5)*(1+AB5)*(1+AA5)*(1+Z5))+(($Y$7+$Y$8)*(1+AI5)*(1+AH5)*(1+AG5)*(1+AF5)*(1+AE5)*(1+AD5)*(1+AC5)*(1+AB5)*(1+AA5)*(1+Z5))+(($Z$7+$Z$8)*(1+AI5)*(1+AH5)*(1+AG5)*(1+AF5)*(1+AE5)*(1+AD5)*(1+AC5)*(1+AB5)*(1+AA5))+(($AA$7+$AA$8)*(1+AI5)*(1+AH5)*(1+AG5)*(1+AF5)*(1+AE5)*(1+AD5)*(1+AC5)*(1+AB5))+(($AB$7+$AB$8)*(1+AI5)*(1+AH5)*(1+AG5)*(1+AF5)*(1+AE5)*(1+AD5)*(1+AC5))+(($AC$7+$AC$8)*(1+AI5)*(1+AH5)*(1+AG5)*(1+AF5)*(1+AE5)*(1+AD5))+(($AD$7+$AD$8)*(1+AI5)*(1+AH5)*(1+AG5)*(1+AF5)*(1+AE5))+(($AE$7+$AE$8)*(1+AI5)*(1+AH5)*(1+AG5)*(1+AF5))+(($AF$7+$AF$8)*(1+AI5)*(1+AH5)*(1+AG5))+(($AG$7+$AG$8)*(1+AI5)*(1+AH5))+(($AH$7+$AH$8)*(1+AI5))+(($AI$7+$AI$8)))*$N$1</f>
        <v>0</v>
      </c>
      <c r="AK12" s="24">
        <f>-((($P$7+$P$8)*(1+AJ5)*(1+AI5)*(1+AH5)*(1+AG5)*(1+AF5)*(1+AE5)*(1+AD5)*(1+AC5)*(1+AB5)*(1+AA5)*(1+Z5)*(1+Y5)*(1+X5)*(1+W5)*(1+V5)*(1+U5)*(1+T5)*(1+S5)*(1+R5)*(1+Q5))+(($Q$7+$Q$8)*(1+AJ5)*(1+AI5)*(1+AH5)*(1+AG5)*(1+AF5)*(1+AE5)*(1+AD5)*(1+AC5)*(1+AB5)*(1+AA5)*(1+Z5)*(1+Y5)*(1+X5)*(1+W5)*(1+V5)*(1+U5)*(1+T5)*(1+S5)*(1+R5))+(($R$7+$R$8)*(1+AJ5)*(1+AI5)*(1+AH5)*(1+AG5)*(1+AF5)*(1+AE5)*(1+AD5)*(1+AC5)*(1+AB5)*(1+AA5)*(1+Z5)*(1+Y5)*(1+X5)*(1+W5)*(1+V5)*(1+U5)*(1+T5)*(1+S5))+(($S$7+$S$8)*(1+AJ5)*(1+AI5)*(1+AH5)*(1+AG5)*(1+AF5)*(1+AE5)*(1+AD5)*(1+AC5)*(1+AB5)*(1+AA5)*(1+Z5)*(1+Y5)*(1+X5)*(1+W5)*(1+V5)*(1+U5)*(1+T5))+(($T$7+$T$8)*(1+AJ5)*(1+AI5)*(1+AH5)*(1+AG5)*(1+AF5)*(1+AE5)*(1+AD5)*(1+AC5)*(1+AB5)*(1+AA5)*(1+Z5)*(1+Y5)*(1+X5)*(1+W5)*(1+V5)*(1+V5))+(($U$7+$U$8)*(1+AJ5)*(1+AI5)*(1+AH5)*(1+AG5)*(1+AF5)*(1+AE5)*(1+AD5)*(1+AC5)*(1+AB5)*(1+AA5)*(1+Z5)*(1+Y5)*(1+X5)*(1+W5)*(1+V5))+(($V$7+$V$8)*(1+AJ5)*(1+AI5)*(1+AH5)*(1+AG5)*(1+AF5)*(1+AE5)*(1+AD5)*(1+AC5)*(1+AB5)*(1+AA5)*(1+Z5)*(1+Y5)*(1+X5)*(1+W5))+(($W$7+$W$8)*(1+AJ5)*(1+AI5)*(1+AH5)*(1+AG5)*(1+AF5)*(1+AE5)*(1+AD5)*(1+AC5)*(1+AB5)*(1+AA5)*(1+Z5)*(1+Y5)*(1+X5))+(($X$7+$X$8)*(1+AJ5)*(1+AI5)*(1+AH5)*(1+AG5)*(1+AF5)*(1+AE5)*(1+AD5)*(1+AC5)*(1+AB5)*(1+AA5)*(1+Y5))+(($Y$7+$Y$8)*(1+AJ5)*(1+AI5)*(1+AH5)*(1+AG5)*(1+AF5)*(1+AE5)*(1+AD5)*(1+AC5)*(1+AB5)*(1+AA5)*(1+Z5))+(($Z$7+$Z$8)*(1+AJ5)*(1+AI5)*(1+AH5)*(1+AG5)*(1+AF5)*(1+AE5)*(1+AD5)*(1+AC5)*(1+AB5)*(1+AA5))+(($AA$7+$AA$8)*(1+AJ5)*(1+AI5)*(1+AH5)*(1+AG5)*(1+AF5)*(1+AE5)*(1+AD5)*(1+AC5)*(1+AB5))+(($AB$7+$AB$8)*(1+AJ5)*(1+AI5)*(1+AH5)*(1+AG5)*(1+AF5)*(1+AE5)*(1+AD5)*(1+AC5))+(($AC$7+$AC$8)*(1+AJ5)*(1+AI5)*(1+AH5)*(1+AG5)*(1+AF5)*(1+AE5)*(1+AD5))+(($AD$7+$AD$8)*(1+AJ5)*(1+AI5)*(1+AH5)*(1+AG5)*(1+AF5)*(1+AE5))+(($AE$7+$AE$8)*(1+AJ5)*(1+AI5)*(1+AH5)*(1+AG5)*(1+AF5))+(($AF$7+$AF$8)*(1+AJ5)*(1+AI5)*(1+AH5)*(1+AG5))+(($AG$7+$AG$8)*(1+AJ5)*(1+AI5)*(1+AH5))+(($AH$7+$AH$8)*(1+AJ5)*(1+AI5))+(($AI$7+$AI$8)*(1+AJ5))+(($AJ$7+$AJ$8)))*$N$1</f>
        <v>0</v>
      </c>
      <c r="AL12" s="24">
        <f>-((($P$7+$P$8)*(1+AK5)*(1+AJ5)*(1+AI5)*(1+AH5)*(1+AG5)*(1+AF5)*(1+AE5)*(1+AD5)*(1+AC5)*(1+AB5)*(1+AA5)*(1+Z5)*(1+Y5)*(1+X5)*(1+W5)*(1+V5)*(1+U5)*(1+T5)*(1+S5)*(1+R5)*(1+Q5))+(($Q$7+$Q$8)*(1+AK5)*(1+AJ5)*(1+AI5)*(1+AH5)*(1+AG5)*(1+AF5)*(1+AE5)*(1+AD5)*(1+AC5)*(1+AB5)*(1+AA5)*(1+Z5)*(1+Y5)*(1+X5)*(1+W5)*(1+V5)*(1+U5)*(1+T5)*(1+S5)*(1+R5))+(($R$7+$R$8)*(1+AK5)*(1+AJ5)*(1+AI5)*(1+AH5)*(1+AG5)*(1+AF5)*(1+AE5)*(1+AD5)*(1+AC5)*(1+AB5)*(1+AA5)*(1+Z5)*(1+Y5)*(1+X5)*(1+W5)*(1+V5)*(1+U5)*(1+T5)*(1+S5))+(($S$7+$S$8)*(1+AK5)*(1+AJ5)*(1+AI5)*(1+AH5)*(1+AG5)*(1+AF5)*(1+AE5)*(1+AD5)*(1+AC5)*(1+AB5)*(1+AA5)*(1+Z5)*(1+Y5)*(1+X5)*(1+W5)*(1+V5)*(1+U5)*(1+T5))+(($T$7+$T$8)*(1+AK5)*(1+AJ5)*(1+AI5)*(1+AH5)*(1+AG5)*(1+AF5)*(1+AE5)*(1+AD5)*(1+AC5)*(1+AB5)*(1+AA5)*(1+Z5)*(1+Y5)*(1+X5)*(1+W5)*(1+W5)*(1+U5))+(($U$7+$U$8)*(1+AK5)*(1+AJ5)*(1+AI5)*(1+AH5)*(1+AG5)*(1+AF5)*(1+AE5)*(1+AD5)*(1+AC5)*(1+AB5)*(1+AA5)*(1+Z5)*(1+Y5)*(1+X5)*(1+W5)*(1+V5))+(($V$7+$V$8)*(1+AK5)*(1+AJ5)*(1+AI5)*(1+AH5)*(1+AG5)*(1+AF5)*(1+AE5)*(1+AD5)*(1+AC5)*(1+AB5)*(1+AA5)*(1+Z5)*(1+Y5)*(1+X5)*(1+W5))+(($W$7+$W$8)*(1+AK5)*(1+AJ5)*(1+AI5)*(1+AH5)*(1+AG5)*(1+AF5)*(1+AE5)*(1+AD5)*(1+AC5)*(1+AB5)*(1+AA5)*(1+Z5)*(1+Y5)*(1+X5))+(($X$7+$X$8)*(1+AK5)*(1+AJ5)*(1+AI5)*(1+AH5)*(1+AG5)*(1+AF5)*(1+AE5)*(1+AD5)*(1+AC5)*(1+AB5)*(1+Z5)*(1+Y5))+(($Y$7+$Y$8)*(1+AK5)*(1+AJ5)*(1+AI5)*(1+AH5)*(1+AG5)*(1+AF5)*(1+AE5)*(1+AD5)*(1+AC5)*(1+AB5)*(1+AA5)*(1+Z5))+(($Z$7+$Z$8)*(1+AK5)*(1+AJ5)*(1+AI5)*(1+AH5)*(1+AG5)*(1+AF5)*(1+AE5)*(1+AD5)*(1+AC5)*(1+AB5)*(1+AA5))+(($AA$7+$AA$8)*(1+AK5)*(1+AJ5)*(1+AI5)*(1+AH5)*(1+AG5)*(1+AF5)*(1+AE5)*(1+AD5)*(1+AC5)*(1+AB5))+(($AB$7+$AB$8)*(1+AK5)*(1+AJ5)*(1+AI5)*(1+AH5)*(1+AG5)*(1+AF5)*(1+AE5)*(1+AD5)*(1+AC5))+(($AC$7+$AC$8)*(1+AK5)*(1+AJ5)*(1+AI5)*(1+AH5)*(1+AG5)*(1+AF5)*(1+AE5)*(1+AD5))+(($AD$7+$AD$8)*(1+AK5)*(1+AJ5)*(1+AI5)*(1+AH5)*(1+AG5)*(1+AF5)*(1+AE5))+(($AE$7+$AE$8)*(1+AK5)*(1+AJ5)*(1+AI5)*(1+AH5)*(1+AG5)*(1+AF5))+(($AF$7+$AF$8)*(1+AK5)*(1+AJ5)*(1+AI5)*(1+AH5)*(1+AG5))+(($AG$7+$AG$8)*(1+AK5)*(1+AJ5)*(1+AI5)*(1+AH5))+(($AH$7+$AH$8)*(1+AK5)*(1+AJ5)*(1+AI5))+(($AI$7+$AI$8)*(1+AK5)*(1+AJ5))+(($AJ$7+$AJ$8)*(1+AK5))+(AK7+AK8))*$N$1</f>
        <v>0</v>
      </c>
      <c r="AM12" s="24">
        <f>-((($P$7+$P$8)*(1+AL5)*(1+AK5)*(1+AJ5)*(1+AI5)*(1+AH5)*(1+AG5)*(1+AF5)*(1+AE5)*(1+AD5)*(1+AC5)*(1+AB5)*(1+AA5)*(1+Z5)*(1+Y5)*(1+X5)*(1+W5)*(1+V5)*(1+U5)*(1+T5)*(1+S5)*(1+R5)*(1+Q5))+(($Q$7+$Q$8)*(1+AL5)*(1+AK5)*(1+AJ5)*(1+AI5)*(1+AH5)*(1+AG5)*(1+AF5)*(1+AE5)*(1+AD5)*(1+AC5)*(1+AB5)*(1+AA5)*(1+Z5)*(1+Y5)*(1+X5)*(1+W5)*(1+V5)*(1+U5)*(1+T5)*(1+S5)*(1+R5))+(($R$7+$R$8)*(1+AL5)*(1+AK5)*(1+AJ5)*(1+AI5)*(1+AH5)*(1+AG5)*(1+AF5)*(1+AE5)*(1+AD5)*(1+AC5)*(1+AB5)*(1+AA5)*(1+Z5)*(1+Y5)*(1+X5)*(1+W5)*(1+V5)*(1+U5)*(1+T5)*(1+S5))+(($S$7+$S$8)*(1+AL5)*(1+AK5)*(1+AJ5)*(1+AI5)*(1+AH5)*(1+AG5)*(1+AF5)*(1+AE5)*(1+AD5)*(1+AC5)*(1+AB5)*(1+AA5)*(1+Z5)*(1+Y5)*(1+X5)*(1+W5)*(1+V5)*(1+U5)*(1+T5))+(($T$7+$T$8)*(1+AL5)*(1+AK5)*(1+AJ5)*(1+AI5)*(1+AH5)*(1+AG5)*(1+AF5)*(1+AE5)*(1+AD5)*(1+AC5)*(1+AB5)*(1+AA5)*(1+Z5)*(1+Y5)*(1+X5)*(1+X5)*(1+V5)*(1+U5))+(($U$7+$U$8)*(1+AL5)*(1+AK5)*(1+AJ5)*(1+AI5)*(1+AH5)*(1+AG5)*(1+AF5)*(1+AE5)*(1+AD5)*(1+AC5)*(1+AB5)*(1+AA5)*(1+Z5)*(1+Y5)*(1+X5)*(1+W5)*(1+V5))+(($V$7+$V$8)*(1+AL5)*(1+AK5)*(1+AJ5)*(1+AI5)*(1+AH5)*(1+AG5)*(1+AF5)*(1+AE5)*(1+AD5)*(1+AC5)*(1+AB5)*(1+AA5)*(1+Z5)*(1+Y5)*(1+X5)*(1+W5))+(($W$7+$W$8)*(1+AL5)*(1+AK5)*(1+AJ5)*(1+AI5)*(1+AH5)*(1+AG5)*(1+AF5)*(1+AE5)*(1+AD5)*(1+AC5)*(1+AB5)*(1+AA5)*(1+Z5)*(1+Y5)*(1+X5))+(($X$7+$X$8)*(1+AL5)*(1+AK5)*(1+AJ5)*(1+AI5)*(1+AH5)*(1+AG5)*(1+AF5)*(1+AE5)*(1+AD5)*(1+AC5)*(1+AA5)*(1+Z5)*(1+Y5))+(($Y$7+$Y$8)*(1+AL5)*(1+AK5)*(1+AJ5)*(1+AI5)*(1+AH5)*(1+AG5)*(1+AF5)*(1+AE5)*(1+AD5)*(1+AC5)*(1+AB5)*(1+AA5)*(1+Z5))+(($Z$7+$Z$8)*(1+AL5)*(1+AK5)*(1+AJ5)*(1+AI5)*(1+AH5)*(1+AG5)*(1+AF5)*(1+AE5)*(1+AD5)*(1+AC5)*(1+AB5)*(1+AA5))+(($AA$7+$AA$8)*(1+AL5)*(1+AK5)*(1+AJ5)*(1+AI5)*(1+AH5)*(1+AG5)*(1+AF5)*(1+AE5)*(1+AD5)*(1+AC5)*(1+AB5))+(($AB$7+$AB$8)*(1+AL5)*(1+AK5)*(1+AJ5)*(1+AI5)*(1+AH5)*(1+AG5)*(1+AF5)*(1+AE5)*(1+AD5)*(1+AC5))+(($AC$7+$AC$8)*(1+AL5)*(1+AK5)*(1+AJ5)*(1+AI5)*(1+AH5)*(1+AG5)*(1+AF5)*(1+AE5)*(1+AD5))+(($AD$7+$AD$8)*(1+AL5)*(1+AK5)*(1+AJ5)*(1+AI5)*(1+AH5)*(1+AG5)*(1+AF5)*(1+AE5))+(($AE$7+$AE$8)*(1+AL5)*(1+AK5)*(1+AJ5)*(1+AI5)*(1+AH5)*(1+AG5)*(1+AF5))+(($AF$7+$AF$8)*(1+AL5)*(1+AK5)*(1+AJ5)*(1+AI5)*(1+AH5)*(1+AG5))+(($AG$7+$AG$8)*(1+AL5)*(1+AK5)*(1+AJ5)*(1+AI5)*(1+AH5))+(($AH$7+$AH$8)*(1+AL5)*(1+AK5)*(1+AJ5)*(1+AI5))+(($AI$7+$AI$8)*(1+AL5)*(1+AK5)*(1+AJ5))+(($AJ$7+$AJ$8)*(1+AL5)*(1+AK5))+(($AK$7+$AK$8)*(1+AL5))+($AL$7+$AL$8))*$N$1</f>
        <v>0</v>
      </c>
      <c r="AN12" s="24">
        <f>-((($P$7+$P$8)*(1+AM5)*(1+AL5)*(1+AK5)*(1+AJ5)*(1+AI5)*(1+AH5)*(1+AG5)*(1+AF5)*(1+AE5)*(1+AD5)*(1+AC5)*(1+AB5)*(1+AA5)*(1+Z5)*(1+Y5)*(1+X5)*(1+W5)*(1+V5)*(1+U5)*(1+T5)*(1+S5)*(1+R5)*(1+Q5))+(($Q$7+$Q$8)*(1+AM5)*(1+AL5)*(1+AK5)*(1+AJ5)*(1+AI5)*(1+AH5)*(1+AG5)*(1+AF5)*(1+AE5)*(1+AD5)*(1+AC5)*(1+AB5)*(1+AA5)*(1+Z5)*(1+Y5)*(1+X5)*(1+W5)*(1+V5)*(1+U5)*(1+T5)*(1+S5)*(1+R5))+(($R$7+$R$8)*(1+AM5)*(1+AL5)*(1+AK5)*(1+AJ5)*(1+AI5)*(1+AH5)*(1+AG5)*(1+AF5)*(1+AE5)*(1+AD5)*(1+AC5)*(1+AB5)*(1+AA5)*(1+Z5)*(1+Y5)*(1+X5)*(1+W5)*(1+V5)*(1+U5)*(1+T5)*(1+S5))+(($S$7+$S$8)*(1+AM5)*(1+AL5)*(1+AK5)*(1+AJ5)*(1+AI5)*(1+AH5)*(1+AG5)*(1+AF5)*(1+AE5)*(1+AD5)*(1+AC5)*(1+AB5)*(1+AA5)*(1+Z5)*(1+Y5)*(1+X5)*(1+W5)*(1+V5)*(1+U5)*(1+T5))+(($T$7+$T$8)*(1+AM5)*(1+AL5)*(1+AK5)*(1+AJ5)*(1+AI5)*(1+AH5)*(1+AG5)*(1+AF5)*(1+AE5)*(1+AD5)*(1+AC5)*(1+AB5)*(1+AA5)*(1+Z5)*(1+Y5)*(1+Y5)*(1+W5)*(1+V5)*(1+U5))+(($U$7+$U$8)*(1+AM5)*(1+AL5)*(1+AK5)*(1+AJ5)*(1+AI5)*(1+AH5)*(1+AG5)*(1+AF5)*(1+AE5)*(1+AD5)*(1+AC5)*(1+AB5)*(1+AA5)*(1+Z5)*(1+Y5)*(1+X5)*(1+W5)*(1+V5))+(($V$7+$V$8)*(1+AM5)*(1+AL5)*(1+AK5)*(1+AJ5)*(1+AI5)*(1+AH5)*(1+AG5)*(1+AF5)*(1+AE5)*(1+AD5)*(1+AC5)*(1+AB5)*(1+AA5)*(1+Z5)*(1+Y5)*(1+X5)*(1+W5))+(($W$7+$W$8)*(1+AM5)*(1+AL5)*(1+AK5)*(1+AJ5)*(1+AI5)*(1+AH5)*(1+AG5)*(1+AF5)*(1+AE5)*(1+AD5)*(1+AC5)*(1+AB5)*(1+AA5)*(1+Z5)*(1+Y5)*(1+X5))+(($X$7+$X$8)*(1+AM5)*(1+AL5)*(1+AK5)*(1+AJ5)*(1+AI5)*(1+AH5)*(1+AG5)*(1+AF5)*(1+AE5)*(1+AD5)*(1+AB5)*(1+AA5)*(1+Z5)*(1+Y5))+(($Y$7+$Y$8)*(1+AM5)*(1+AL5)*(1+AK5)*(1+AJ5)*(1+AI5)*(1+AH5)*(1+AG5)*(1+AF5)*(1+AE5)*(1+AD5)*(1+AC5)*(1+AB5)*(1+AA5)*(1+Z5))+(($Z$7+$Z$8)*(1+AM5)*(1+AL5)*(1+AK5)*(1+AJ5)*(1+AI5)*(1+AH5)*(1+AG5)*(1+AF5)*(1+AE5)*(1+AD5)*(1+AC5)*(1+AB5)*(1+AA5))+(($AA$7+$AA$8)*(1+AM5)*(1+AL5)*(1+AK5)*(1+AJ5)*(1+AI5)*(1+AH5)*(1+AG5)*(1+AF5)*(1+AE5)*(1+AD5)*(1+AC5)*(1+AB5))+(($AB$7+$AB$8)*(1+AM5)*(1+AL5)*(1+AK5)*(1+AJ5)*(1+AI5)*(1+AH5)*(1+AG5)*(1+AF5)*(1+AE5)*(1+AD5)*(1+AC5))+(($AC$7+$AC$8)*(1+AM5)*(1+AL5)*(1+AK5)*(1+AJ5)*(1+AI5)*(1+AH5)*(1+AG5)*(1+AF5)*(1+AE5)*(1+AD5))+(($AD$7+$AD$8)*(1+AM5)*(1+AL5)*(1+AK5)*(1+AJ5)*(1+AI5)*(1+AH5)*(1+AG5)*(1+AF5)*(1+AE5))+(($AE$7+$AE$8)*(1+AM5)*(1+AL5)*(1+AK5)*(1+AJ5)*(1+AI5)*(1+AH5)*(1+AG5)*(1+AF5))+(($AF$7+$AF$8)*(1+AM5)*(1+AL5)*(1+AK5)*(1+AJ5)*(1+AI5)*(1+AH5)*(1+AG5))+(($AG$7+$AG$8)*(1+AM5)*(1+AL5)*(1+AK5)*(1+AJ5)*(1+AI5)*(1+AH5))+(($AH$7+$AH$8)*(1+AM5)*(1+AL5)*(1+AK5)*(1+AJ5)*(1+AI5))+(($AI$7+$AI$8)*(1+AM5)*(1+AL5)*(1+AK5)*(1+AJ5))+(($AJ$7+$AJ$8)*(1+AM5)*(1+AL5)*(1+AK5))+(($AK$7+$AK$8)*(1+AM5)*(1+AL5))+(($AL$7+$AL$8)*(1+AM5))+(($AM$7+$AM$8)))*$N$1</f>
        <v>0</v>
      </c>
      <c r="AO12" s="24">
        <f>-((($P$7+$P$8)*(1+AN5)*(1+AM5)*(1+AL5)*(1+AK5)*(1+AJ5)*(1+AI5)*(1+AH5)*(1+AG5)*(1+AF5)*(1+AE5)*(1+AD5)*(1+AC5)*(1+AB5)*(1+AA5)*(1+Z5)*(1+Y5)*(1+X5)*(1+W5)*(1+V5)*(1+U5)*(1+T5)*(1+S5)*(1+R5)*(1+Q5))+(($Q$7+$Q$8)*(1+AN5)*(1+AM5)*(1+AL5)*(1+AK5)*(1+AJ5)*(1+AI5)*(1+AH5)*(1+AG5)*(1+AF5)*(1+AE5)*(1+AD5)*(1+AC5)*(1+AB5)*(1+AA5)*(1+Z5)*(1+Y5)*(1+X5)*(1+W5)*(1+V5)*(1+U5)*(1+T5)*(1+S5)*(1+R5))+(($R$7+$R$8)*(1+AN5)*(1+AM5)*(1+AL5)*(1+AK5)*(1+AJ5)*(1+AI5)*(1+AH5)*(1+AG5)*(1+AF5)*(1+AE5)*(1+AD5)*(1+AC5)*(1+AB5)*(1+AA5)*(1+Z5)*(1+Y5)*(1+X5)*(1+W5)*(1+V5)*(1+U5)*(1+T5)*(1+S5))+(($S$7+$S$8)*(1+AN5)*(1+AM5)*(1+AL5)*(1+AK5)*(1+AJ5)*(1+AI5)*(1+AH5)*(1+AG5)*(1+AF5)*(1+AE5)*(1+AD5)*(1+AC5)*(1+AB5)*(1+AA5)*(1+Z5)*(1+Y5)*(1+X5)*(1+W5)*(1+V5)*(1+U5)*(1+T5))+(($T$7+$T$8)*(1+AN5)*(1+AM5)*(1+AL5)*(1+AK5)*(1+AJ5)*(1+AI5)*(1+AH5)*(1+AG5)*(1+AF5)*(1+AE5)*(1+AD5)*(1+AC5)*(1+AB5)*(1+AA5)*(1+Z5)*(1+Z5)*(1+X5)*(1+W5)*(1+V5)*(1+U5))+(($U$7+$U$8)*(1+AN5)*(1+AM5)*(1+AL5)*(1+AK5)*(1+AJ5)*(1+AI5)*(1+AH5)*(1+AG5)*(1+AF5)*(1+AE5)*(1+AD5)*(1+AC5)*(1+AB5)*(1+AA5)*(1+Z5)*(1+Y5)*(1+X5)*(1+W5)*(1+V5))+(($V$7+$V$8)*(1+AN5)*(1+AM5)*(1+AL5)*(1+AK5)*(1+AJ5)*(1+AI5)*(1+AH5)*(1+AG5)*(1+AF5)*(1+AE5)*(1+AD5)*(1+AC5)*(1+AB5)*(1+AA5)*(1+Z5)*(1+Y5)*(1+X5)*(1+W5))+(($W$7+$W$8)*(1+AN5)*(1+AM5)*(1+AL5)*(1+AK5)*(1+AJ5)*(1+AI5)*(1+AH5)*(1+AG5)*(1+AF5)*(1+AE5)*(1+AD5)*(1+AC5)*(1+AB5)*(1+AA5)*(1+Z5)*(1+Y5)*(1+X5))+(($X$7+$X$8)*(1+AN5)*(1+AM5)*(1+AL5)*(1+AK5)*(1+AJ5)*(1+AI5)*(1+AH5)*(1+AG5)*(1+AF5)*(1+AE5)*(1+AC5)*(1+AB5)*(1+AA5)*(1+Z5)*(1+Y5))+(($Y$7+$Y$8)*(1+AN5)*(1+AM5)*(1+AL5)*(1+AK5)*(1+AJ5)*(1+AI5)*(1+AH5)*(1+AG5)*(1+AF5)*(1+AE5)*(1+AD5)*(1+AC5)*(1+AB5)*(1+AA5)*(1+Z5))+(($Z$7+$Z$8)*(1+AN5)*(1+AM5)*(1+AL5)*(1+AK5)*(1+AJ5)*(1+AI5)*(1+AH5)*(1+AG5)*(1+AF5)*(1+AE5)*(1+AD5)*(1+AC5)*(1+AB5)*(1+AA5))+(($AA$7+$AA$8)*(1+AN5)*(1+AM5)*(1+AL5)*(1+AK5)*(1+AJ5)*(1+AI5)*(1+AH5)*(1+AG5)*(1+AF5)*(1+AE5)*(1+AD5)*(1+AC5)*(1+AB5))+(($AB$7+$AB$8)*(1+AN5)*(1+AM5)*(1+AL5)*(1+AK5)*(1+AJ5)*(1+AI5)*(1+AH5)*(1+AG5)*(1+AF5)*(1+AE5)*(1+AD5)*(1+AC5))+(($AC$7+$AC$8)*(1+AN5)*(1+AM5)*(1+AL5)*(1+AK5)*(1+AJ5)*(1+AI5)*(1+AH5)*(1+AG5)*(1+AF5)*(1+AE5)*(1+AD5))+(($AD$7+$AD$8)*(1+AN5)*(1+AM5)*(1+AL5)*(1+AK5)*(1+AJ5)*(1+AI5)*(1+AH5)*(1+AG5)*(1+AF5)*(1+AE5))+(($AE$7+$AE$8)*(1+AN5)*(1+AM5)*(1+AL5)*(1+AK5)*(1+AJ5)*(1+AI5)*(1+AH5)*(1+AG5)*(1+AF5))+(($AF$7+$AF$8)*(1+AN5)*(1+AM5)*(1+AL5)*(1+AK5)*(1+AJ5)*(1+AI5)*(1+AH5)*(1+AG5))+(($AG$7+$AG$8)*(1+AN5)*(1+AM5)*(1+AL5)*(1+AK5)*(1+AJ5)*(1+AI5)*(1+AH5))+(($AH$7+$AH$8)*(1+AN5)*(1+AM5)*(1+AL5)*(1+AK5)*(1+AJ5)*(1+AI5))+(($AI$7+$AI$8)*(1+AN5)*(1+AM5)*(1+AL5)*(1+AK5)*(1+AJ5))+(($AJ$7+$AJ$8)*(1+AN5)*(1+AM5)*(1+AL5)*(1+AK5))+(($AK$7+$AK$8)*(1+AN5)*(1+AM5)*(1+AL5))+(($AL$7+$AL$8)*(1+AN5)*(1+AM5))+(($AM$7+$AM$8)*(1+AN5))+($AN$7+$AN$8))*$N$1</f>
        <v>0</v>
      </c>
      <c r="AP12" s="24">
        <f>-((($P$7+$P$8)*(1+AO5)*(1+AN5)*(1+AM5)*(1+AL5)*(1+AK5)*(1+AJ5)*(1+AI5)*(1+AH5)*(1+AG5)*(1+AF5)*(1+AE5)*(1+AD5)*(1+AC5)*(1+AB5)*(1+AA5)*(1+Z5)*(1+Y5)*(1+X5)*(1+W5)*(1+V5)*(1+U5)*(1+T5)*(1+S5)*(1+R5)*(1+Q5))+(($Q$7+$Q$8)*(1+AO5)*(1+AN5)*(1+AM5)*(1+AL5)*(1+AK5)*(1+AJ5)*(1+AI5)*(1+AH5)*(1+AG5)*(1+AF5)*(1+AE5)*(1+AD5)*(1+AC5)*(1+AB5)*(1+AA5)*(1+Z5)*(1+Y5)*(1+X5)*(1+W5)*(1+V5)*(1+U5)*(1+T5)*(1+S5)*(1+R5))+(($R$7+$R$8)*(1+AO5)*(1+AN5)*(1+AM5)*(1+AL5)*(1+AK5)*(1+AJ5)*(1+AI5)*(1+AH5)*(1+AG5)*(1+AF5)*(1+AE5)*(1+AD5)*(1+AC5)*(1+AB5)*(1+AA5)*(1+Z5)*(1+Y5)*(1+X5)*(1+W5)*(1+V5)*(1+U5)*(1+T5)*(1+S5))+(($S$7+$S$8)*(1+AO5)*(1+AN5)*(1+AM5)*(1+AL5)*(1+AK5)*(1+AJ5)*(1+AI5)*(1+AH5)*(1+AG5)*(1+AF5)*(1+AE5)*(1+AD5)*(1+AC5)*(1+AB5)*(1+AA5)*(1+Z5)*(1+Y5)*(1+X5)*(1+W5)*(1+V5)*(1+U5)*(1+T5))+(($T$7+$T$8)*(1+AO5)*(1+AN5)*(1+AM5)*(1+AL5)*(1+AK5)*(1+AJ5)*(1+AI5)*(1+AH5)*(1+AG5)*(1+AF5)*(1+AE5)*(1+AD5)*(1+AC5)*(1+AB5)*(1+AA5)*(1+AA5)*(1+Y5)*(1+X5)*(1+W5)*(1+V5)*(1+U5))+(($U$7+$U$8)*(1+AO5)*(1+AN5)*(1+AM5)*(1+AL5)*(1+AK5)*(1+AJ5)*(1+AI5)*(1+AH5)*(1+AG5)*(1+AF5)*(1+AE5)*(1+AD5)*(1+AC5)*(1+AB5)*(1+AA5)*(1+Z5)*(1+Y5)*(1+X5)*(1+W5)*(1+V5))+(($V$7+$V$8)*(1+AO5)*(1+AN5)*(1+AM5)*(1+AL5)*(1+AK5)*(1+AJ5)*(1+AI5)*(1+AH5)*(1+AG5)*(1+AF5)*(1+AE5)*(1+AD5)*(1+AC5)*(1+AB5)*(1+AA5)*(1+Z5)*(1+Y5)*(1+X5)*(1+W5))+(($W$7+$W$8)*(1+AO5)*(1+AN5)*(1+AM5)*(1+AL5)*(1+AK5)*(1+AJ5)*(1+AI5)*(1+AH5)*(1+AG5)*(1+AF5)*(1+AE5)*(1+AD5)*(1+AC5)*(1+AB5)*(1+AA5)*(1+Z5)*(1+Y5)*(1+X5))+(($X$7+$X$8)*(1+AO5)*(1+AN5)*(1+AM5)*(1+AL5)*(1+AK5)*(1+AJ5)*(1+AI5)*(1+AH5)*(1+AG5)*(1+AF5)*(1+AD5)*(1+AC5)*(1+AB5)*(1+AA5)*(1+Z5)*(1+Y5))+(($Y$7+$Y$8)*(1+AO5)*(1+AN5)*(1+AM5)*(1+AL5)*(1+AK5)*(1+AJ5)*(1+AI5)*(1+AH5)*(1+AG5)*(1+AF5)*(1+AE5)*(1+AD5)*(1+AC5)*(1+AB5)*(1+AA5)*(1+Z5))+(($Z$7+$Z$8)*(1+AO5)*(1+AN5)*(1+AM5)*(1+AL5)*(1+AK5)*(1+AJ5)*(1+AI5)*(1+AH5)*(1+AG5)*(1+AF5)*(1+AE5)*(1+AD5)*(1+AC5)*(1+AB5)*(1+AA5))+(($AA$7+$AA$8)*(1+AO5)*(1+AN5)*(1+AM5)*(1+AL5)*(1+AK5)*(1+AJ5)*(1+AI5)*(1+AH5)*(1+AG5)*(1+AF5)*(1+AE5)*(1+AD5)*(1+AC5)*(1+AB5))+(($AB$7+$AB$8)*(1+AO5)*(1+AN5)*(1+AM5)*(1+AL5)*(1+AK5)*(1+AJ5)*(1+AI5)*(1+AH5)*(1+AG5)*(1+AF5)*(1+AE5)*(1+AD5)*(1+AC5))+(($AC$7+$AC$8)*(1+AO5)*(1+AN5)*(1+AM5)*(1+AL5)*(1+AK5)*(1+AJ5)*(1+AI5)*(1+AH5)*(1+AG5)*(1+AF5)*(1+AE5)*(1+AD5))+(($AD$7+$AD$8)*(1+AO5)*(1+AN5)*(1+AM5)*(1+AL5)*(1+AK5)*(1+AJ5)*(1+AI5)*(1+AH5)*(1+AG5)*(1+AF5)*(1+AE5))+(($AE$7+$AE$8)*(1+AO5)*(1+AN5)*(1+AM5)*(1+AL5)*(1+AK5)*(1+AJ5)*(1+AI5)*(1+AH5)*(1+AG5)*(1+AF5))+(($AF$7+$AF$8)*(1+AO5)*(1+AN5)*(1+AM5)*(1+AL5)*(1+AK5)*(1+AJ5)*(1+AI5)*(1+AH5)*(1+AG5))+(($AG$7+$AG$8)*(1+AO5)*(1+AN5)*(1+AM5)*(1+AL5)*(1+AK5)*(1+AJ5)*(1+AI5)*(1+AH5))+(($AH$7+$AH$8)*(1+AO5)*(1+AN5)*(1+AM5)*(1+AL5)*(1+AK5)*(1+AJ5)*(1+AI5))+(($AI$7+$AI$8)*(1+AO5)*(1+AN5)*(1+AM5)*(1+AL5)*(1+AK5)*(1+AJ5))+(($AJ$7+$AJ$8)*(1+AO5)*(1+AN5)*(1+AM5)*(1+AL5)*(1+AK5))+(($AK$7+$AK$8)*(1+AO5)*(1+AN5)*(1+AM5)*(1+AL5))+(($AL$7+$AL$8)*(1+AO5)*(1+AN5)*(1+AM5))+(($AM$7+$AM$8)*(1+AO5)*(1+AN5))+($AN$7+$AN$8)*(1+AO5)+($AO$7+$AO$8))*$N$1</f>
        <v>0</v>
      </c>
      <c r="AQ12" s="24">
        <f>-((($P$7+$P$8)*(1+AP5)*(1+AO5)*(1+AN5)*(1+AM5)*(1+AL5)*(1+AK5)*(1+AJ5)*(1+AI5)*(1+AH5)*(1+AG5)*(1+AF5)*(1+AE5)*(1+AD5)*(1+AC5)*(1+AB5)*(1+AA5)*(1+Z5)*(1+Y5)*(1+X5)*(1+W5)*(1+V5)*(1+U5)*(1+T5)*(1+S5)*(1+R5)*(1+Q5))+(($Q$7+$Q$8)*(1+AP5)*(1+AO5)*(1+AN5)*(1+AM5)*(1+AL5)*(1+AK5)*(1+AJ5)*(1+AI5)*(1+AH5)*(1+AG5)*(1+AF5)*(1+AE5)*(1+AD5)*(1+AC5)*(1+AB5)*(1+AA5)*(1+Z5)*(1+Y5)*(1+X5)*(1+W5)*(1+V5)*(1+U5)*(1+T5)*(1+S5)*(1+R5))+(($R$7+$R$8)*(1+AP5)*(1+AO5)*(1+AN5)*(1+AM5)*(1+AL5)*(1+AK5)*(1+AJ5)*(1+AI5)*(1+AH5)*(1+AG5)*(1+AF5)*(1+AE5)*(1+AD5)*(1+AC5)*(1+AB5)*(1+AA5)*(1+Z5)*(1+Y5)*(1+X5)*(1+W5)*(1+V5)*(1+U5)*(1+T5)*(1+S5))+(($S$7+$S$8)*(1+AP5)*(1+AO5)*(1+AN5)*(1+AM5)*(1+AL5)*(1+AK5)*(1+AJ5)*(1+AI5)*(1+AH5)*(1+AG5)*(1+AF5)*(1+AE5)*(1+AD5)*(1+AC5)*(1+AB5)*(1+AA5)*(1+Z5)*(1+Y5)*(1+X5)*(1+W5)*(1+V5)*(1+U5)*(1+T5))+(($T$7+$T$8)*(1+AP5)*(1+AO5)*(1+AN5)*(1+AM5)*(1+AL5)*(1+AK5)*(1+AJ5)*(1+AI5)*(1+AH5)*(1+AG5)*(1+AF5)*(1+AE5)*(1+AD5)*(1+AC5)*(1+AB5)*(1+AB5)*(1+Z5)*(1+Y5)*(1+X5)*(1+W5)*(1+V5)*(1+U5))+(($U$7+$U$8)*(1+AP5)*(1+AO5)*(1+AN5)*(1+AM5)*(1+AL5)*(1+AK5)*(1+AJ5)*(1+AI5)*(1+AH5)*(1+AG5)*(1+AF5)*(1+AE5)*(1+AD5)*(1+AC5)*(1+AB5)*(1+AA5)*(1+Z5)*(1+Y5)*(1+X5)*(1+W5)*(1+V5))+(($V$7+$V$8)*(1+AP5)*(1+AO5)*(1+AN5)*(1+AM5)*(1+AL5)*(1+AK5)*(1+AJ5)*(1+AI5)*(1+AH5)*(1+AG5)*(1+AF5)*(1+AE5)*(1+AD5)*(1+AC5)*(1+AB5)*(1+AA5)*(1+Z5)*(1+Y5)*(1+X5)*(1+W5))+(($W$7+$W$8)*(1+AP5)*(1+AO5)*(1+AN5)*(1+AM5)*(1+AL5)*(1+AK5)*(1+AJ5)*(1+AI5)*(1+AH5)*(1+AG5)*(1+AF5)*(1+AE5)*(1+AD5)*(1+AC5)*(1+AB5)*(1+AA5)*(1+Z5)*(1+Y5*(1+X5))+(($X$7+$X$8)*(1+AP5)*(1+AO5)*(1+AN5)*(1+AM5)*(1+AL5)*(1+AK5)*(1+AJ5)*(1+AI5)*(1+AH5)*(1+AG5)*(1+AE5)*(1+AD5)*(1+AC5)*(1+AB5)*(1+AA5)*(1+Z5)*(1+Y5))+(($Y$7+$Y$8)*(1+AP5)*(1+AO5)*(1+AN5)*(1+AM5)*(1+AL5)*(1+AK5)*(1+AJ5)*(1+AI5)*(1+AH5)*(1+AG5)*(1+AF5)*(1+AE5)*(1+AD5)*(1+AC5)*(1+AB5)*(1+AA5)*(1+Z5))+(($Z$7+$Z$8)*(1+AP5)*(1+AO5)*(1+AN5)*(1+AM5)*(1+AL5)*(1+AK5)*(1+AJ5)*(1+AI5)*(1+AH5)*(1+AG5)*(1+AF5)*(1+AE5)*(1+AD5)*(1+AC5)*(1+AB5)*(1+AA5))+(($AA$7+$AA$8)*(1+AP5)*(1+AO5)*(1+AN5)*(1+AM5)*(1+AL5)*(1+AK5)*(1+AJ5)*(1+AI5)*(1+AH5)*(1+AG5)*(1+AF5)*(1+AE5)*(1+AD5)*(1+AC5)*(1+AB5))+(($AB$7+$AB$8)*(1+AP5)*(1+AO5)*(1+AN5)*(1+AM5)*(1+AL5)*(1+AK5)*(1+AJ5)*(1+AI5)*(1+AH5)*(1+AG5)*(1+AF5)*(1+AE5)*(1+AD5)*(1+AC5))+(($AC$7+$AC$8)*(1+AP5)*(1+AO5)*(1+AN5)*(1+AM5)*(1+AL5)*(1+AK5)*(1+AJ5)*(1+AI5)*(1+AH5)*(1+AG5)*(1+AF5)*(1+AE5)*(1+AD5))+(($AD$7+$AD$8)*(1+AP5)*(1+AO5)*(1+AN5)*(1+AM5)*(1+AL5)*(1+AK5)*(1+AJ5)*(1+AI5)*(1+AH5)*(1+AG5)*(1+AF5)*(1+AE5))+(($AE$7+$AE$8)*(1+AP5)*(1+AO5)*(1+AN5)*(1+AM5)*(1+AL5)*(1+AK5)*(1+AJ5)*(1+AI5)*(1+AH5)*(1+AG5)*(1+AF5))+(($AF$7+$AF$8)*(1+AP5)*(1+AO5)*(1+AN5)*(1+AM5)*(1+AL5)*(1+AK5)*(1+AJ5)*(1+AI5)*(1+AH5)*(1+AG5))+(($AG$7+$AG$8)*(1+AP5)*(1+AO5)*(1+AN5)*(1+AM5)*(1+AL5)*(1+AK5)*(1+AJ5)*(1+AI5)*(1+AH5))+(($AH$7+$AH$8)*(1+AP5)*(1+AO5)*(1+AN5)*(1+AM5)*(1+AL5)*(1+AK5)*(1+AJ5)*(1+AI5))+(($AI$7+$AI$8)*(1+AP5)*(1+AO5)*(1+AN5)*(1+AM5)*(1+AL5)*(1+AK5)*(1+AJ5))+(($AJ$7+$AJ$8)*(1+AP5)*(1+AO5)*(1+AN5)*(1+AM5)*(1+AL5)*(1+AK5))+(($AK$7+$AK$8)*(1+AP5)*(1+AO5)*(1+AN5)*(1+AM5)*(1+AL5))+(($AL$7+$AL$8)*(1+AP5)*(1+AO5)*(1+AN5)*(1+AM5))+(($AM$7+$AM$8)*(1+AP5)*(1+AO5)*(1+AN5))+(($AN$7+$AN$8)*(1+AP5)*(1+AO5)))+(($AO$7+$AO$8))*((1+AP5))+(AP7+AP8))*$N$1</f>
        <v>0</v>
      </c>
      <c r="AR12" s="24">
        <f>-((($P$7+$P$8)*(1+AQ5)*(1+AP5)*(1+AO5)*(1+AN5)*(1+AM5)*(1+AL5)*(1+AK5)*(1+AJ5)*(1+AI5)*(1+AH5)*(1+AG5)*(1+AF5)*(1+AE5)*(1+AD5)*(1+AC5)*(1+AB5)*(1+AA5)*(1+Z5)*(1+Y5)*(1+X5)*(1+W5)*(1+V5)*(1+U5)*(1+T5)*(1+S5)*(1+R5))+(($Q$7+$Q$8)*(1+AQ5)*(1+AP5)*(1+AO5)*(1+AN5)*(1+AM5)*(1+AL5)*(1+AK5)*(1+AJ5)*(1+AI5)*(1+AH5)*(1+AG5)*(1+AF5)*(1+AE5)*(1+AD5)*(1+AC5)*(1+AB5)*(1+AA5)*(1+Z5)*(1+Y5)*(1+X5)*(1+W5)*(1+V5)*(1+U5)*(1+T5)*(1+S5))+(($R$7+$R$8)*(1+AQ5)*(1+AP5)*(1+AO5)*(1+AN5)*(1+AM5)*(1+AL5)*(1+AK5)*(1+AJ5)*(1+AI5)*(1+AH5)*(1+AG5)*(1+AF5)*(1+AE5)*(1+AD5)*(1+AC5)*(1+AB5)*(1+AA5)*(1+Z5)*(1+Y5)*(1+X5)*(1+W5)*(1+V5)*(1+U5)*(1+T5))+(($S$7+$S$8)*(1+AQ5)*(1+AP5)*(1+AO5)*(1+AN5)*(1+AM5)*(1+AL5)*(1+AK5)*(1+AJ5)*(1+AI5)*(1+AH5)*(1+AG5)*(1+AF5)*(1+AE5)*(1+AD5)*(1+AC5)*(1+AB5)*(1+AA5)*(1+Z5)*(1+Y5)*(1+X5)*(1+W5)*(1+V5)*(1+U5))+(($T$7+$T$8)*(1+AQ5)*(1+AP5)*(1+AO5)*(1+AN5)*(1+AM5)*(1+AL5)*(1+AK5)*(1+AJ5)*(1+AI5)*(1+AH5)*(1+AG5)*(1+AF5)*(1+AE5)*(1+AD5)*(1+AC5)*(1+AC5)*(1+AA5)*(1+Z5)*(1+Y5)*(1+X5)*(1+W5)*(1+V5))+(($U$7+$U$8)*(1+AQ5)*(1+AP5)*(1+AO5)*(1+AN5)*(1+AM5)*(1+AL5)*(1+AK5)*(1+AJ5)*(1+AI5)*(1+AH5)*(1+AG5)*(1+AF5)*(1+AE5)*(1+AD5)*(1+AC5)*(1+AB5)*(1+AA5)*(1+Z5)*(1+Y5)*(1+X5)*(1+W5))+(($V$7+$V$8)*(1+AQ5)*(1+AP5)*(1+AO5)*(1+AN5)*(1+AM5)*(1+AL5)*(1+AK5)*(1+AJ5)*(1+AI5)*(1+AH5)*(1+AG5)*(1+AF5)*(1+AE5)*(1+AD5)*(1+AC5)*(1+AB5)*(1+AA5)*(1+Z5)*(1+Y5)*(1+X5))+(($W$7+$W$8)*(1+AQ5)*(1+AP5)*(1+AO5)*(1+AN5)*(1+AM5)*(1+AL5)*(1+AK5)*(1+AJ5)*(1+AI5)*(1+AH5)*(1+AG5)*(1+AF5)*(1+AE5)*(1+AD5)*(1+AC5)*(1+AB5)*(1+AA5)*(1+Z5*(1+Y5))+(($X$7+$X$8)*(1+AQ5)*(1+AP5)*(1+AO5)*(1+AN5)*(1+AM5)*(1+AL5)*(1+AK5)*(1+AJ5)*(1+AI5)*(1+AH5)*(1+AF5)*(1+AE5)*(1+AD5)*(1+AC5)*(1+AB5)*(1+AA5)*(1+Z5))+(($Y$7+$Y$8)*(1+AQ5)*(1+AP5)*(1+AO5)*(1+AN5)*(1+AM5)*(1+AL5)*(1+AK5)*(1+AJ5)*(1+AI5)*(1+AH5)*(1+AG5)*(1+AF5)*(1+AE5)*(1+AD5)*(1+AC5)*(1+AB5)*(1+AA5))+(($Z$7+$Z$8)*(1+AQ5)*(1+AP5)*(1+AO5)*(1+AN5)*(1+AM5)*(1+AL5)*(1+AK5)*(1+AJ5)*(1+AI5)*(1+AH5)*(1+AG5)*(1+AF5)*(1+AE5)*(1+AD5)*(1+AC5)*(1+AB5))+(($AA$7+$AA$8)*(1+AQ5)*(1+AP5)*(1+AO5)*(1+AN5)*(1+AM5)*(1+AL5)*(1+AK5)*(1+AJ5)*(1+AI5)*(1+AH5)*(1+AG5)*(1+AF5)*(1+AE5)*(1+AD5)*(1+AC5))+(($AB$7+$AB$8)*(1+AQ5)*(1+AP5)*(1+AO5)*(1+AN5)*(1+AM5)*(1+AL5)*(1+AK5)*(1+AJ5)*(1+AI5)*(1+AH5)*(1+AG5)*(1+AF5)*(1+AE5)*(1+AD5))+(($AC$7+$AC$8)*(1+AQ5)*(1+AP5)*(1+AO5)*(1+AN5)*(1+AM5)*(1+AL5)*(1+AK5)*(1+AJ5)*(1+AI5)*(1+AH5)*(1+AG5)*(1+AF5)*(1+AE5))+(($AD$7+$AD$8)*(1+AQ5)*(1+AP5)*(1+AO5)*(1+AN5)*(1+AM5)*(1+AL5)*(1+AK5)*(1+AJ5)*(1+AI5)*(1+AH5)*(1+AG5)*(1+AF5))+(($AE$7+$AE$8)*(1+AQ5)*(1+AP5)*(1+AO5)*(1+AN5)*(1+AM5)*(1+AL5)*(1+AK5)*(1+AJ5)*(1+AI5)*(1+AH5)*(1+AG5))+(($AF$7+$AF$8)*(1+AQ5)*(1+AP5)*(1+AO5)*(1+AN5)*(1+AM5)*(1+AL5)*(1+AK5)*(1+AJ5)*(1+AI5)*(1+AH5))+(($AG$7+$AG$8)*(1+AQ5)*(1+AP5)*(1+AO5)*(1+AN5)*(1+AM5)*(1+AL5)*(1+AK5)*(1+AJ5)*(1+AI5))+(($AH$7+$AH$8)*(1+AQ5)*(1+AP5)*(1+AO5)*(1+AN5)*(1+AM5)*(1+AL5)*(1+AK5)*(1+AJ5))+(($AI$7+$AI$8)*(1+AQ5)*(1+AP5)*(1+AO5)*(1+AN5)*(1+AM5)*(1+AL5)*(1+AK5))+(($AJ$7+$AJ$8)*(1+AQ5)*(1+AP5)*(1+AO5)*(1+AN5)*(1+AM5)*(1+AL5))+(($AK$7+$AK$8)*(1+AQ5)*(1+AP5)*(1+AO5)*(1+AN5)*(1+AM5))+(($AL$7+$AL$8)*(1+AQ5)*(1+AP5)*(1+AO5)*(1+AN5))+(($AM$7+$AM$8)*(1+AQ5)*(1+AP5)*(1+AO5))+(($AN$7+$AN$8)*(1+AQ5)*(1+AP5)))+(($AO$7+$AO$8))*((1+AQ5))+(AQ7+AQ8))*$N$1</f>
        <v>0</v>
      </c>
    </row>
    <row r="13" spans="1:44" ht="15" customHeight="1" x14ac:dyDescent="0.25">
      <c r="A13" s="13" t="s">
        <v>31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M13" t="s">
        <v>32</v>
      </c>
      <c r="P13">
        <v>0</v>
      </c>
      <c r="Q13" s="24">
        <f t="shared" ref="Q13:AR13" si="0">Q12*Q5</f>
        <v>0</v>
      </c>
      <c r="R13" s="24">
        <f t="shared" si="0"/>
        <v>0</v>
      </c>
      <c r="S13" s="24">
        <f t="shared" si="0"/>
        <v>0</v>
      </c>
      <c r="T13" s="24">
        <f t="shared" si="0"/>
        <v>0</v>
      </c>
      <c r="U13" s="24">
        <f t="shared" si="0"/>
        <v>0</v>
      </c>
      <c r="V13" s="24">
        <f t="shared" si="0"/>
        <v>0</v>
      </c>
      <c r="W13" s="24">
        <f t="shared" si="0"/>
        <v>0</v>
      </c>
      <c r="X13" s="24">
        <f t="shared" si="0"/>
        <v>0</v>
      </c>
      <c r="Y13" s="24">
        <f t="shared" si="0"/>
        <v>0</v>
      </c>
      <c r="Z13" s="24">
        <f t="shared" si="0"/>
        <v>0</v>
      </c>
      <c r="AA13" s="24">
        <f t="shared" si="0"/>
        <v>0</v>
      </c>
      <c r="AB13" s="24">
        <f t="shared" si="0"/>
        <v>0</v>
      </c>
      <c r="AC13" s="24">
        <f t="shared" si="0"/>
        <v>0</v>
      </c>
      <c r="AD13" s="24">
        <f t="shared" si="0"/>
        <v>0</v>
      </c>
      <c r="AE13" s="24">
        <f t="shared" si="0"/>
        <v>0</v>
      </c>
      <c r="AF13" s="24">
        <f t="shared" si="0"/>
        <v>0</v>
      </c>
      <c r="AG13" s="24">
        <f t="shared" si="0"/>
        <v>0</v>
      </c>
      <c r="AH13" s="24">
        <f t="shared" si="0"/>
        <v>0</v>
      </c>
      <c r="AI13" s="24">
        <f t="shared" si="0"/>
        <v>0</v>
      </c>
      <c r="AJ13" s="24">
        <f t="shared" si="0"/>
        <v>0</v>
      </c>
      <c r="AK13" s="24">
        <f t="shared" si="0"/>
        <v>0</v>
      </c>
      <c r="AL13" s="24">
        <f t="shared" si="0"/>
        <v>0</v>
      </c>
      <c r="AM13" s="24">
        <f t="shared" si="0"/>
        <v>0</v>
      </c>
      <c r="AN13" s="24">
        <f t="shared" si="0"/>
        <v>0</v>
      </c>
      <c r="AO13" s="24">
        <f t="shared" si="0"/>
        <v>0</v>
      </c>
      <c r="AP13" s="24">
        <f t="shared" si="0"/>
        <v>0</v>
      </c>
      <c r="AQ13" s="24">
        <f t="shared" si="0"/>
        <v>0</v>
      </c>
      <c r="AR13" s="24">
        <f t="shared" si="0"/>
        <v>0</v>
      </c>
    </row>
    <row r="14" spans="1:44" ht="15" customHeight="1" x14ac:dyDescent="0.25">
      <c r="A14" s="13" t="s">
        <v>33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M14" s="39" t="s">
        <v>34</v>
      </c>
      <c r="N14" s="39"/>
      <c r="O14" s="40"/>
      <c r="P14" s="40">
        <f t="shared" ref="P14:AR14" si="1">(P7+P8)-(P9+P10)+P12+P13</f>
        <v>0</v>
      </c>
      <c r="Q14" s="40">
        <f t="shared" si="1"/>
        <v>0</v>
      </c>
      <c r="R14" s="40">
        <f t="shared" si="1"/>
        <v>0</v>
      </c>
      <c r="S14" s="40">
        <f t="shared" si="1"/>
        <v>0</v>
      </c>
      <c r="T14" s="40">
        <f t="shared" si="1"/>
        <v>0</v>
      </c>
      <c r="U14" s="40">
        <f t="shared" si="1"/>
        <v>0</v>
      </c>
      <c r="V14" s="40">
        <f t="shared" si="1"/>
        <v>0</v>
      </c>
      <c r="W14" s="40">
        <f t="shared" si="1"/>
        <v>0</v>
      </c>
      <c r="X14" s="40">
        <f t="shared" si="1"/>
        <v>0</v>
      </c>
      <c r="Y14" s="40">
        <f t="shared" si="1"/>
        <v>0</v>
      </c>
      <c r="Z14" s="40">
        <f t="shared" si="1"/>
        <v>0</v>
      </c>
      <c r="AA14" s="40">
        <f t="shared" si="1"/>
        <v>0</v>
      </c>
      <c r="AB14" s="40">
        <f t="shared" si="1"/>
        <v>0</v>
      </c>
      <c r="AC14" s="40">
        <f t="shared" si="1"/>
        <v>0</v>
      </c>
      <c r="AD14" s="40">
        <f t="shared" si="1"/>
        <v>0</v>
      </c>
      <c r="AE14" s="40">
        <f t="shared" si="1"/>
        <v>-268574.995</v>
      </c>
      <c r="AF14" s="40">
        <f t="shared" si="1"/>
        <v>-311098.4644</v>
      </c>
      <c r="AG14" s="40">
        <f t="shared" si="1"/>
        <v>-371728.56885000004</v>
      </c>
      <c r="AH14" s="40">
        <f t="shared" si="1"/>
        <v>-131218.18054999999</v>
      </c>
      <c r="AI14" s="40">
        <f t="shared" si="1"/>
        <v>-291922.87739999988</v>
      </c>
      <c r="AJ14" s="40">
        <f t="shared" si="1"/>
        <v>-522202.93915000005</v>
      </c>
      <c r="AK14" s="40">
        <f t="shared" si="1"/>
        <v>-239608.53065350003</v>
      </c>
      <c r="AL14" s="40">
        <f t="shared" si="1"/>
        <v>-294706.6875</v>
      </c>
      <c r="AM14" s="40">
        <f t="shared" si="1"/>
        <v>68698.469199999992</v>
      </c>
      <c r="AN14" s="40">
        <f t="shared" si="1"/>
        <v>-66518.873799999914</v>
      </c>
      <c r="AO14" s="40">
        <f t="shared" si="1"/>
        <v>-1018212.2108910854</v>
      </c>
      <c r="AP14" s="40">
        <f t="shared" si="1"/>
        <v>-327882.85153692792</v>
      </c>
      <c r="AQ14" s="40">
        <f t="shared" si="1"/>
        <v>-331353.82598214294</v>
      </c>
      <c r="AR14" s="40">
        <f t="shared" si="1"/>
        <v>2282505.6684391145</v>
      </c>
    </row>
    <row r="15" spans="1:44" ht="15" customHeight="1" x14ac:dyDescent="0.25">
      <c r="A15" s="13" t="s">
        <v>35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</row>
    <row r="16" spans="1:44" ht="15" customHeight="1" x14ac:dyDescent="0.25">
      <c r="A16" s="13" t="s">
        <v>36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M16" s="38" t="s">
        <v>14</v>
      </c>
      <c r="N16" s="10"/>
      <c r="O16" s="10"/>
      <c r="P16" s="10">
        <v>1996</v>
      </c>
      <c r="Q16" s="10">
        <v>1997</v>
      </c>
      <c r="R16" s="10">
        <v>1998</v>
      </c>
      <c r="S16" s="10">
        <v>1999</v>
      </c>
      <c r="T16" s="10">
        <v>2000</v>
      </c>
      <c r="U16" s="10">
        <v>2001</v>
      </c>
      <c r="V16" s="10">
        <v>2002</v>
      </c>
      <c r="W16" s="10">
        <v>2003</v>
      </c>
      <c r="X16" s="10">
        <v>2004</v>
      </c>
      <c r="Y16" s="10">
        <v>2005</v>
      </c>
      <c r="Z16" s="10">
        <v>2006</v>
      </c>
      <c r="AA16" s="10">
        <v>2007</v>
      </c>
      <c r="AB16" s="10">
        <v>2008</v>
      </c>
      <c r="AC16" s="10">
        <v>2009</v>
      </c>
      <c r="AD16" s="10">
        <v>2010</v>
      </c>
      <c r="AE16" s="10">
        <v>2011</v>
      </c>
      <c r="AF16" s="10">
        <v>2012</v>
      </c>
      <c r="AG16" s="10">
        <v>2013</v>
      </c>
      <c r="AH16" s="10">
        <v>2014</v>
      </c>
      <c r="AI16" s="10">
        <v>2015</v>
      </c>
      <c r="AJ16" s="10">
        <v>2016</v>
      </c>
      <c r="AK16" s="10">
        <v>2017</v>
      </c>
      <c r="AL16" s="10">
        <v>2018</v>
      </c>
      <c r="AM16" s="10">
        <v>2019</v>
      </c>
      <c r="AN16" s="10">
        <v>2020</v>
      </c>
      <c r="AO16" s="10">
        <v>2021</v>
      </c>
      <c r="AP16" s="10">
        <v>2022</v>
      </c>
      <c r="AQ16" s="10">
        <v>2023</v>
      </c>
      <c r="AR16" s="10">
        <v>2024</v>
      </c>
    </row>
    <row r="17" spans="1:44" ht="15" customHeight="1" x14ac:dyDescent="0.25">
      <c r="A17" s="13" t="s">
        <v>37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41" t="str">
        <f>+L19</f>
        <v>BBSeguridade ON</v>
      </c>
      <c r="M17" s="2" t="s">
        <v>38</v>
      </c>
      <c r="N17" s="2"/>
      <c r="O17" s="28"/>
      <c r="P17" s="42">
        <f>+C6</f>
        <v>0</v>
      </c>
      <c r="Q17" s="42">
        <f>C7</f>
        <v>0</v>
      </c>
      <c r="R17" s="42">
        <f>C8</f>
        <v>0</v>
      </c>
      <c r="S17" s="42">
        <f>C9</f>
        <v>0</v>
      </c>
      <c r="T17" s="42">
        <f>C10</f>
        <v>0</v>
      </c>
      <c r="U17" s="42">
        <f>C11</f>
        <v>0</v>
      </c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>
        <f>C22</f>
        <v>1240112</v>
      </c>
      <c r="AG17" s="42">
        <f>C23</f>
        <v>2473752</v>
      </c>
      <c r="AH17" s="42">
        <f>C24</f>
        <v>3456683</v>
      </c>
      <c r="AI17" s="42">
        <f>C25</f>
        <v>4207432</v>
      </c>
      <c r="AJ17" s="42">
        <f>C26</f>
        <v>4013852</v>
      </c>
      <c r="AK17" s="42">
        <f>C27</f>
        <v>4049245</v>
      </c>
      <c r="AL17" s="42">
        <f>C28</f>
        <v>3539553</v>
      </c>
      <c r="AM17" s="42">
        <f>C29</f>
        <v>6658781</v>
      </c>
      <c r="AN17" s="42">
        <f>C30</f>
        <v>3850771</v>
      </c>
      <c r="AO17" s="42">
        <f>C31</f>
        <v>3933217</v>
      </c>
      <c r="AP17" s="42">
        <f>C32</f>
        <v>6196415</v>
      </c>
      <c r="AQ17" s="42">
        <f>D32</f>
        <v>4021</v>
      </c>
      <c r="AR17" s="42">
        <f>E32</f>
        <v>47</v>
      </c>
    </row>
    <row r="18" spans="1:44" ht="15" customHeight="1" x14ac:dyDescent="0.25">
      <c r="A18" s="13" t="s">
        <v>39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43" t="str">
        <f>+L19</f>
        <v>BBSeguridade ON</v>
      </c>
      <c r="M18" s="18" t="s">
        <v>40</v>
      </c>
      <c r="N18" s="18"/>
      <c r="O18" s="25"/>
      <c r="P18" s="44">
        <f t="shared" ref="P18:V18" si="2">P14+P17</f>
        <v>0</v>
      </c>
      <c r="Q18" s="44">
        <f t="shared" si="2"/>
        <v>0</v>
      </c>
      <c r="R18" s="44">
        <f t="shared" si="2"/>
        <v>0</v>
      </c>
      <c r="S18" s="44">
        <f t="shared" si="2"/>
        <v>0</v>
      </c>
      <c r="T18" s="44">
        <f t="shared" si="2"/>
        <v>0</v>
      </c>
      <c r="U18" s="44">
        <f t="shared" si="2"/>
        <v>0</v>
      </c>
      <c r="V18" s="44">
        <f t="shared" si="2"/>
        <v>0</v>
      </c>
      <c r="W18" s="44"/>
      <c r="X18" s="44">
        <f t="shared" ref="X18:AR18" si="3">X14+X17</f>
        <v>0</v>
      </c>
      <c r="Y18" s="44">
        <f t="shared" si="3"/>
        <v>0</v>
      </c>
      <c r="Z18" s="44">
        <f t="shared" si="3"/>
        <v>0</v>
      </c>
      <c r="AA18" s="44">
        <f t="shared" si="3"/>
        <v>0</v>
      </c>
      <c r="AB18" s="44">
        <f t="shared" si="3"/>
        <v>0</v>
      </c>
      <c r="AC18" s="44">
        <f t="shared" si="3"/>
        <v>0</v>
      </c>
      <c r="AD18" s="44">
        <f t="shared" si="3"/>
        <v>0</v>
      </c>
      <c r="AE18" s="44">
        <f t="shared" si="3"/>
        <v>-268574.995</v>
      </c>
      <c r="AF18" s="44">
        <f t="shared" si="3"/>
        <v>929013.53560000006</v>
      </c>
      <c r="AG18" s="44">
        <f t="shared" si="3"/>
        <v>2102023.4311500001</v>
      </c>
      <c r="AH18" s="44">
        <f t="shared" si="3"/>
        <v>3325464.8194499998</v>
      </c>
      <c r="AI18" s="44">
        <f t="shared" si="3"/>
        <v>3915509.1226000004</v>
      </c>
      <c r="AJ18" s="44">
        <f t="shared" si="3"/>
        <v>3491649.06085</v>
      </c>
      <c r="AK18" s="44">
        <f t="shared" si="3"/>
        <v>3809636.4693465</v>
      </c>
      <c r="AL18" s="44">
        <f t="shared" si="3"/>
        <v>3244846.3125</v>
      </c>
      <c r="AM18" s="44">
        <f t="shared" si="3"/>
        <v>6727479.4692000002</v>
      </c>
      <c r="AN18" s="44">
        <f t="shared" si="3"/>
        <v>3784252.1262000003</v>
      </c>
      <c r="AO18" s="44">
        <f t="shared" si="3"/>
        <v>2915004.7891089143</v>
      </c>
      <c r="AP18" s="44">
        <f t="shared" si="3"/>
        <v>5868532.1484630723</v>
      </c>
      <c r="AQ18" s="44">
        <f t="shared" si="3"/>
        <v>-327332.82598214294</v>
      </c>
      <c r="AR18" s="44">
        <f t="shared" si="3"/>
        <v>2282552.6684391145</v>
      </c>
    </row>
    <row r="19" spans="1:44" ht="15" customHeight="1" x14ac:dyDescent="0.25">
      <c r="A19" s="13" t="s">
        <v>41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8" t="str">
        <f>+A1</f>
        <v>BBSeguridade ON</v>
      </c>
      <c r="M19" s="18" t="s">
        <v>42</v>
      </c>
      <c r="N19" s="18"/>
      <c r="O19" s="31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>
        <f t="shared" ref="AG19:AR19" si="4">AG18/AG17</f>
        <v>0.84973086677645948</v>
      </c>
      <c r="AH19" s="45">
        <f t="shared" si="4"/>
        <v>0.96203927853667803</v>
      </c>
      <c r="AI19" s="45">
        <f t="shared" si="4"/>
        <v>0.93061732729132651</v>
      </c>
      <c r="AJ19" s="45">
        <f t="shared" si="4"/>
        <v>0.86989980219749008</v>
      </c>
      <c r="AK19" s="45">
        <f t="shared" si="4"/>
        <v>0.94082636870490677</v>
      </c>
      <c r="AL19" s="45">
        <f t="shared" si="4"/>
        <v>0.91673900984107315</v>
      </c>
      <c r="AM19" s="45">
        <f t="shared" si="4"/>
        <v>1.0103169738124742</v>
      </c>
      <c r="AN19" s="45">
        <f t="shared" si="4"/>
        <v>0.98272582976240352</v>
      </c>
      <c r="AO19" s="45">
        <f t="shared" si="4"/>
        <v>0.74112483219433722</v>
      </c>
      <c r="AP19" s="45">
        <f t="shared" si="4"/>
        <v>0.94708507233022199</v>
      </c>
      <c r="AQ19" s="45">
        <f t="shared" si="4"/>
        <v>-81.40582590951081</v>
      </c>
      <c r="AR19" s="45">
        <f t="shared" si="4"/>
        <v>48564.950392321582</v>
      </c>
    </row>
    <row r="20" spans="1:44" ht="15" customHeight="1" x14ac:dyDescent="0.25">
      <c r="A20" s="13" t="s">
        <v>43</v>
      </c>
      <c r="B20" s="16">
        <v>3248163</v>
      </c>
      <c r="C20" s="16">
        <v>1457290</v>
      </c>
      <c r="D20" s="15">
        <v>0</v>
      </c>
      <c r="E20" s="15">
        <v>0</v>
      </c>
      <c r="F20" s="15">
        <v>0</v>
      </c>
      <c r="G20" s="16">
        <v>-252323</v>
      </c>
      <c r="H20" s="15">
        <v>0</v>
      </c>
      <c r="I20" s="15">
        <v>0</v>
      </c>
      <c r="J20" s="15">
        <v>0</v>
      </c>
      <c r="K20" s="15">
        <v>0</v>
      </c>
      <c r="M20" s="2"/>
      <c r="N20" s="1"/>
      <c r="O20" s="1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</row>
    <row r="21" spans="1:44" ht="15" customHeight="1" x14ac:dyDescent="0.25">
      <c r="A21" s="13" t="s">
        <v>44</v>
      </c>
      <c r="B21" s="16">
        <v>5015683</v>
      </c>
      <c r="C21" s="16">
        <v>1629037</v>
      </c>
      <c r="D21" s="15">
        <v>0</v>
      </c>
      <c r="E21" s="15">
        <v>0</v>
      </c>
      <c r="F21" s="15">
        <v>0</v>
      </c>
      <c r="G21" s="16">
        <v>-170779</v>
      </c>
      <c r="H21" s="15">
        <v>0</v>
      </c>
      <c r="I21" s="15">
        <v>0</v>
      </c>
      <c r="J21" s="15">
        <v>0</v>
      </c>
      <c r="K21" s="15">
        <v>0</v>
      </c>
      <c r="M21" s="46" t="s">
        <v>14</v>
      </c>
      <c r="N21" s="2"/>
      <c r="O21" s="2"/>
      <c r="P21" s="2">
        <v>1996</v>
      </c>
      <c r="Q21" s="2">
        <v>1997</v>
      </c>
      <c r="R21" s="2">
        <v>1998</v>
      </c>
      <c r="S21" s="2">
        <v>1999</v>
      </c>
      <c r="T21" s="2">
        <v>2000</v>
      </c>
      <c r="U21" s="2">
        <v>2001</v>
      </c>
      <c r="V21" s="2">
        <v>2002</v>
      </c>
      <c r="W21" s="2">
        <v>2003</v>
      </c>
      <c r="X21" s="2">
        <v>2004</v>
      </c>
      <c r="Y21" s="2">
        <v>2005</v>
      </c>
      <c r="Z21" s="2">
        <v>2006</v>
      </c>
      <c r="AA21" s="2">
        <v>2007</v>
      </c>
      <c r="AB21" s="2">
        <v>2008</v>
      </c>
      <c r="AC21" s="2">
        <v>2009</v>
      </c>
      <c r="AD21" s="2">
        <v>2010</v>
      </c>
      <c r="AE21" s="2">
        <v>2011</v>
      </c>
      <c r="AF21" s="2">
        <v>2012</v>
      </c>
      <c r="AG21" s="2">
        <v>2013</v>
      </c>
      <c r="AH21" s="2">
        <v>2014</v>
      </c>
      <c r="AI21" s="2">
        <v>2015</v>
      </c>
      <c r="AJ21" s="2">
        <v>2016</v>
      </c>
      <c r="AK21" s="2">
        <v>2017</v>
      </c>
      <c r="AL21" s="2">
        <v>2018</v>
      </c>
      <c r="AM21" s="2">
        <v>2019</v>
      </c>
      <c r="AN21" s="2">
        <v>2020</v>
      </c>
      <c r="AO21" s="2">
        <v>2021</v>
      </c>
      <c r="AP21" s="2">
        <v>2022</v>
      </c>
      <c r="AQ21" s="2">
        <v>2023</v>
      </c>
      <c r="AR21" s="2">
        <v>2024</v>
      </c>
    </row>
    <row r="22" spans="1:44" ht="15" customHeight="1" x14ac:dyDescent="0.25">
      <c r="A22" s="13" t="s">
        <v>45</v>
      </c>
      <c r="B22" s="14">
        <v>5638374</v>
      </c>
      <c r="C22" s="16">
        <v>1240112</v>
      </c>
      <c r="D22" s="14">
        <v>0</v>
      </c>
      <c r="E22" s="14">
        <v>0</v>
      </c>
      <c r="F22" s="14">
        <v>5385543</v>
      </c>
      <c r="G22" s="51">
        <v>-369089</v>
      </c>
      <c r="H22" s="15">
        <v>0</v>
      </c>
      <c r="I22" s="14">
        <v>470563.92700000003</v>
      </c>
      <c r="J22" s="15">
        <v>0</v>
      </c>
      <c r="K22" s="15">
        <v>0</v>
      </c>
      <c r="L22" s="47" t="str">
        <f>+L24</f>
        <v>BBSeguridade ON</v>
      </c>
      <c r="M22" s="39" t="s">
        <v>46</v>
      </c>
      <c r="N22" s="32"/>
      <c r="O22" s="32"/>
      <c r="P22" s="30">
        <v>0</v>
      </c>
      <c r="Q22" s="30">
        <v>0</v>
      </c>
      <c r="R22" s="30">
        <v>0</v>
      </c>
      <c r="S22" s="30">
        <v>10502002</v>
      </c>
      <c r="T22" s="30">
        <v>10565590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3248163</v>
      </c>
      <c r="AE22" s="30">
        <v>5015683</v>
      </c>
      <c r="AF22" s="30">
        <v>5638374</v>
      </c>
      <c r="AG22" s="30">
        <v>6941273</v>
      </c>
      <c r="AH22" s="30">
        <v>7923984</v>
      </c>
      <c r="AI22" s="30">
        <v>7580768</v>
      </c>
      <c r="AJ22" s="30">
        <v>8289065</v>
      </c>
      <c r="AK22" s="30">
        <v>8898470</v>
      </c>
      <c r="AL22" s="30">
        <v>6830385</v>
      </c>
      <c r="AM22" s="30">
        <v>5248754</v>
      </c>
      <c r="AN22" s="30">
        <v>6389605</v>
      </c>
      <c r="AO22" s="30">
        <v>7281416</v>
      </c>
      <c r="AP22" s="30">
        <v>7596101</v>
      </c>
      <c r="AQ22" s="30">
        <v>7596101</v>
      </c>
      <c r="AR22" s="30">
        <v>7596101</v>
      </c>
    </row>
    <row r="23" spans="1:44" ht="15" customHeight="1" x14ac:dyDescent="0.25">
      <c r="A23" s="13" t="s">
        <v>47</v>
      </c>
      <c r="B23" s="14">
        <v>6941273</v>
      </c>
      <c r="C23" s="14">
        <v>2473752</v>
      </c>
      <c r="D23" s="14">
        <v>0</v>
      </c>
      <c r="E23" s="14">
        <v>0</v>
      </c>
      <c r="F23" s="14">
        <v>6221050</v>
      </c>
      <c r="G23" s="14">
        <v>-1471640</v>
      </c>
      <c r="H23" s="15">
        <v>0</v>
      </c>
      <c r="I23" s="14">
        <v>2000000</v>
      </c>
      <c r="J23" s="17">
        <v>11.941731750000001</v>
      </c>
      <c r="K23" s="14">
        <v>49000000</v>
      </c>
      <c r="L23" s="47" t="str">
        <f>+L25</f>
        <v>BBSeguridade ON</v>
      </c>
      <c r="M23" s="39" t="s">
        <v>48</v>
      </c>
      <c r="N23" s="32"/>
      <c r="O23" s="32"/>
      <c r="P23" s="30">
        <f>P22+P9+P10+P14</f>
        <v>0</v>
      </c>
      <c r="Q23" s="33">
        <f>Q22+Q9+Q10+Q14+((P9+P10+P14)*(1+Q5))</f>
        <v>0</v>
      </c>
      <c r="R23" s="33">
        <f>R22+R9+R10+R14+((Q9+Q10+Q14)*(1+R5))+(((P9+P10+P14)*(1+R5)*(1+Q5)))</f>
        <v>0</v>
      </c>
      <c r="S23" s="33">
        <f>S22+S9+S10+S14+((R9+R10+R14)*(1+S5))+(((Q9+Q10+Q14)*(1+S5)*(1+R5)))+(((P9+P10+P14)*(1+S5)*(1+R5)*(1+Q5)))</f>
        <v>10502002</v>
      </c>
      <c r="T23" s="33">
        <f>T22+T9+T10+T14+((S9+S10+S14)*(1+T5))+(((R9+R10+R14)*(1+T5)*(1+S5)))+(((Q9+Q10+Q14)*(1+T5)*(1+S5)*(1+R5)))+(((P9+P10+P14)*(1+T5)*(1+S5)*(1+R5)*(1+Q5)))</f>
        <v>10565590</v>
      </c>
      <c r="U23" s="33">
        <f>U22+U9+U10+U14+((T9+T10+T14)*(1+U5))+((S9+S10+S14)*(1+U5)*(1+T5))+((R9+R10+R14)*(1+U5)*(1+T5)*(1+S5))+((Q9+Q10+Q14)*(1+U5)*(1+T5)*(1+S5)*(1+R5))+((P9+P10+P14)*(1+U5)*(1+T5)*(1+S5)*(1+R5)*(1+Q5))</f>
        <v>0</v>
      </c>
      <c r="V23" s="33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0</v>
      </c>
      <c r="W23" s="33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0</v>
      </c>
      <c r="X23" s="33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0</v>
      </c>
      <c r="Y23" s="33">
        <f>Y22+Y9+Y10+Y14+((X9+X10+X14)*(1+Y5))+((W9+W10+W14)*(1+Y5)*(1+X5))+((V9+V10+V14)*(1+Y5)*(1+X5)*(1+W5))+((U9+U10+U14)*(1+Y5)*(1+X5)*(1+W5)*(1+V5))+((T9+T10+T14)*(1+Y5)*(1+X5)*(1+W5)*(1+V5)*(1+U5))+((S9+S10+S14)*(1+Y5)*(1+X5)*(1+W5)*(1+V5)*(1+U5)*(1+T5))+((R9+R10+R14)*(1+Y5)*(1+X5)*(1+W5)*(1+V5)*(1+U5)*(1+T5)*(1+S5))+((Q9+Q10+Q14)*(1+Y5)*(1+X5)*(1+W5)*(1+V5)*(1+U5)*(1+T5)*(1+S5)*(1+R5))+((P9+P10+P14)*(1+Y5)*(1+X5)*(1+W5)*(1+V5)*(1+U5)*(1+T5)*(1+S5)*(1+R5)*(1+Q5))</f>
        <v>0</v>
      </c>
      <c r="Z23" s="33">
        <f>Z22+Z9+Z10+Z14+((Y9+Y10+Y14)*(1+Z5))+((X9+X10+X14)*(1+Z5)*(1+Y5))+((W9+W10+W14)*(1+Z5)*(1+Y5)*(1+X5))+((V9+V10+V14)*(1+Z5)*(1+Y5)*(1+X5)*(1+W5))+((U9+U10+U14)*(1+Z5)*(1+Y5)*(1+X5)*(1+W5)*(1+V5))+((T9+T10+T14)*(1+Z5)*(1+Y5)*(1+X5)*(1+W5)*(1+V5)*(1+U5))+((S9+S10+S14)*(1+Z5)*(1+Y5)*(1+X5)*(1+W5)*(1+V5)*(1+U5)*(1+T5))+((R9+R10+R14)*(1+Z5)*(1+Y5)*(1+X5)*(1+W5)*(1+V5)*(1+U5)*(1+T5)*(1+S5))+((Q9+Q10+Q14)*(1+Z5)*(1+Y5)*(1+X5)*(1+W5)*(1+V5)*(1+U5)*(1+T5)*(1+S5)*(1+R5))+((P9+P10+P14)*(1+Z5)*(1+Y5)*(1+X5)*(1+W5)*(1+V5)*(1+U5)*(1+T5)*(1+S5)*(1+R5)*(1+Q5))</f>
        <v>0</v>
      </c>
      <c r="AA23" s="33">
        <f>AA22+AA9+AA10+AA14+((Z9+Z10+Z14)*(1+AA5))+((Y9+Y10+Y14)*(1+AA5)*(1+Z5))+((X9+X10+X14)*(1+AA5)*(1+Z5)*(1+Y5))+((W9+W10+W14)*(1+AA5)*(1+Z5)*(1+Y5)*(1+X5))+((V9+V10+V14)*(1+AA5)*(1+Z5)*(1+Y5)*(1+X5)*(1+W5))+((U9+U10+U14)*(1+AA5)*(1+Z5)*(1+Y5)*(1+X5)*(1+W5)*(1+V5))+((T9+T10+T14)*(1+AA5)*(1+Z5)*(1+Y5)*(1+X5)*(1+W5)*(1+V5)*(1+U5))+((S9+S10+S14)*(1+AA5)*(1+Z5)*(1+Y5)*(1+X5)*(1+W5)*(1+V5)*(1+U5)*(1+T5))+((R9+R10+R14)*(1+AA5)*(1+Z5)*(1+Y5)*(1+X5)*(1+W5)*(1+V5)*(1+U5)*(1+T5)*(1+S5))+((Q9+Q10+Q14)*(1+AA5)*(1+Z5)*(1+Y5)*(1+X5)*(1+W5)*(1+V5)*(1+U5)*(1+T5)*(1+S5)*(1+R5))+((P9+P10+P14)*(1+AA5)*(1+Z5)*(1+Y5)*(1+X5)*(1+W5)*(1+V5)*(1+U5)*(1+T5)*(1+S5)*(1+R5)*(1+Q5))</f>
        <v>0</v>
      </c>
      <c r="AB23" s="33">
        <f>AB22+AB9+AB10+AB14+((AA9+AA10+AA14)*(1+AB5))+((Z9+Z10+Z14)*(1+AB5)*(1+AA5))+((Y9+Y10+Y14)*(1+AB5)*(1+AA5)*(1+Z5))+((X9+X10+X14)*(1+AB5)*(1+AA5)*(1+Z5)*(1+Y5))+((W9+W10+W14)*(1+AB5)*(1+AA5)*(1+Z5)*(1+Y5)*(1+X5))+((V9+V10+V14)*(1+AB5)*(1+AA5)*(1+Z5)*(1+Y5)*(1+X5)*(1+W5))+((U9+U10+U14)*(1+AB5)*(1+AA5)*(1+Z5)*(1+Y5)*(1+X5)*(1+W5)*(1+V5))+((T9+T10+T14)*(1+AB5)*(1+AA5)*(1+Z5)*(1+Y5)*(1+X5)*(1+W5)*(1+V5)*(1+U5))+((S9+S10+S14)*(1+AB5)*(1+AA5)*(1+Z5)*(1+Y5)*(1+X5)*(1+W5)*(1+V5)*(1+U5)*(1+T5))+((R9+R10+R14)*(1+AB5)*(1+AA5)*(1+Z5)*(1+Y5)*(1+X5)*(1+W5)*(1+V5)*(1+U5)*(1+T5)*(1+S5))+((Q9+Q10+Q14)*(1+AB5)*(1+AA5)*(1+Z5)*(1+Y5)*(1+X5)*(1+W5)*(1+V5)*(1+U5)*(1+T5)*(1+S5)*(1+R5))+((P9+P10+P14)*(1+AB5)*(1+AA5)*(1+Z5)*(1+Y5)*(1+X5)*(1+W5)*(1+V5)*(1+U5)*(1+T5)*(1+S5)*(1+R5)*(1+Q5))</f>
        <v>0</v>
      </c>
      <c r="AC23" s="33">
        <f>AC22+AC9+AC10+AC14+((AB9+AB10+AB14)*(1+AC5))+((AA9+AA10+AA14)*(1+AC5)*(1+AB5))+((Z9+Z10+Z14)*(1+AC5)*(1+AB5)*(1+AA5))+((Y9+Y10+Y14)*(1+AC5)*(1+AB5)*(1+AA5)*(1+Z5))+((X9+X10+X14)*(1+AC5)*(1+AB5)*(1+AA5)*(1+Z5)*(1+Y5))+((W9+W10+W14)*(1+AC5)*(1+AB5)*(1+AA5)*(1+Z5)*(1+Y5)*(1+X5))+((V9+V10+V14)*(1+AC5)*(1+AB5)*(1+AA5)*(1+Z5)*(1+Y5)*(1+X5)*(1+W5))+((U9+U10+U14)*(1+AC5)*(1+AB5)*(1+AA5)*(1+Z5)*(1+Y5)*(1+X5)*(1+W5)*(1+V5))+((T9+T10+T14)*(1+AC5)*(1+AB5)*(1+AA5)*(1+Z5)*(1+Y5)*(1+X5)*(1+W5)*(1+V5)*(1+U5))+((S9+S10+S14)*(1+AC5)*(1+AB5)*(1+AA5)*(1+Z5)*(1+Y5)*(1+X5)*(1+W5)*(1+V5)*(1+U5)*(1+T5))+((R9+R10+R14)*(1+AC5)*(1+AB5)*(1+AA5)*(1+Z5)*(1+Y5)*(1+X5)*(1+W5)*(1+V5)*(1+U5)*(1+T5)*(1+S5))+((Q9+Q10+Q14)*(1+AC5)*(1+AB5)*(1+AA5)*(1+Z5)*(1+Y5)*(1+X5)*(1+W5)*(1+V5)*(1+U5)*(1+T5)*(1+S5)*(1+R5))+((P9+P10+P14)*(1+AC5)*(1+AB5)*(1+AA5)*(1+Z5)*(1+Y5)*(1+X5)*(1+W5)*(1+V5)*(1+U5)*(1+T5)*(1+S5)*(1+R5)*(1+Q5))</f>
        <v>0</v>
      </c>
      <c r="AD23" s="33">
        <f>AD22+AD9+AD10+AD14+((AC9+AC10+AC14)*(1+AD5))+((AB9+AB10+AB14)*(1+AD5)*(1+AC5))+((AA9+AA10+AA14)*(1+AD5)*(1+AC5)*(1+AB5))+((Z9+Z10+Z14)*(1+AD5)*(1+AC5)*(1+AB5)*(1+AA5))+((Y9+Y10+Y14)*(1+AD5)*(1+AC5)*(1+AB5)*(1+AA5)*(1+Z5))+((X9+X10+X14)*(1+AD5)*(1+AC5)*(1+AB5)*(1+AA5)*(1+Z5)*(1+Y5))+((W9+W10+W14)*(1+AD5)*(1+AC5)*(1+AB5)*(1+AA5)*(1+Z5)*(1+Y5)*(1+X5))+((V9+V10+V14)*(1+AD5)*(1+AC5)*(1+AB5)*(1+AA5)*(1+Z5)*(1+Y5)*(1+X5)*(1+W5))+((U9+U10+U14)*(1+AD5)*(1+AC5)*(1+AB5)*(1+AA5)*(1+Z5)*(1+Y5)*(1+X5)*(1+W5)*(1+V5))+((T9+T10+T14)*(1+AD5)*(1+AC5)*(1+AB5)*(1+AA5)*(1+Z5)*(1+Y5)*(1+X5)*(1+W5)*(1+V5)*(1+U5))+((S9+S10+S14)*(1+AD5)*(1+AC5)*(1+AB5)*(1+AA5)*(1+Z5)*(1+Y5)*(1+X5)*(1+W5)*(1+V5)*(1+U5)*(1+T5))+((R9+R10+R14)*(1+AD5)*(1+AC5)*(1+AB5)*(1+AA5)*(1+Z5)*(1+Y5)*(1+X5)*(1+W5)*(1+V5)*(1+U5)*(1+T5)*(1+S5))+((Q9+Q10+Q14)*(1+AD5)*(1+AC5)*(1+AB5)*(1+AA5)*(1+Z5)*(1+Y5)*(1+X5)*(1+W5)*(1+V5)*(1+U5)*(1+T5)*(1+S5)*(1+R5))+((P9+P10+P14)*(1+AD5)*(1+AC5)*(1+AB5)*(1+AA5)*(1+Z5)*(1+Y5)*(1+X5)*(1+W5)*(1+V5)*(1+U5)*(1+T5)*(1+S5)*(1+R5)*(1+Q5))</f>
        <v>3248163</v>
      </c>
      <c r="AE23" s="33">
        <f>AE22+AE9+AE10+AE14+((AD9+AD10+AD14)*(1+AE5))+((AC9+AC10+AC14)*(1+AE5)*(1+AD5))+((AB9+AB10+AB14)*(1+AE5)*(1+AD5)*(1+AC5))+((AA9+AA10+AA14)*(1+AE5)*(1+AD5)*(1+AC5)*(1+AB5))+((Z9+Z10+Z14)*(1+AE5)*(1+AD5)*(1+AC5)*(1+AB5)*(1+AA5))+((Y9+Y10+Y14)*(1+AE5)*(1+AD5)*(1+AC5)*(1+AB5)*(1+AA5)*(1+Z5))+((X9+X10+X14)*(1+AE5)*(1+AD5)*(1+AC5)*(1+AB5)*(1+AA5)*(1+Z5)*(1+Y5))+((W9+W10+W14)*(1+AE5)*(1+AD5)*(1+AC5)*(1+AB5)*(1+AA5)*(1+Z5)*(1+Y5)*(1+X5))+((V9+V10+V14)*(1+AE5)*(1+AD5)*(1+AC5)*(1+AB5)*(1+AA5)*(1+Z5)*(1+Y5)*(1+X5)*(1+W5))+((U9+U10+U14)*(1+AE5)*(1+AD5)*(1+AC5)*(1+AB5)*(1+AA5)*(1+Z5)*(1+Y5)*(1+X5)*(1+W5)*(1+V5))+((T9+T10+T14)*(1+AE5)*(1+AD5)*(1+AC5)*(1+AB5)*(1+AA5)*(1+Z5)*(1+Y5)*(1+X5)*(1+W5)*(1+V5)*(1+U5))+((S9+S10+S14)*(1+AE5)*(1+AD5)*(1+AC5)*(1+AB5)*(1+AA5)*(1+Z5)*(1+Y5)*(1+X5)*(1+W5)*(1+V5)*(1+U5)*(1+T5))+((R9+R10+R14)*(1+AE5)*(1+AD5)*(1+AC5)*(1+AB5)*(1+AA5)*(1+Z5)*(1+Y5)*(1+X5)*(1+W5)*(1+V5)*(1+U5)*(1+T5)*(1+S5))+((Q9+Q10+Q14)*(1+AE5)*(1+AD5)*(1+AC5)*(1+AB5)*(1+AA5)*(1+Z5)*(1+Y5)*(1+X5)*(1+W5)*(1+V5)*(1+U5)*(1+T5)*(1+S5)*(1+R5))+((P9+P10+P14)*(1+AE5)*(1+AD5)*(1+AC5)*(1+AB5)*(1+AA5)*(1+Z5)*(1+Y5)*(1+X5)*(1+W5)*(1+V5)*(1+U5)*(1+T5)*(1+S5)*(1+R5)*(1+Q5))</f>
        <v>5015683</v>
      </c>
      <c r="AF23" s="33">
        <f>AF22+AF9+AF10+AF14+((AE9+AE10+AE14)*(1+AF5))+((AD9+AD10+AD14)*(1+AF5)*(1+AE5))+((AC9+AC10+AC14)*(1+AF5)*(1+AE5)*(1+AD5))+((AB9+AB10+AB14)*(1+AF5)*(1+AE5)*(1+AD5)*(1+AC5))+((AA9+AA10+AA14)*(1+AF5)*(1+AE5)*(1+AD5)*(1+AC5)*(1+AB5))+((Z9+Z10+Z14)*(1+AF5)*(1+AE5)*(1+AD5)*(1+AC5)*(1+AB5)*(1+AA5))+((Y9+Y10+Y14)*(1+AF5)*(1+AE5)*(1+AD5)*(1+AC5)*(1+AB5)*(1+AA5)*(1+Z5))+((X9+X10+X14)*(1+AF5)*(1+AE5)*(1+AD5)*(1+AC5)*(1+AB5)*(1+AA5)*(1+Z5)*(1+Y5))+((W9+W10+W14)*(1+AF5)*(1+AE5)*(1+AD5)*(1+AC5)*(1+AB5)*(1+AA5)*(1+Z5)*(1+Y5)*(1+X5))+((V9+V10+V14)*(1+AF5)*(1+AE5)*(1+AD5)*(1+AC5)*(1+AB5)*(1+AA5)*(1+Z5)*(1+Y5)*(1+X5)*(1+W5))+((U9+U10+U14)*(1+AF5)*(1+AE5)*(1+AD5)*(1+AC5)*(1+AB5)*(1+AA5)*(1+Z5)*(1+Y5)*(1+X5)*(1+W5)*(1+V5))+((T9+T10+T14)*(1+AF5)*(1+AE5)*(1+AD5)*(1+AC5)*(1+AB5)*(1+AA5)*(1+Z5)*(1+Y5)*(1+X5)*(1+W5)*(1+V5)*(1+U5))+((S9+S10+S14)*(1+AF5)*(1+AE5)*(1+AD5)*(1+AC5)*(1+AB5)*(1+AA5)*(1+Z5)*(1+Y5)*(1+X5)*(1+W5)*(1+V5)*(1+U5)*(1+T5))+((R9+R10+R14)*(1+AF5)*(1+AE5)*(1+AD5)*(1+AC5)*(1+AB5)*(1+AA5)*(1+Z5)*(1+Y5)*(1+X5)*(1+W5)*(1+V5)*(1+U5)*(1+T5)*(1+S5))+((Q9+Q10+Q14)*(1+AF5)*(1+AE5)*(1+AD5)*(1+AC5)*(1+AB5)*(1+AA5)*(1+Z5)*(1+Y5)*(1+X5)*(1+W5)*(1+V5)*(1+U5)*(1+T5)*(1+S5)*(1+R5))+((P9+P10+P14)*(1+AF5)*(1+AE5)*(1+AD5)*(1+AC5)*(1+AB5)*(1+AA5)*(1+Z5)*(1+Y5)*(1+X5)*(1+W5)*(1+V5)*(1+U5)*(1+T5)*(1+S5)*(1+R5)*(1+Q5))</f>
        <v>5638374</v>
      </c>
      <c r="AG23" s="33">
        <f>AG22+AG9+AG10+AG14+((AF9+AF10+AF14)*(1+AG5))+((AE9+AE10+AE14)*(1+AG5)*(1+AF5))+((AD9+AD10+AD14)*(1+AG5)*(1+AF5)*(1+AE5))+((AC9+AC10+AC14)*(1+AG5)*(1+AF5)*(1+AE5)*(1+AD5))+((AB9+AB10+AB14)*(1+AG5)*(1+AF5)*(1+AE5)*(1+AD5)*(1+AC5))+((AA9+AA10+AA14)*(1+AG5)*(1+AF5)*(1+AE5)*(1+AD5)*(1+AC5)*(1+AB5))+((Z9+Z10+Z14)*(1+AG5)*(1+AF5)*(1+AE5)*(1+AD5)*(1+AC5)*(1+AB5)*(1+AA5))+((Y9+Y10+Y14)*(1+AG5)*(1+AF5)*(1+AE5)*(1+AD5)*(1+AC5)*(1+AB5)*(1+AA5)*(1+Z5))+((X9+X10+X14)*(1+AG5)*(1+AF5)*(1+AE5)*(1+AD5)*(1+AC5)*(1+AB5)*(1+AA5)*(1+Z5)*(1+Y5))+((W9+W10+W14)*(1+AG5)*(1+AF5)*(1+AE5)*(1+AD5)*(1+AC5)*(1+AB5)*(1+AA5)*(1+Z5)*(1+Y5)*(1+X5))+((V9+V10+V14)*(1+AG5)*(1+AF5)*(1+AE5)*(1+AD5)*(1+AC5)*(1+AB5)*(1+AA5)*(1+Z5)*(1+Y5)*(1+X5)*(1+W5))+((U9+U10+U14)*(1+AG5)*(1+AF5)*(1+AE5)*(1+AD5)*(1+AC5)*(1+AB5)*(1+AA5)*(1+Z5)*(1+Y5)*(1+X5)*(1+W5)*(1+V5))+((T9+T10+T14)*(1+AG5)*(1+AF5)*(1+AE5)*(1+AD5)*(1+AC5)*(1+AB5)*(1+AA5)*(1+Z5)*(1+Y5)*(1+X5)*(1+W5)*(1+V5)*(1+U5))+((S9+S10+S14)*(1+AG5)*(1+AF5)*(1+AE5)*(1+AD5)*(1+AC5)*(1+AB5)*(1+AA5)*(1+Z5)*(1+Y5)*(1+X5)*(1+W5)*(1+V5)*(1+U5)*(1+T5))+((R9+R10+R14)*(1+AG5)*(1+AF5)*(1+AE5)*(1+AD5)*(1+AC5)*(1+AB5)*(1+AA5)*(1+Z5)*(1+Y5)*(1+X5)*(1+W5)*(1+V5)*(1+U5)*(1+T5)*(1+S5))+((Q9+Q10+Q14)*(1+AG5)*(1+AF5)*(1+AE5)*(1+AD5)*(1+AC5)*(1+AB5)*(1+AA5)*(1+Z5)*(1+Y5)*(1+X5)*(1+W5)*(1+V5)*(1+U5)*(1+T5)*(1+S5)*(1+R5))+((P9+P10+P14)*(1+AG5)*(1+AF5)*(1+AE5)*(1+AD5)*(1+AC5)*(1+AB5)*(1+AA5)*(1+Z5)*(1+Y5)*(1+X5)*(1+W5)*(1+V5)*(1+U5)*(1+T5)*(1+S5)*(1+R5)*(1+Q5))</f>
        <v>6941273</v>
      </c>
      <c r="AH23" s="33">
        <f>AH22+AH9+AH10+AH14+((AG9+AG10+AG14)*(1+AH5))+((AF9+AF10+AF14)*(1+AH5)*(1+AG5))+((AE9+AE10+AE14)*(1+AH5)*(1+AG5)*(1+AF5))+((AD9+AD10+AD14)*(1+AH5)*(1+AG5)*(1+AF5)*(1+AE5))+((AC9+AC10+AC14)*(1+AH5)*(1+AG5)*(1+AF5)*(1+AE5)*(1+AD5))+((AB9+AB10+AB14)*(1+AH5)*(1+AG5)*(1+AF5)*(1+AE5)*(1+AD5)*(1+AC5))+((AA9+AA10+AA14)*(1+AH5)*(1+AG5)*(1+AF5)*(1+AE5)*(1+AD5)*(1+AC5)*(1+AB5))+((Z9+Z10+Z14)*(1+AH5)*(1+AG5)*(1+AF5)*(1+AE5)*(1+AD5)*(1+AC5)*(1+AB5)*(1+AA5))+((Y9+Y10+Y14)*(1+AH5)*(1+AG5)*(1+AF5)*(1+AE5)*(1+AD5)*(1+AC5)*(1+AB5)*(1+AA5)*(1+Z5))+((X9+X10+X14)*(1+AH5)*(1+AG5)*(1+AF5)*(1+AE5)*(1+AD5)*(1+AC5)*(1+AB5)*(1+AA5)*(1+Z5)*(1+Y5))+((W9+W10+W14)*(1+AH5)*(1+AG5)*(1+AF5)*(1+AE5)*(1+AD5)*(1+AC5)*(1+AB5)*(1+AA5)*(1+Z5)*(1+Y5)*(1+X5))+((V9+V10+V14)*(1+AH5)*(1+AG5)*(1+AF5)*(1+AE5)*(1+AD5)*(1+AC5)*(1+AB5)*(1+AA5)*(1+Z5)*(1+Y5)*(1+X5)*(1+W5))+((U9+U10+U14)*(1+AH5)*(1+AG5)*(1+AF5)*(1+AE5)*(1+AD5)*(1+AC5)*(1+AB5)*(1+AA5)*(1+Z5)*(1+Y5)*(1+X5)*(1+W5)*(1+V5))+((T9+T10+T14)*(1+AH5)*(1+AG5)*(1+AF5)*(1+AE5)*(1+AD5)*(1+AC5)*(1+AB5)*(1+AA5)*(1+Z5)*(1+Y5)*(1+X5)*(1+W5)*(1+V5)*(1+U5))+((S9+S10+S14)*(1+AH5)*(1+AG5)*(1+AF5)*(1+AE5)*(1+AD5)*(1+AC5)*(1+AB5)*(1+AA5)*(1+Z5)*(1+Y5)*(1+X5)*(1+W5)*(1+V5)*(1+U5)*(1+T5))+((R9+R10+R14)*(1+AH5)*(1+AG5)*(1+AF5)*(1+AE5)*(1+AD5)*(1+AC5)*(1+AB5)*(1+AA5)*(1+Z5)*(1+Y5)*(1+X5)*(1+W5)*(1+V5)*(1+U5)*(1+T5)*(1+S5))+((Q9+Q10+Q14)*(1+AH5)*(1+AG5)*(1+AF5)*(1+AE5)*(1+AD5)*(1+AC5)*(1+AB5)*(1+AA5)*(1+Z5)*(1+Y5)*(1+X5)*(1+W5)*(1+V5)*(1+U5)*(1+T5)*(1+S5)*(1+R5))+((P9+P10+P14)*(1+AH5)*(1+AG5)*(1+AF5)*(1+AE5)*(1+AD5)*(1+AC5)*(1+AB5)*(1+AA5)*(1+Z5)*(1+Y5)*(1+X5)*(1+W5)*(1+V5)*(1+U5)*(1+T5)*(1+S5)*(1+R5)*(1+Q5))</f>
        <v>8269197.3062999994</v>
      </c>
      <c r="AI23" s="33">
        <f>AI22+AI9+AI10+AI14+((AH9+AH10+AH14)*(1+AI5))+((AG9+AG10+AG14)*(1+AI5)*(1+AH5))+((AF9+AF10+AF14)*(1+AI5)*(1+AH5)*(1+AG5))+((AE9+AE10+AE14)*(1+AI5)*(1+AH5)*(1+AG5)*(1+AF5))+((AD9+AD10+AD14)*(1+AI5)*(1+AH5)*(1+AG5)*(1+AF5)*(1+AE5))+((AC9+AC10+AC14)*(1+AI5)*(1+AH5)*(1+AG5)*(1+AF5)*(1+AE5)*(1+AD5))+((AB9+AB10+AB14)*(1+AI5)*(1+AH5)*(1+AG5)*(1+AF5)*(1+AE5)*(1+AD5)*(1+AC5))+((AA9+AA10+AA14)*(1+AI5)*(1+AH5)*(1+AG5)*(1+AF5)*(1+AE5)*(1+AD5)*(1+AC5)*(1+AB5))+((Z9+Z10+Z14)*(1+AI5)*(1+AH5)*(1+AG5)*(1+AF5)*(1+AE5)*(1+AD5)*(1+AC5)*(1+AB5)*(1+AA5))+((Y9+Y10+Y14)*(1+AI5)*(1+AH5)*(1+AG5)*(1+AF5)*(1+AE5)*(1+AD5)*(1+AC5)*(1+AB5)*(1+AA5)*(1+Z5))+((X9+X10+X14)*(1+AI5)*(1+AH5)*(1+AG5)*(1+AF5)*(1+AE5)*(1+AD5)*(1+AC5)*(1+AB5)*(1+AA5)*(1+Z5)*(1+Y5))+((W9+W10+W14)*(1+AI5)*(1+AH5)*(1+AG5)*(1+AF5)*(1+AE5)*(1+AD5)*(1+AC5)*(1+AB5)*(1+AA5)*(1+Z5)*(1+Y5)*(1+X5))+((V9+V10+V14)*(1+AI5)*(1+AH5)*(1+AG5)*(1+AF5)*(1+AE5)*(1+AD5)*(1+AC5)*(1+AB5)*(1+AA5)*(1+Z5)*(1+Y5)*(1+X5)*(1+W5))+((U9+U10+U14)*(1+AI5)*(1+AH5)*(1+AG5)*(1+AF5)*(1+AE5)*(1+AD5)*(1+AC5)*(1+AB5)*(1+AA5)*(1+Z5)*(1+Y5)*(1+X5)*(1+W5)*(1+V5))+((T9+T10+T14)*(1+AI5)*(1+AH5)*(1+AG5)*(1+AF5)*(1+AE5)*(1+AD5)*(1+AC5)*(1+AB5)*(1+AA5)*(1+Z5)*(1+Y5)*(1+X5)*(1+W5)*(1+V5)*(1+U5))+((S9+S10+S14)*(1+AI5)*(1+AH5)*(1+AG5)*(1+AF5)*(1+AE5)*(1+AD5)*(1+AC5)*(1+AB5)*(1+AA5)*(1+Z5)*(1+Y5)*(1+X5)*(1+W5)*(1+V5)*(1+U5)*(1+T5))+((R9+R10+R14)*(1+AI5)*(1+AH5)*(1+AG5)*(1+AF5)*(1+AE5)*(1+AD5)*(1+AC5)*(1+AB5)*(1+AA5)*(1+Z5)*(1+Y5)*(1+X5)*(1+W5)*(1+V5)*(1+U5)*(1+T5)*(1+S5))+((Q9+Q10+Q14)*(1+AI5)*(1+AH5)*(1+AG5)*(1+AF5)*(1+AE5)*(1+AD5)*(1+AC5)*(1+AB5)*(1+AA5)*(1+Z5)*(1+Y5)*(1+X5)*(1+W5)*(1+V5)*(1+U5)*(1+T5)*(1+S5)*(1+R5))+((P9+P10+P14)*(1+AI5)*(1+AH5)*(1+AG5)*(1+AF5)*(1+AE5)*(1+AD5)*(1+AC5)*(1+AB5)*(1+AA5)*(1+Z5)*(1+Y5)*(1+X5)*(1+W5)*(1+V5)*(1+U5)*(1+T5)*(1+S5)*(1+R5)*(1+Q5))</f>
        <v>8534905.4676644206</v>
      </c>
      <c r="AJ23" s="33">
        <f>AJ22+AJ9+AJ10+AJ14+((AI9+AI10+AI14)*(1+AJ5))+((AH9+AH10+AH14)*(1+AJ5)*(1+AI5))+((AG9+AG10+AG14)*(1+AJ5)*(1+AI5)*(1+AH5))+((AF9+AF10+AF14)*(1+AJ5)*(1+AI5)*(1+AH5)*(1+AG5))+((AE9+AE10+AE14)*(1+AJ5)*(1+AI5)*(1+AH5)*(1+AG5)*(1+AF5))+((AD9+AD10+AD14)*(1+AJ5)*(1+AI5)*(1+AH5)*(1+AG5)*(1+AF5)*(1+AE5))+((AC9+AC10+AC14)*(1+AJ5)*(1+AI5)*(1+AH5)*(1+AG5)*(1+AF5)*(1+AE5)*(1+AD5))+((AB9+AB10+AB14)*(1+AJ5)*(1+AI5)*(1+AH5)*(1+AG5)*(1+AF5)*(1+AE5)*(1+AD5)*(1+AC5))+((AA9+AA10+AA14)*(1+AJ5)*(1+AI5)*(1+AH5)*(1+AG5)*(1+AF5)*(1+AE5)*(1+AD5)*(1+AC5)*(1+AB5))+((Z9+Z10+Z14)*(1+AJ5)*(1+AI5)*(1+AH5)*(1+AG5)*(1+AF5)*(1+AE5)*(1+AD5)*(1+AC5)*(1+AB5)*(1+AA5))+((Y9+Y10+Y14)*(1+AJ5)*(1+AI5)*(1+AH5)*(1+AG5)*(1+AF5)*(1+AE5)*(1+AD5)*(1+AC5)*(1+AB5)*(1+AA5)*(1+Z5))+((X9+X10+X14)*(1+AJ5)*(1+AI5)*(1+AH5)*(1+AG5)*(1+AF5)*(1+AE5)*(1+AD5)*(1+AC5)*(1+AB5)*(1+AA5)*(1+Z5)*(1+Y5))+((W9+W10+W14)*(1+AJ5)*(1+AI5)*(1+AH5)*(1+AG5)*(1+AF5)*(1+AE5)*(1+AD5)*(1+AC5)*(1+AB5)*(1+AA5)*(1+Z5)*(1+Y5)*(1+X5))+((V9+V10+V14)*(1+AJ5)*(1+AI5)*(1+AH5)*(1+AG5)*(1+AF5)*(1+AE5)*(1+AD5)*(1+AC5)*(1+AB5)*(1+AA5)*(1+Z5)*(1+Y5)*(1+X5)*(1+W5))+((U9+U10+U14)*(1+AJ5)*(1+AI5)*(1+AH5)*(1+AG5)*(1+AF5)*(1+AE5)*(1+AD5)*(1+AC5)*(1+AB5)*(1+AA5)*(1+Z5)*(1+Y5)*(1+X5)*(1+W5)*(1+V5))+((T9+T10+T14)*(1+AJ5)*(1+AI5)*(1+AH5)*(1+AG5)*(1+AF5)*(1+AE5)*(1+AD5)*(1+AC5)*(1+AB5)*(1+AA5)*(1+Z5)*(1+Y5)*(1+X5)*(1+W5)*(1+V5)*(1+U5))+((S9+S10+S14)*(1+AJ5)*(1+AI5)*(1+AH5)*(1+AG5)*(1+AF5)*(1+AE5)*(1+AD5)*(1+AC5)*(1+AB5)*(1+AA5)*(1+Z5)*(1+Y5)*(1+X5)*(1+W5)*(1+V5)*(1+U5)*(1+T5))+((R9+R10+R14)*(1+AJ5)*(1+AI5)*(1+AH5)*(1+AG5)*(1+AF5)*(1+AE5)*(1+AD5)*(1+AC5)*(1+AB5)*(1+AA5)*(1+Z5)*(1+Y5)*(1+X5)*(1+W5)*(1+V5)*(1+U5)*(1+T5)*(1+S5))+((Q9+Q10+Q14)*(1+AJ5)*(1+AI5)*(1+AH5)*(1+AG5)*(1+AF5)*(1+AE5)*(1+AD5)*(1+AC5)*(1+AB5)*(1+AA5)*(1+Z5)*(1+Y5)*(1+X5)*(1+W5)*(1+V5)*(1+U5)*(1+T5)*(1+S5)*(1+R5))+((P9+P10+P14)*(1+AJ5)*(1+AI5)*(1+AH5)*(1+AG5)*(1+AF5)*(1+AE5)*(1+AD5)*(1+AC5)*(1+AB5)*(1+AA5)*(1+Z5)*(1+Y5)*(1+X5)*(1+W5)*(1+V5)*(1+U5)*(1+T5)*(1+S5)*(1+R5)*(1+Q5))</f>
        <v>9337819.3948563021</v>
      </c>
      <c r="AK23" s="33">
        <f>AK22+AK9+AK10+AK14+((AJ9+AJ10+AJ14)*(1+AK5))+((AI9+AI10+AI14)*(1+AK5)*(1+AJ5))+((AH9+AH10+AH14)*(1+AK5)*(1+AJ5)*(1+AI5))+((AG9+AG10+AG14)*(1+AK5)*(1+AJ5)*(1+AI5)*(1+AH5))+((AF9+AF10+AF14)*(1+AK5)*(1+AJ5)*(1+AI5)*(1+AH5)*(1+AG5))+((AE9+AE10+AE14)*(1+AK5)*(1+AJ5)*(1+AI5)*(1+AH5)*(1+AG5)*(1+AF5))+((AD9+AD10+AD14)*(1+AK5)*(1+AJ5)*(1+AI5)*(1+AH5)*(1+AG5)*(1+AF5)*(1+AE5))+((AC9+AC10+AC14)*(1+AK5)*(1+AJ5)*(1+AI5)*(1+AH5)*(1+AG5)*(1+AF5)*(1+AE5)*(1+AD5))+((AB9+AB10+AB14)*(1+AK5)*(1+AJ5)*(1+AI5)*(1+AH5)*(1+AG5)*(1+AF5)*(1+AE5)*(1+AD5)*(1+AC5))+((AA9+AA10+AA14)*(1+AK5)*(1+AJ5)*(1+AI5)*(1+AH5)*(1+AG5)*(1+AF5)*(1+AE5)*(1+AD5)*(1+AC5)*(1+AB5))+((Z9+Z10+Z14)*(1+AK5)*(1+AJ5)*(1+AI5)*(1+AH5)*(1+AG5)*(1+AF5)*(1+AE5)*(1+AD5)*(1+AC5)*(1+AB5)*(1+AA5))+((Y9+Y10+Y14)*(1+AK5)*(1+AJ5)*(1+AI5)*(1+AH5)*(1+AG5)*(1+AF5)*(1+AE5)*(1+AD5)*(1+AC5)*(1+AB5)*(1+AA5)*(1+Z5))+((X9+X10+X14)*(1+AK5)*(1+AJ5)*(1+AI5)*(1+AH5)*(1+AG5)*(1+AF5)*(1+AE5)*(1+AD5)*(1+AC5)*(1+AB5)*(1+AA5)*(1+Z5)*(1+Y5))+((W9+W10+W14)*(1+AK5)*(1+AJ5)*(1+AI5)*(1+AH5)*(1+AG5)*(1+AF5)*(1+AE5)*(1+AD5)*(1+AC5)*(1+AB5)*(1+AA5)*(1+Z5)*(1+Y5)*(1+X5))+((V9+V10+V14)*(1+AK5)*(1+AJ5)*(1+AI5)*(1+AH5)*(1+AG5)*(1+AF5)*(1+AE5)*(1+AD5)*(1+AC5)*(1+AB5)*(1+AA5)*(1+Z5)*(1+Y5)*(1+X5)*(1+W5))+((U9+U10+U14)*(1+AK5)*(1+AJ5)*(1+AI5)*(1+AH5)*(1+AG5)*(1+AF5)*(1+AE5)*(1+AD5)*(1+AC5)*(1+AB5)*(1+AA5)*(1+Z5)*(1+Y5)*(1+X5)*(1+W5)*(1+V5))+((T9+T10+T14)*(1+AK5)*(1+AJ5)*(1+AI5)*(1+AH5)*(1+AG5)*(1+AF5)*(1+AE5)*(1+AD5)*(1+AC5)*(1+AB5)*(1+AA5)*(1+Z5)*(1+Y5)*(1+X5)*(1+W5)*(1+V5)*(1+U5))+((S9+S10+S14)*(1+AK5)*(1+AJ5)*(1+AI5)*(1+AH5)*(1+AG5)*(1+AF5)*(1+AE5)*(1+AD5)*(1+AC5)*(1+AB5)*(1+AA5)*(1+Z5)*(1+Y5)*(1+X5)*(1+W5)*(1+V5)*(1+U5)*(1+T5))+((R9+R10+R14)*(1+AK5)*(1+AJ5)*(1+AI5)*(1+AH5)*(1+AG5)*(1+AF5)*(1+AE5)*(1+AD5)*(1+AC5)*(1+AB5)*(1+AA5)*(1+Z5)*(1+Y5)*(1+X5)*(1+W5)*(1+V5)*(1+U5)*(1+T5)*(1+S5))+((Q9+Q10+Q14)*(1+AK5)*(1+AJ5)*(1+AI5)*(1+AH5)*(1+AG5)*(1+AF5)*(1+AE5)*(1+AD5)*(1+AC5)*(1+AB5)*(1+AA5)*(1+Z5)*(1+Y5)*(1+X5)*(1+W5)*(1+V5)*(1+U5)*(1+T5)*(1+S5)*(1+R5))+((P9+P10+P14)*(1+AK5)*(1+AJ5)*(1+AI5)*(1+AH5)*(1+AG5)*(1+AF5)*(1+AE5)*(1+AD5)*(1+AC5)*(1+AB5)*(1+AA5)*(1+Z5)*(1+Y5)*(1+X5)*(1+W5)*(1+V5)*(1+U5)*(1+T5)*(1+S5)*(1+R5)*(1+Q5))</f>
        <v>10020151.454307625</v>
      </c>
      <c r="AL23" s="33">
        <f>AL22+AL9+AL10+AL14+((AK9+AK10+AK14)*(1+AL5))+((AJ9+AJ10+AJ14)*(1+AL5)*(1+AK5))+((AI9+AI10+AI14)*(1+AL5)*(1+AK5)*(1+AJ5))+((AH9+AH10+AH14)*(1+AL5)*(1+AK5)*(1+AJ5)*(1+AI5))+((AG9+AG10+AG14)*(1+AL5)*(1+AK5)*(1+AJ5)*(1+AI5)*(1+AH5))+((AF9+AF10+AF14)*(1+AL5)*(1+AK5)*(1+AJ5)*(1+AI5)*(1+AH5)*(1+AG5))+((AE9+AE10+AE14)*(1+AL5)*(1+AK5)*(1+AJ5)*(1+AI5)*(1+AH5)*(1+AG5)*(1+AF5))+((AD9+AD10+AD14)*(1+AL5)*(1+AK5)*(1+AJ5)*(1+AI5)*(1+AH5)*(1+AG5)*(1+AF5)*(1+AE5))+((AC9+AC10+AC14)*(1+AL5)*(1+AK5)*(1+AJ5)*(1+AI5)*(1+AH5)*(1+AG5)*(1+AF5)*(1+AE5)*(1+AD5))+((AB9+AB10+AB14)*(1+AL5)*(1+AK5)*(1+AJ5)*(1+AI5)*(1+AH5)*(1+AG5)*(1+AF5)*(1+AE5)*(1+AD5)*(1+AC5))+((AA9+AA10+AA14)*(1+AL5)*(1+AK5)*(1+AJ5)*(1+AI5)*(1+AH5)*(1+AG5)*(1+AF5)*(1+AE5)*(1+AD5)*(1+AC5)*(1+AB5))+((Z9+Z10+Z14)*(1+AL5)*(1+AK5)*(1+AJ5)*(1+AI5)*(1+AH5)*(1+AG5)*(1+AF5)*(1+AE5)*(1+AD5)*(1+AC5)*(1+AB5)*(1+AA5))+((Y9+Y10+Y14)*(1+AL5)*(1+AK5)*(1+AJ5)*(1+AI5)*(1+AH5)*(1+AG5)*(1+AF5)*(1+AE5)*(1+AD5)*(1+AC5)*(1+AB5)*(1+AA5)*(1+Z5))+((X9+X10+X14)*(1+AL5)*(1+AK5)*(1+AJ5)*(1+AI5)*(1+AH5)*(1+AG5)*(1+AF5)*(1+AE5)*(1+AD5)*(1+AC5)*(1+AB5)*(1+AA5)*(1+Z5)*(1+Y5))+((W9+W10+W14)*(1+AL5)*(1+AK5)*(1+AJ5)*(1+AI5)*(1+AH5)*(1+AG5)*(1+AF5)*(1+AE5)*(1+AD5)*(1+AC5)*(1+AB5)*(1+AA5)*(1+Z5)*(1+Y5)*(1+X5))+((V9+V10+V14)*(1+AL5)*(1+AK5)*(1+AJ5)*(1+AI5)*(1+AH5)*(1+AG5)*(1+AF5)*(1+AE5)*(1+AD5)*(1+AC5)*(1+AB5)*(1+AA5)*(1+Z5)*(1+Y5)*(1+X5)*(1+W5))+((U9+U10+U14)*(1+AL5)*(1+AK5)*(1+AJ5)*(1+AI5)*(1+AH5)*(1+AG5)*(1+AF5)*(1+AE5)*(1+AD5)*(1+AC5)*(1+AB5)*(1+AA5)*(1+Z5)*(1+Y5)*(1+X5)*(1+W5)*(1+V5))+((T9+T10+T14)*(1+AL5)*(1+AK5)*(1+AJ5)*(1+AI5)*(1+AH5)*(1+AG5)*(1+AF5)*(1+AE5)*(1+AD5)*(1+AC5)*(1+AB5)*(1+AA5)*(1+Z5)*(1+Y5)*(1+X5)*(1+W5)*(1+V5)*(1+U5))+((S9+S10+S14)*(1+AL5)*(1+AK5)*(1+AJ5)*(1+AI5)*(1+AH5)*(1+AG5)*(1+AF5)*(1+AE5)*(1+AD5)*(1+AC5)*(1+AB5)*(1+AA5)*(1+Z5)*(1+Y5)*(1+X5)*(1+W5)*(1+V5)*(1+U5)*(1+T5))+((R9+R10+R14)*(1+AL5)*(1+AK5)*(1+AJ5)*(1+AI5)*(1+AH5)*(1+AG5)*(1+AF5)*(1+AE5)*(1+AD5)*(1+AC5)*(1+AB5)*(1+AA5)*(1+Z5)*(1+Y5)*(1+X5)*(1+W5)*(1+V5)*(1+U5)*(1+T5)*(1+S5))+((Q9+Q10+Q14)*(1+AL5)*(1+AK5)*(1+AJ5)*(1+AI5)*(1+AH5)*(1+AG5)*(1+AF5)*(1+AE5)*(1+AD5)*(1+AC5)*(1+AB5)*(1+AA5)*(1+Z5)*(1+Y5)*(1+X5)*(1+W5)*(1+V5)*(1+U5)*(1+T5)*(1+S5)*(1+R5))+((P9+P10+P14)*(1+AL5)*(1+AK5)*(1+AJ5)*(1+AI5)*(1+AH5)*(1+AG5)*(1+AF5)*(1+AE5)*(1+AD5)*(1+AC5)*(1+AB5)*(1+AA5)*(1+Z5)*(1+Y5)*(1+X5)*(1+W5)*(1+V5)*(1+U5)*(1+T5)*(1+S5)*(1+R5)*(1+Q5))</f>
        <v>8031609.8660877002</v>
      </c>
      <c r="AM23" s="33">
        <f>AM22+AM9+AM10+AM14+((AL9+AL10+AL14)*(1+AM5))+((AK9+AK10+AK14)*(1+AM5)*(1+AL5))+((AJ9+AJ10+AJ14)*(1+AM5)*(1+AL5)*(1+AK5))+((AI9+AI10+AI14)*(1+AM5)*(1+AL5)*(1+AK5)*(1+AJ5))+((AH9+AH10+AH14)*(1+AM5)*(1+AL5)*(1+AK5)*(1+AJ5)*(1+AI5))+((AG9+AG10+AG14)*(1+AM5)*(1+AL5)*(1+AK5)*(1+AJ5)*(1+AI5)*(1+AH5))+((AF9+AF10+AF14)*(1+AM5)*(1+AL5)*(1+AK5)*(1+AJ5)*(1+AI5)*(1+AH5)*(1+AG5))+((AE9+AE10+AE14)*(1+AM5)*(1+AL5)*(1+AK5)*(1+AJ5)*(1+AI5)*(1+AH5)*(1+AG5)*(1+AF5))+((AD9+AD10+AD14)*(1+AM5)*(1+AL5)*(1+AK5)*(1+AJ5)*(1+AI5)*(1+AH5)*(1+AG5)*(1+AF5)*(1+AE5))+((AC9+AC10+AC14)*(1+AM5)*(1+AL5)*(1+AK5)*(1+AJ5)*(1+AI5)*(1+AH5)*(1+AG5)*(1+AF5)*(1+AE5)*(1+AD5))+((AB9+AB10+AB14)*(1+AM5)*(1+AL5)*(1+AK5)*(1+AJ5)*(1+AI5)*(1+AH5)*(1+AG5)*(1+AF5)*(1+AE5)*(1+AD5)*(1+AC5))+((AA9+AA10+AA14)*(1+AM5)*(1+AL5)*(1+AK5)*(1+AJ5)*(1+AI5)*(1+AH5)*(1+AG5)*(1+AF5)*(1+AE5)*(1+AD5)*(1+AC5)*(1+AB5))+((Z9+Z10+Z14)*(1+AM5)*(1+AL5)*(1+AK5)*(1+AJ5)*(1+AI5)*(1+AH5)*(1+AG5)*(1+AF5)*(1+AE5)*(1+AD5)*(1+AC5)*(1+AB5)*(1+AA5))+((Y9+Y10+Y14)*(1+AM5)*(1+AL5)*(1+AK5)*(1+AJ5)*(1+AI5)*(1+AH5)*(1+AG5)*(1+AF5)*(1+AE5)*(1+AD5)*(1+AC5)*(1+AB5)*(1+AA5)*(1+Z5))+((X9+X10+X14)*(1+AM5)*(1+AL5)*(1+AK5)*(1+AJ5)*(1+AI5)*(1+AH5)*(1+AG5)*(1+AF5)*(1+AE5)*(1+AD5)*(1+AC5)*(1+AB5)*(1+AA5)*(1+Z5)*(1+Y5))+((W9+W10+W14)*(1+AM5)*(1+AL5)*(1+AK5)*(1+AJ5)*(1+AI5)*(1+AH5)*(1+AG5)*(1+AF5)*(1+AE5)*(1+AD5)*(1+AC5)*(1+AB5)*(1+AA5)*(1+Z5)*(1+Y5)*(1+X5))+((V9+V10+V14)*(1+AM5)*(1+AL5)*(1+AK5)*(1+AJ5)*(1+AI5)*(1+AH5)*(1+AG5)*(1+AF5)*(1+AE5)*(1+AD5)*(1+AC5)*(1+AB5)*(1+AA5)*(1+Z5)*(1+Y5)*(1+X5)*(1+W5))+((U9+U10+U14)*(1+AM5)*(1+AL5)*(1+AK5)*(1+AJ5)*(1+AI5)*(1+AH5)*(1+AG5)*(1+AF5)*(1+AE5)*(1+AD5)*(1+AC5)*(1+AB5)*(1+AA5)*(1+Z5)*(1+Y5)*(1+X5)*(1+W5)*(1+V5))+((T9+T10+T14)*(1+AM5)*(1+AL5)*(1+AK5)*(1+AJ5)*(1+AI5)*(1+AH5)*(1+AG5)*(1+AF5)*(1+AE5)*(1+AD5)*(1+AC5)*(1+AB5)*(1+AA5)*(1+Z5)*(1+Y5)*(1+X5)*(1+W5)*(1+V5)*(1+U5))+((S9+S10+S14)*(1+AM5)*(1+AL5)*(1+AK5)*(1+AJ5)*(1+AI5)*(1+AH5)*(1+AG5)*(1+AF5)*(1+AE5)*(1+AD5)*(1+AC5)*(1+AB5)*(1+AA5)*(1+Z5)*(1+Y5)*(1+X5)*(1+W5)*(1+V5)*(1+U5)*(1+T5))+((R9+R10+R14)*(1+AM5)*(1+AL5)*(1+AK5)*(1+AJ5)*(1+AI5)*(1+AH5)*(1+AG5)*(1+AF5)*(1+AE5)*(1+AD5)*(1+AC5)*(1+AB5)*(1+AA5)*(1+Z5)*(1+Y5)*(1+X5)*(1+W5)*(1+V5)*(1+U5)*(1+T5)*(1+S5))+((Q9+Q10+Q14)*(1+AM5)*(1+AL5)*(1+AK5)*(1+AJ5)*(1+AI5)*(1+AH5)*(1+AG5)*(1+AF5)*(1+AE5)*(1+AD5)*(1+AC5)*(1+AB5)*(1+AA5)*(1+Z5)*(1+Y5)*(1+X5)*(1+W5)*(1+V5)*(1+U5)*(1+T5)*(1+S5)*(1+R5))+((P9+P10+P14)*(1+AM5)*(1+AL5)*(1+AK5)*(1+AJ5)*(1+AI5)*(1+AH5)*(1+AG5)*(1+AF5)*(1+AE5)*(1+AD5)*(1+AC5)*(1+AB5)*(1+AA5)*(1+Z5)*(1+Y5)*(1+X5)*(1+W5)*(1+V5)*(1+U5)*(1+T5)*(1+S5)*(1+R5)*(1+Q5))</f>
        <v>6875207.7940385211</v>
      </c>
      <c r="AN23" s="33">
        <f>AN22+AN9+AN10+AN14+((AM9+AM10+AM14)*(1+AN5))+((AL9+AL10+AL14)*(1+AN5)*(1+AM5))+((AK9+AK10+AK14)*(1+AN5)*(1+AM5)*(1+AL5))+((AJ9+AJ10+AJ14)*(1+AN5)*(1+AM5)*(1+AL5)*(1+AK5))+((AI9+AI10+AI14)*(1+AN5)*(1+AM5)*(1+AL5)*(1+AK5)*(1+AJ5))+((AH9+AH10+AH14)*(1+AN5)*(1+AM5)*(1+AL5)*(1+AK5)*(1+AJ5)*(1+AI5))+((AG9+AG10+AG14)*(1+AN5)*(1+AM5)*(1+AL5)*(1+AK5)*(1+AJ5)*(1+AI5)*(1+AH5))+((AF9+AF10+AF14)*(1+AN5)*(1+AM5)*(1+AL5)*(1+AK5)*(1+AJ5)*(1+AI5)*(1+AH5)*(1+AG5))+((AE9+AE10+AE14)*(1+AN5)*(1+AM5)*(1+AL5)*(1+AK5)*(1+AJ5)*(1+AI5)*(1+AH5)*(1+AG5)*(1+AF5))+((AD9+AD10+AD14)*(1+AN5)*(1+AM5)*(1+AL5)*(1+AK5)*(1+AJ5)*(1+AI5)*(1+AH5)*(1+AG5)*(1+AF5)*(1+AE5))+((AC9+AC10+AC14)*(1+AN5)*(1+AM5)*(1+AL5)*(1+AK5)*(1+AJ5)*(1+AI5)*(1+AH5)*(1+AG5)*(1+AF5)*(1+AE5)*(1+AD5))+((AB9+AB10+AB14)*(1+AN5)*(1+AM5)*(1+AL5)*(1+AK5)*(1+AJ5)*(1+AI5)*(1+AH5)*(1+AG5)*(1+AF5)*(1+AE5)*(1+AD5)*(1+AC5))+((AA9+AA10+AA14)*(1+AN5)*(1+AM5)*(1+AL5)*(1+AK5)*(1+AJ5)*(1+AI5)*(1+AH5)*(1+AG5)*(1+AF5)*(1+AE5)*(1+AD5)*(1+AC5)*(1+AB5))+((Z9+Z10+Z14)*(1+AN5)*(1+AM5)*(1+AL5)*(1+AK5)*(1+AJ5)*(1+AI5)*(1+AH5)*(1+AG5)*(1+AF5)*(1+AE5)*(1+AD5)*(1+AC5)*(1+AB5)*(1+AA5))+((Y9+Y10+Y14)*(1+AN5)*(1+AM5)*(1+AL5)*(1+AK5)*(1+AJ5)*(1+AI5)*(1+AH5)*(1+AG5)*(1+AF5)*(1+AE5)*(1+AD5)*(1+AC5)*(1+AB5)*(1+AA5)*(1+Z5))+((X9+X10+X14)*(1+AN5)*(1+AM5)*(1+AL5)*(1+AK5)*(1+AJ5)*(1+AI5)*(1+AH5)*(1+AG5)*(1+AF5)*(1+AE5)*(1+AD5)*(1+AC5)*(1+AB5)*(1+AA5)*(1+Z5)*(1+Y5))+((W9+W10+W14)*(1+AN5)*(1+AM5)*(1+AL5)*(1+AK5)*(1+AJ5)*(1+AI5)*(1+AH5)*(1+AG5)*(1+AF5)*(1+AE5)*(1+AD5)*(1+AC5)*(1+AB5)*(1+AA5)*(1+Z5)*(1+Y5)*(1+X5))+((V9+V10+V14)*(1+AN5)*(1+AM5)*(1+AL5)*(1+AK5)*(1+AJ5)*(1+AI5)*(1+AH5)*(1+AG5)*(1+AF5)*(1+AE5)*(1+AD5)*(1+AC5)*(1+AB5)*(1+AA5)*(1+Z5)*(1+Y5)*(1+X5)*(1+W5))+((U9+U10+U14)*(1+AN5)*(1+AM5)*(1+AL5)*(1+AK5)*(1+AJ5)*(1+AI5)*(1+AH5)*(1+AG5)*(1+AF5)*(1+AE5)*(1+AD5)*(1+AC5)*(1+AB5)*(1+AA5)*(1+Z5)*(1+Y5)*(1+X5)*(1+W5)*(1+V5))+((T9+T10+T14)*(1+AN5)*(1+AM5)*(1+AL5)*(1+AK5)*(1+AJ5)*(1+AI5)*(1+AH5)*(1+AG5)*(1+AF5)*(1+AE5)*(1+AD5)*(1+AC5)*(1+AB5)*(1+AA5)*(1+Z5)*(1+Y5)*(1+X5)*(1+W5)*(1+V5)*(1+U5))+((S9+S10+S14)*(1+AN5)*(1+AM5)*(1+AL5)*(1+AK5)*(1+AJ5)*(1+AI5)*(1+AH5)*(1+AG5)*(1+AF5)*(1+AE5)*(1+AD5)*(1+AC5)*(1+AB5)*(1+AA5)*(1+Z5)*(1+Y5)*(1+X5)*(1+W5)*(1+V5)*(1+U5)*(1+T5))+((R9+R10+R14)*(1+AN5)*(1+AM5)*(1+AL5)*(1+AK5)*(1+AJ5)*(1+AI5)*(1+AH5)*(1+AG5)*(1+AF5)*(1+AE5)*(1+AD5)*(1+AC5)*(1+AB5)*(1+AA5)*(1+Z5)*(1+Y5)*(1+X5)*(1+W5)*(1+V5)*(1+U5)*(1+T5)*(1+S5))+((Q9+Q10+Q14)*(1+AN5)*(1+AM5)*(1+AL5)*(1+AK5)*(1+AJ5)*(1+AI5)*(1+AH5)*(1+AG5)*(1+AF5)*(1+AE5)*(1+AD5)*(1+AC5)*(1+AB5)*(1+AA5)*(1+Z5)*(1+Y5)*(1+X5)*(1+W5)*(1+V5)*(1+U5)*(1+T5)*(1+S5)*(1+R5))+((P9+P10+P14)*(1+AN5)*(1+AM5)*(1+AL5)*(1+AK5)*(1+AJ5)*(1+AI5)*(1+AH5)*(1+AG5)*(1+AF5)*(1+AE5)*(1+AD5)*(1+AC5)*(1+AB5)*(1+AA5)*(1+Z5)*(1+Y5)*(1+X5)*(1+W5)*(1+V5)*(1+U5)*(1+T5)*(1+S5)*(1+R5)*(1+Q5))</f>
        <v>8349580.8695646012</v>
      </c>
      <c r="AO23" s="33">
        <f>AO22+AO9+AO10+AO14+((AN9+AN10+AN14)*(1+AO5))+((AM9+AM10+AM14)*(1+AO5)*(1+AN5))+((AL9+AL10+AL14)*(1+AO5)*(1+AN5)*(1+AM5))+((AK9+AK10+AK14)*(1+AO5)*(1+AN5)*(1+AM5)*(1+AL5))+((AJ9+AJ10+AJ14)*(1+AO5)*(1+AN5)*(1+AM5)*(1+AL5)*(1+AK5))+((AI9+AI10+AI14)*(1+AO5)*(1+AN5)*(1+AM5)*(1+AL5)*(1+AK5)*(1+AJ5))+((AH9+AH10+AH14)*(1+AO5)*(1+AN5)*(1+AM5)*(1+AL5)*(1+AK5)*(1+AJ5)*(1+AI5))+((AG9+AG10+AG14)*(1+AO5)*(1+AN5)*(1+AM5)*(1+AL5)*(1+AK5)*(1+AJ5)*(1+AI5)*(1+AH5))+((AF9+AF10+AF14)*(1+AO5)*(1+AN5)*(1+AM5)*(1+AL5)*(1+AK5)*(1+AJ5)*(1+AI5)*(1+AH5)*(1+AG5))+((AE9+AE10+AE14)*(1+AO5)*(1+AN5)*(1+AM5)*(1+AL5)*(1+AK5)*(1+AJ5)*(1+AI5)*(1+AH5)*(1+AG5)*(1+AF5))+((AD9+AD10+AD14)*(1+AO5)*(1+AN5)*(1+AM5)*(1+AL5)*(1+AK5)*(1+AJ5)*(1+AI5)*(1+AH5)*(1+AG5)*(1+AF5)*(1+AE5))+((AC9+AC10+AC14)*(1+AO5)*(1+AN5)*(1+AM5)*(1+AL5)*(1+AK5)*(1+AJ5)*(1+AI5)*(1+AH5)*(1+AG5)*(1+AF5)*(1+AE5)*(1+AD5))+((AB9+AB10+AB14)*(1+AO5)*(1+AN5)*(1+AM5)*(1+AL5)*(1+AK5)*(1+AJ5)*(1+AI5)*(1+AH5)*(1+AG5)*(1+AF5)*(1+AE5)*(1+AD5)*(1+AC5))+((AA9+AA10+AA14)*(1+AO5)*(1+AN5)*(1+AM5)*(1+AL5)*(1+AK5)*(1+AJ5)*(1+AI5)*(1+AH5)*(1+AG5)*(1+AF5)*(1+AE5)*(1+AD5)*(1+AC5)*(1+AB5))+((Z9+Z10+Z14)*(1+AO5)*(1+AN5)*(1+AM5)*(1+AL5)*(1+AK5)*(1+AJ5)*(1+AI5)*(1+AH5)*(1+AG5)*(1+AF5)*(1+AE5)*(1+AD5)*(1+AC5)*(1+AB5)*(1+AA5))+((Y9+Y10+Y14)*(1+AO5)*(1+AN5)*(1+AM5)*(1+AL5)*(1+AK5)*(1+AJ5)*(1+AI5)*(1+AH5)*(1+AG5)*(1+AF5)*(1+AE5)*(1+AD5)*(1+AC5)*(1+AB5)*(1+AA5)*(1+Z5))+((X9+X10+X14)*(1+AO5)*(1+AN5)*(1+AM5)*(1+AL5)*(1+AK5)*(1+AJ5)*(1+AI5)*(1+AH5)*(1+AG5)*(1+AF5)*(1+AE5)*(1+AD5)*(1+AC5)*(1+AB5)*(1+AA5)*(1+Z5)*(1+Y5))+((W9+W10+W14)*(1+AO5)*(1+AN5)*(1+AM5)*(1+AL5)*(1+AK5)*(1+AJ5)*(1+AI5)*(1+AH5)*(1+AG5)*(1+AF5)*(1+AE5)*(1+AD5)*(1+AC5)*(1+AB5)*(1+AA5)*(1+Z5)*(1+Y5)*(1+X5))+((V9+V10+V14)*(1+AO5)*(1+AN5)*(1+AM5)*(1+AL5)*(1+AK5)*(1+AJ5)*(1+AI5)*(1+AH5)*(1+AG5)*(1+AF5)*(1+AE5)*(1+AD5)*(1+AC5)*(1+AB5)*(1+AA5)*(1+Z5)*(1+Y5)*(1+X5)*(1+W5))+((U9+U10+U14)*(1+AO5)*(1+AN5)*(1+AM5)*(1+AL5)*(1+AK5)*(1+AJ5)*(1+AI5)*(1+AH5)*(1+AG5)*(1+AF5)*(1+AE5)*(1+AD5)*(1+AC5)*(1+AB5)*(1+AA5)*(1+Z5)*(1+Y5)*(1+X5)*(1+W5)*(1+V5))+((T9+T10+T14)*(1+AO5)*(1+AN5)*(1+AM5)*(1+AL5)*(1+AK5)*(1+AJ5)*(1+AI5)*(1+AH5)*(1+AG5)*(1+AF5)*(1+AE5)*(1+AD5)*(1+AC5)*(1+AB5)*(1+AA5)*(1+Z5)*(1+Y5)*(1+X5)*(1+W5)*(1+V5)*(1+U5))+((S9+S10+S14)*(1+AO5)*(1+AN5)*(1+AM5)*(1+AL5)*(1+AK5)*(1+AJ5)*(1+AI5)*(1+AH5)*(1+AG5)*(1+AF5)*(1+AE5)*(1+AD5)*(1+AC5)*(1+AB5)*(1+AA5)*(1+Z5)*(1+Y5)*(1+X5)*(1+W5)*(1+V5)*(1+U5)*(1+T5))+((R9+R10+R14)*(1+AO5)*(1+AN5)*(1+AM5)*(1+AL5)*(1+AK5)*(1+AJ5)*(1+AI5)*(1+AH5)*(1+AG5)*(1+AF5)*(1+AE5)*(1+AD5)*(1+AC5)*(1+AB5)*(1+AA5)*(1+Z5)*(1+Y5)*(1+X5)*(1+W5)*(1+V5)*(1+U5)*(1+T5)*(1+S5))+((Q9+Q10+Q14)*(1+AO5)*(1+AN5)*(1+AM5)*(1+AL5)*(1+AK5)*(1+AJ5)*(1+AI5)*(1+AH5)*(1+AG5)*(1+AF5)*(1+AE5)*(1+AD5)*(1+AC5)*(1+AB5)*(1+AA5)*(1+Z5)*(1+Y5)*(1+X5)*(1+W5)*(1+V5)*(1+U5)*(1+T5)*(1+S5)*(1+R5))+((P9+P10+P14)*(1+AO5)*(1+AN5)*(1+AM5)*(1+AL5)*(1+AK5)*(1+AJ5)*(1+AI5)*(1+AH5)*(1+AG5)*(1+AF5)*(1+AE5)*(1+AD5)*(1+AC5)*(1+AB5)*(1+AA5)*(1+Z5)*(1+Y5)*(1+X5)*(1+W5)*(1+V5)*(1+U5)*(1+T5)*(1+S5)*(1+R5)*(1+Q5))</f>
        <v>9275488.1444483697</v>
      </c>
      <c r="AP23" s="33">
        <f>AP22+AP9+AP10+AP14+((AO9+AO10+AO14)*(1+AP5))+((AN9+AN10+AN14)*(1+AP5)*(1+AO5))+((AM9+AM10+AM14)*(1+AP5)*(1+AO5)*(1+AN5))+((AL9+AL10+AL14)*(1+AP5)*(1+AO5)*(1+AN5)*(1+AM5))+((AK9+AK10+AK14)*(1+AP5)*(1+AO5)*(1+AN5)*(1+AM5)*(1+AL5))+((AJ9+AJ10+AJ14)*(1+AP5)*(1+AO5)*(1+AN5)*(1+AM5)*(1+AL5)*(1+AK5))+((AI9+AI10+AI14)*(1+AP5)*(1+AO5)*(1+AN5)*(1+AM5)*(1+AL5)*(1+AK5)*(1+AJ5))+((AH9+AH10+AH14)*(1+AP5)*(1+AO5)*(1+AN5)*(1+AM5)*(1+AL5)*(1+AK5)*(1+AJ5)*(1+AI5))+((AG9+AG10+AG14)*(1+AP5)*(1+AO5)*(1+AN5)*(1+AM5)*(1+AL5)*(1+AK5)*(1+AJ5)*(1+AI5)*(1+AH5))+((AF9+AF10+AF14)*(1+AP5)*(1+AO5)*(1+AN5)*(1+AM5)*(1+AL5)*(1+AK5)*(1+AJ5)*(1+AI5)*(1+AH5)*(1+AG5))+((AE9+AE10+AE14)*(1+AP5)*(1+AO5)*(1+AN5)*(1+AM5)*(1+AL5)*(1+AK5)*(1+AJ5)*(1+AI5)*(1+AH5)*(1+AG5)*(1+AF5))+((AD9+AD10+AD14)*(1+AP5)*(1+AO5)*(1+AN5)*(1+AM5)*(1+AL5)*(1+AK5)*(1+AJ5)*(1+AI5)*(1+AH5)*(1+AG5)*(1+AF5)*(1+AE5))+((AC9+AC10+AC14)*(1+AP5)*(1+AO5)*(1+AN5)*(1+AM5)*(1+AL5)*(1+AK5)*(1+AJ5)*(1+AI5)*(1+AH5)*(1+AG5)*(1+AF5)*(1+AE5)*(1+AD5))+((AB9+AB10+AB14)*(1+AP5)*(1+AO5)*(1+AN5)*(1+AM5)*(1+AL5)*(1+AK5)*(1+AJ5)*(1+AI5)*(1+AH5)*(1+AG5)*(1+AF5)*(1+AE5)*(1+AD5)*(1+AC5))+((AA9+AA10+AA14)*(1+AP5)*(1+AO5)*(1+AN5)*(1+AM5)*(1+AL5)*(1+AK5)*(1+AJ5)*(1+AI5)*(1+AH5)*(1+AG5)*(1+AF5)*(1+AE5)*(1+AD5)*(1+AC5)*(1+AB5))+((Z9+Z10+Z14)*(1+AP5)*(1+AO5)*(1+AN5)*(1+AM5)*(1+AL5)*(1+AK5)*(1+AJ5)*(1+AI5)*(1+AH5)*(1+AG5)*(1+AF5)*(1+AE5)*(1+AD5)*(1+AC5)*(1+AB5)*(1+AA5))+((Y9+Y10+Y14)*(1+AP5)*(1+AO5)*(1+AN5)*(1+AM5)*(1+AL5)*(1+AK5)*(1+AJ5)*(1+AI5)*(1+AH5)*(1+AG5)*(1+AF5)*(1+AE5)*(1+AD5)*(1+AC5)*(1+AB5)*(1+AA5)*(1+Z5))+((X9+X10+X14)*(1+AP5)*(1+AO5)*(1+AN5)*(1+AM5)*(1+AL5)*(1+AK5)*(1+AJ5)*(1+AI5)*(1+AH5)*(1+AG5)*(1+AF5)*(1+AE5)*(1+AD5)*(1+AC5)*(1+AB5)*(1+AA5)*(1+Z5)*(1+Y5))+((W9+W10+W14)*(1+AP5)*(1+AO5)*(1+AN5)*(1+AM5)*(1+AL5)*(1+AK5)*(1+AJ5)*(1+AI5)*(1+AH5)*(1+AG5)*(1+AF5)*(1+AE5)*(1+AD5)*(1+AC5)*(1+AB5)*(1+AA5)*(1+Z5)*(1+Y5)*(1+X5))+((V9+V10+V14)*(1+AP5)*(1+AO5)*(1+AN5)*(1+AM5)*(1+AL5)*(1+AK5)*(1+AJ5)*(1+AI5)*(1+AH5)*(1+AG5)*(1+AF5)*(1+AE5)*(1+AD5)*(1+AC5)*(1+AB5)*(1+AA5)*(1+Z5)*(1+Y5)*(1+X5)*(1+W5))+((U9+U10+U14)*(1+AP5)*(1+AO5)*(1+AN5)*(1+AM5)*(1+AL5)*(1+AK5)*(1+AJ5)*(1+AI5)*(1+AH5)*(1+AG5)*(1+AF5)*(1+AE5)*(1+AD5)*(1+AC5)*(1+AB5)*(1+AA5)*(1+Z5)*(1+Y5)*(1+X5)*(1+W5)*(1+V5))+((T9+T10+T14)*(1+AP5)*(1+AO5)*(1+AN5)*(1+AM5)*(1+AL5)*(1+AK5)*(1+AJ5)*(1+AI5)*(1+AH5)*(1+AG5)*(1+AF5)*(1+AE5)*(1+AD5)*(1+AC5)*(1+AB5)*(1+AA5)*(1+Z5)*(1+Y5)*(1+X5)*(1+W5)*(1+V5)*(1+U5))+((S9+S10+S14)*(1+AP5)*(1+AO5)*(1+AN5)*(1+AM5)*(1+AL5)*(1+AK5)*(1+AJ5)*(1+AI5)*(1+AH5)*(1+AG5)*(1+AF5)*(1+AE5)*(1+AD5)*(1+AC5)*(1+AB5)*(1+AA5)*(1+Z5)*(1+Y5)*(1+X5)*(1+W5)*(1+V5)*(1+U5)*(1+T5))+((R9+R10+R14)*(1+AP5)*(1+AO5)*(1+AN5)*(1+AM5)*(1+AL5)*(1+AK5)*(1+AJ5)*(1+AI5)*(1+AH5)*(1+AG5)*(1+AF5)*(1+AE5)*(1+AD5)*(1+AC5)*(1+AB5)*(1+AA5)*(1+Z5)*(1+Y5)*(1+X5)*(1+W5)*(1+V5)*(1+U5)*(1+T5)*(1+S5))+((Q9+Q10+Q14)*(1+AP5)*(1+AO5)*(1+AN5)*(1+AM5)*(1+AL5)*(1+AK5)*(1+AJ5)*(1+AI5)*(1+AH5)*(1+AG5)*(1+AF5)*(1+AE5)*(1+AD5)*(1+AC5)*(1+AB5)*(1+AA5)*(1+Z5)*(1+Y5)*(1+X5)*(1+W5)*(1+V5)*(1+U5)*(1+T5)*(1+S5)*(1+R5))+((P9+P10+P14)*(1+AP5)*(1+AO5)*(1+AN5)*(1+AM5)*(1+AL5)*(1+AK5)*(1+AJ5)*(1+AI5)*(1+AH5)*(1+AG5)*(1+AF5)*(1+AE5)*(1+AD5)*(1+AC5)*(1+AB5)*(1+AA5)*(1+Z5)*(1+Y5)*(1+X5)*(1+W5)*(1+V5)*(1+U5)*(1+T5)*(1+S5)*(1+R5)*(1+Q5))</f>
        <v>9908159.2575276531</v>
      </c>
      <c r="AQ23" s="33">
        <f>AQ22+AQ9+AQ10+AQ14+((AP9+AP10+AP14)*(1+AQ5))+((AO9+AO10+AO14)*(1+AQ5)*(1+AP5))+((AN9+AN10+AN14)*(1+AQ5)*(1+AP5)*(1+AO5))+((AM9+AM10+AM14)*(1+AQ5)*(1+AP5)*(1+AO5)*(1+AN5))+((AL9+AL10+AL14)*(1+AQ5)*(1+AP5)*(1+AO5)*(1+AN5)*(1+AM5))+((AK9+AK10+AK14)*(1+AQ5)*(1+AP5)*(1+AO5)*(1+AN5)*(1+AM5)*(1+AL5))+((AJ9+AJ10+AJ14)*(1+AQ5)*(1+AP5)*(1+AO5)*(1+AN5)*(1+AM5)*(1+AL5)*(1+AK5))+((AI9+AI10+AI14)*(1+AQ5)*(1+AP5)*(1+AO5)*(1+AN5)*(1+AM5)*(1+AL5)*(1+AK5)*(1+AJ5))+((AH9+AH10+AH14)*(1+AQ5)*(1+AP5)*(1+AO5)*(1+AN5)*(1+AM5)*(1+AL5)*(1+AK5)*(1+AJ5)*(1+AI5))+((AG9+AG10+AG14)*(1+AQ5)*(1+AP5)*(1+AO5)*(1+AN5)*(1+AM5)*(1+AL5)*(1+AK5)*(1+AJ5)*(1+AI5)*(1+AH5))+((AF9+AF10+AF14)*(1+AQ5)*(1+AP5)*(1+AO5)*(1+AN5)*(1+AM5)*(1+AL5)*(1+AK5)*(1+AJ5)*(1+AI5)*(1+AH5)*(1+AG5))+((AE9+AE10+AE14)*(1+AQ5)*(1+AP5)*(1+AO5)*(1+AN5)*(1+AM5)*(1+AL5)*(1+AK5)*(1+AJ5)*(1+AI5)*(1+AH5)*(1+AG5)*(1+AF5))+((AD9+AD10+AD14)*(1+AQ5)*(1+AP5)*(1+AO5)*(1+AN5)*(1+AM5)*(1+AL5)*(1+AK5)*(1+AJ5)*(1+AI5)*(1+AH5)*(1+AG5)*(1+AF5)*(1+AE5))+((AC9+AC10+AC14)*(1+AQ5)*(1+AP5)*(1+AO5)*(1+AN5)*(1+AM5)*(1+AL5)*(1+AK5)*(1+AJ5)*(1+AI5)*(1+AH5)*(1+AG5)*(1+AF5)*(1+AE5)*(1+AD5))+((AB9+AB10+AB14)*(1+AQ5)*(1+AP5)*(1+AO5)*(1+AN5)*(1+AM5)*(1+AL5)*(1+AK5)*(1+AJ5)*(1+AI5)*(1+AH5)*(1+AG5)*(1+AF5)*(1+AE5)*(1+AD5)*(1+AC5))+((AA9+AA10+AA14)*(1+AQ5)*(1+AP5)*(1+AO5)*(1+AN5)*(1+AM5)*(1+AL5)*(1+AK5)*(1+AJ5)*(1+AI5)*(1+AH5)*(1+AG5)*(1+AF5)*(1+AE5)*(1+AD5)*(1+AC5)*(1+AB5))+((Z9+Z10+Z14)*(1+AQ5)*(1+AP5)*(1+AO5)*(1+AN5)*(1+AM5)*(1+AL5)*(1+AK5)*(1+AJ5)*(1+AI5)*(1+AH5)*(1+AG5)*(1+AF5)*(1+AE5)*(1+AD5)*(1+AC5)*(1+AB5)*(1+AA5))+((Y9+Y10+Y14)*(1+AQ5)*(1+AP5)*(1+AO5)*(1+AN5)*(1+AM5)*(1+AL5)*(1+AK5)*(1+AJ5)*(1+AI5)*(1+AH5)*(1+AG5)*(1+AF5)*(1+AE5)*(1+AD5)*(1+AC5)*(1+AB5)*(1+AA5)*(1+Z5))+((X9+X10+X14)*(1+AQ5)*(1+AP5)*(1+AO5)*(1+AN5)*(1+AM5)*(1+AL5)*(1+AK5)*(1+AJ5)*(1+AI5)*(1+AH5)*(1+AG5)*(1+AF5)*(1+AE5)*(1+AD5)*(1+AC5)*(1+AB5)*(1+AA5)*(1+Z5)*(1+Y5))+((W9+W10+W14)*(1+AQ5)*(1+AP5)*(1+AO5)*(1+AN5)*(1+AM5)*(1+AL5)*(1+AK5)*(1+AJ5)*(1+AI5)*(1+AH5)*(1+AG5)*(1+AF5)*(1+AE5)*(1+AD5)*(1+AC5)*(1+AB5)*(1+AA5)*(1+Z5)*(1+Y5)*(1+X5))+((V9+V10+V14)*(1+AQ5)*(1+AP5)*(1+AO5)*(1+AN5)*(1+AM5)*(1+AL5)*(1+AK5)*(1+AJ5)*(1+AI5)*(1+AH5)*(1+AG5)*(1+AF5)*(1+AE5)*(1+AD5)*(1+AC5)*(1+AB5)*(1+AA5)*(1+Z5)*(1+Y5)*(1+X5)*(1+W5))+((U9+U10+U14)*(1+AQ5)*(1+AP5)*(1+AO5)*(1+AN5)*(1+AM5)*(1+AL5)*(1+AK5)*(1+AJ5)*(1+AI5)*(1+AH5)*(1+AG5)*(1+AF5)*(1+AE5)*(1+AD5)*(1+AC5)*(1+AB5)*(1+AA5)*(1+Z5)*(1+Y5)*(1+X5)*(1+W5)*(1+V5))+((T9+T10+T14)*(1+AQ5)*(1+AP5)*(1+AO5)*(1+AN5)*(1+AM5)*(1+AL5)*(1+AK5)*(1+AJ5)*(1+AI5)*(1+AH5)*(1+AG5)*(1+AF5)*(1+AE5)*(1+AD5)*(1+AC5)*(1+AB5)*(1+AA5)*(1+Z5)*(1+Y5)*(1+X5)*(1+W5)*(1+V5)*(1+U5))+((S9+S10+S14)*(1+AQ5)*(1+AP5)*(1+AO5)*(1+AN5)*(1+AM5)*(1+AL5)*(1+AK5)*(1+AJ5)*(1+AI5)*(1+AH5)*(1+AG5)*(1+AF5)*(1+AE5)*(1+AD5)*(1+AC5)*(1+AB5)*(1+AA5)*(1+Z5)*(1+Y5)*(1+X5)*(1+W5)*(1+V5)*(1+U5)*(1+T5))+((R9+R10+R14)*(1+AQ5)*(1+AP5)*(1+AO5)*(1+AN5)*(1+AM5)*(1+AL5)*(1+AK5)*(1+AJ5)*(1+AI5)*(1+AH5)*(1+AG5)*(1+AF5)*(1+AE5)*(1+AD5)*(1+AC5)*(1+AB5)*(1+AA5)*(1+Z5)*(1+Y5)*(1+X5)*(1+W5)*(1+V5)*(1+U5)*(1+T5)*(1+S5))+((Q9+Q10+Q14)*(1+AQ5)*(1+AP5)*(1+AO5)*(1+AN5)*(1+AM5)*(1+AL5)*(1+AK5)*(1+AJ5)*(1+AI5)*(1+AH5)*(1+AG5)*(1+AF5)*(1+AE5)*(1+AD5)*(1+AC5)*(1+AB5)*(1+AA5)*(1+Z5)*(1+Y5)*(1+X5)*(1+W5)*(1+V5)*(1+U5)*(1+T5)*(1+S5)*(1+R5))+((P9+P10+P14)*(1+AQ5)*(1+AP5)*(1+AO5)*(1+AN5)*(1+AM5)*(1+AL5)*(1+AK5)*(1+AJ5)*(1+AI5)*(1+AH5)*(1+AG5)*(1+AF5)*(1+AE5)*(1+AD5)*(1+AC5)*(1+AB5)*(1+AA5)*(1+Z5)*(1+Y5)*(1+X5)*(1+W5)*(1+V5)*(1+U5)*(1+T5)*(1+S5)*(1+R5)*(1+Q5))</f>
        <v>10185937.455654342</v>
      </c>
      <c r="AR23" s="33">
        <f>AR22+AR9+AR10+AR14+((AQ9+AQ10+AQ14)*(1+AR5))+((AP9+AP10+AP14)*(1+AR5)*(1+AQ5))+((AO9+AO10+AO14)*(1+AR5)*(1+AQ5)*(1+AP5))+((AN9+AN10+AN14)*(1+AR5)*(1+AQ5)*(1+AP5)*(1+AO5))+((AM9+AM10+AM14)*(1+AR5)*(1+AQ5)*(1+AP5)*(1+AO5)*(1+AN5))+((AL9+AL10+AL14)*(1+AR5)*(1+AQ5)*(1+AP5)*(1+AO5)*(1+AN5)*(1+AM5))+((AK9+AK10+AK14)*(1+AR5)*(1+AQ5)*(1+AP5)*(1+AO5)*(1+AN5)*(1+AM5)*(1+AL5))+((AJ9+AJ10+AJ14)*(1+AR5)*(1+AQ5)*(1+AP5)*(1+AO5)*(1+AN5)*(1+AM5)*(1+AL5)*(1+AK5))+((AI9+AI10+AI14)*(1+AR5)*(1+AQ5)*(1+AP5)*(1+AO5)*(1+AN5)*(1+AM5)*(1+AL5)*(1+AK5)*(1+AJ5))+((AH9+AH10+AH14)*(1+AR5)*(1+AQ5)*(1+AP5)*(1+AO5)*(1+AN5)*(1+AM5)*(1+AL5)*(1+AK5)*(1+AJ5)*(1+AI5))+((AG9+AG10+AG14)*(1+AR5)*(1+AQ5)*(1+AP5)*(1+AO5)*(1+AN5)*(1+AM5)*(1+AL5)*(1+AK5)*(1+AJ5)*(1+AI5)*(1+AH5))+((AF9+AF10+AF14)*(1+AR5)*(1+AQ5)*(1+AP5)*(1+AO5)*(1+AN5)*(1+AM5)*(1+AL5)*(1+AK5)*(1+AJ5)*(1+AI5)*(1+AH5)*(1+AG5))+((AE9+AE10+AE14)*(1+AR5)*(1+AQ5)*(1+AP5)*(1+AO5)*(1+AN5)*(1+AM5)*(1+AL5)*(1+AK5)*(1+AJ5)*(1+AI5)*(1+AH5)*(1+AG5)*(1+AF5))+((AD9+AD10+AD14)*(1+AR5)*(1+AQ5)*(1+AP5)*(1+AO5)*(1+AN5)*(1+AM5)*(1+AL5)*(1+AK5)*(1+AJ5)*(1+AI5)*(1+AH5)*(1+AG5)*(1+AF5)*(1+AE5))+((AC9+AC10+AC14)*(1+AR5)*(1+AQ5)*(1+AP5)*(1+AO5)*(1+AN5)*(1+AM5)*(1+AL5)*(1+AK5)*(1+AJ5)*(1+AI5)*(1+AH5)*(1+AG5)*(1+AF5)*(1+AE5)*(1+AD5))+((AB9+AB10+AB14)*(1+AR5)*(1+AQ5)*(1+AP5)*(1+AO5)*(1+AN5)*(1+AM5)*(1+AL5)*(1+AK5)*(1+AJ5)*(1+AI5)*(1+AH5)*(1+AG5)*(1+AF5)*(1+AE5)*(1+AD5)*(1+AC5))+((AA9+AA10+AA14)*(1+AR5)*(1+AQ5)*(1+AP5)*(1+AO5)*(1+AN5)*(1+AM5)*(1+AL5)*(1+AK5)*(1+AJ5)*(1+AI5)*(1+AH5)*(1+AG5)*(1+AF5)*(1+AE5)*(1+AD5)*(1+AC5)*(1+AB5))+((Z9+Z10+Z14)*(1+AR5)*(1+AQ5)*(1+AP5)*(1+AO5)*(1+AN5)*(1+AM5)*(1+AL5)*(1+AK5)*(1+AJ5)*(1+AI5)*(1+AH5)*(1+AG5)*(1+AF5)*(1+AE5)*(1+AD5)*(1+AC5)*(1+AB5)*(1+AA5))+((Y9+Y10+Y14)*(1+AR5)*(1+AQ5)*(1+AP5)*(1+AO5)*(1+AN5)*(1+AM5)*(1+AL5)*(1+AK5)*(1+AJ5)*(1+AI5)*(1+AH5)*(1+AG5)*(1+AF5)*(1+AE5)*(1+AD5)*(1+AC5)*(1+AB5)*(1+AA5)*(1+Z5))+((X9+X10+X14)*(1+AR5)*(1+AQ5)*(1+AP5)*(1+AO5)*(1+AN5)*(1+AM5)*(1+AL5)*(1+AK5)*(1+AJ5)*(1+AI5)*(1+AH5)*(1+AG5)*(1+AF5)*(1+AE5)*(1+AD5)*(1+AC5)*(1+AB5)*(1+AA5)*(1+Z5)*(1+Y5))+((W9+W10+W14)*(1+AR5)*(1+AQ5)*(1+AP5)*(1+AO5)*(1+AN5)*(1+AM5)*(1+AL5)*(1+AK5)*(1+AJ5)*(1+AI5)*(1+AH5)*(1+AG5)*(1+AF5)*(1+AE5)*(1+AD5)*(1+AC5)*(1+AB5)*(1+AA5)*(1+Z5)*(1+Y5)*(1+X5))+((V9+V10+V14)*(1+AR5)*(1+AQ5)*(1+AP5)*(1+AO5)*(1+AN5)*(1+AM5)*(1+AL5)*(1+AK5)*(1+AJ5)*(1+AI5)*(1+AH5)*(1+AG5)*(1+AF5)*(1+AE5)*(1+AD5)*(1+AC5)*(1+AB5)*(1+AA5)*(1+Z5)*(1+Y5)*(1+X5)*(1+W5))+((U9+U10+U14)*(1+AR5)*(1+AQ5)*(1+AP5)*(1+AO5)*(1+AN5)*(1+AM5)*(1+AL5)*(1+AK5)*(1+AJ5)*(1+AI5)*(1+AH5)*(1+AG5)*(1+AF5)*(1+AE5)*(1+AD5)*(1+AC5)*(1+AB5)*(1+AA5)*(1+Z5)*(1+Y5)*(1+X5)*(1+W5)*(1+V5))+((T9+T10+T14)*(1+AR5)*(1+AQ5)*(1+AP5)*(1+AO5)*(1+AN5)*(1+AM5)*(1+AL5)*(1+AK5)*(1+AJ5)*(1+AI5)*(1+AH5)*(1+AG5)*(1+AF5)*(1+AE5)*(1+AD5)*(1+AC5)*(1+AB5)*(1+AA5)*(1+Z5)*(1+Y5)*(1+X5)*(1+W5)*(1+V5)*(1+U5))+((S9+S10+S14)*(1+AR5)*(1+AQ5)*(1+AP5)*(1+AO5)*(1+AN5)*(1+AM5)*(1+AL5)*(1+AK5)*(1+AJ5)*(1+AI5)*(1+AH5)*(1+AG5)*(1+AF5)*(1+AE5)*(1+AD5)*(1+AC5)*(1+AB5)*(1+AA5)*(1+Z5)*(1+Y5)*(1+X5)*(1+W5)*(1+V5)*(1+U5)*(1+T5))+((R9+R10+R14)*(1+AR5)*(1+AQ5)*(1+AP5)*(1+AO5)*(1+AN5)*(1+AM5)*(1+AL5)*(1+AK5)*(1+AJ5)*(1+AI5)*(1+AH5)*(1+AG5)*(1+AF5)*(1+AE5)*(1+AD5)*(1+AC5)*(1+AB5)*(1+AA5)*(1+Z5)*(1+Y5)*(1+X5)*(1+W5)*(1+V5)*(1+U5)*(1+T5)*(1+S5))+((Q9+Q10+Q14)*(1+AR5)*(1+AQ5)*(1+AP5)*(1+AO5)*(1+AN5)*(1+AM5)*(1+AL5)*(1+AK5)*(1+AJ5)*(1+AI5)*(1+AH5)*(1+AG5)*(1+AF5)*(1+AE5)*(1+AD5)*(1+AC5)*(1+AB5)*(1+AA5)*(1+Z5)*(1+Y5)*(1+X5)*(1+W5)*(1+V5)*(1+U5)*(1+T5)*(1+S5)*(1+R5))+((P9+P10+P14)*(1+AR5)*(1+AQ5)*(1+AP5)*(1+AO5)*(1+AN5)*(1+AM5)*(1+AL5)*(1+AK5)*(1+AJ5)*(1+AI5)*(1+AH5)*(1+AG5)*(1+AF5)*(1+AE5)*(1+AD5)*(1+AC5)*(1+AB5)*(1+AA5)*(1+Z5)*(1+Y5)*(1+X5)*(1+W5)*(1+V5)*(1+U5)*(1+T5)*(1+S5)*(1+R5)*(1+Q5))</f>
        <v>13158220.213099658</v>
      </c>
    </row>
    <row r="24" spans="1:44" ht="15" customHeight="1" x14ac:dyDescent="0.25">
      <c r="A24" s="13" t="s">
        <v>49</v>
      </c>
      <c r="B24" s="14">
        <v>7923984</v>
      </c>
      <c r="C24" s="14">
        <v>3456683</v>
      </c>
      <c r="D24" s="14">
        <v>0</v>
      </c>
      <c r="E24" s="14">
        <v>0</v>
      </c>
      <c r="F24" s="14">
        <v>7267146</v>
      </c>
      <c r="G24" s="14">
        <v>-2394889</v>
      </c>
      <c r="H24" s="20">
        <v>3.7130360002999998</v>
      </c>
      <c r="I24" s="14">
        <v>1999990.713</v>
      </c>
      <c r="J24" s="17">
        <v>16.346939441</v>
      </c>
      <c r="K24" s="14">
        <v>64319701.329999998</v>
      </c>
      <c r="L24" s="47" t="str">
        <f>+L25</f>
        <v>BBSeguridade ON</v>
      </c>
      <c r="M24" s="39" t="s">
        <v>50</v>
      </c>
      <c r="N24" s="32"/>
      <c r="O24" s="32"/>
      <c r="P24" s="30">
        <v>0</v>
      </c>
      <c r="Q24" s="30">
        <v>0</v>
      </c>
      <c r="R24" s="30">
        <v>0</v>
      </c>
      <c r="S24" s="30">
        <v>17428087.655999999</v>
      </c>
      <c r="T24" s="30">
        <v>16748049.408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49000000</v>
      </c>
      <c r="AH24" s="30">
        <v>64319701.329999998</v>
      </c>
      <c r="AI24" s="30">
        <v>48613688.283</v>
      </c>
      <c r="AJ24" s="30">
        <v>56503965.280000001</v>
      </c>
      <c r="AK24" s="30">
        <v>56883033.858000003</v>
      </c>
      <c r="AL24" s="30">
        <v>55086113.520000003</v>
      </c>
      <c r="AM24" s="30">
        <v>75271863.996000007</v>
      </c>
      <c r="AN24" s="30">
        <v>59160285.597999997</v>
      </c>
      <c r="AO24" s="30">
        <v>41431245.476999998</v>
      </c>
      <c r="AP24" s="30">
        <v>67309648.056999996</v>
      </c>
      <c r="AQ24" s="30">
        <f>+K33</f>
        <v>55058533.415562503</v>
      </c>
      <c r="AR24" s="30">
        <f>+K34</f>
        <v>62507208.602480002</v>
      </c>
    </row>
    <row r="25" spans="1:44" ht="15" customHeight="1" x14ac:dyDescent="0.25">
      <c r="A25" s="13" t="s">
        <v>51</v>
      </c>
      <c r="B25" s="14">
        <v>7580768</v>
      </c>
      <c r="C25" s="14">
        <v>4207432</v>
      </c>
      <c r="D25" s="14">
        <v>0</v>
      </c>
      <c r="E25" s="14">
        <v>0</v>
      </c>
      <c r="F25" s="14">
        <v>8115752</v>
      </c>
      <c r="G25" s="14">
        <v>-3361786</v>
      </c>
      <c r="H25" s="20">
        <v>6.8834201644000004</v>
      </c>
      <c r="I25" s="14">
        <v>1998096.5179999999</v>
      </c>
      <c r="J25" s="17">
        <v>13.072239554999999</v>
      </c>
      <c r="K25" s="14">
        <v>48613688.283</v>
      </c>
      <c r="L25" s="39" t="str">
        <f>+A1</f>
        <v>BBSeguridade ON</v>
      </c>
      <c r="M25" s="39" t="s">
        <v>52</v>
      </c>
      <c r="N25" s="18"/>
      <c r="O25" s="18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>
        <f t="shared" ref="AG25:AR25" si="5">AG24/AG23</f>
        <v>7.0592238628274666</v>
      </c>
      <c r="AH25" s="31">
        <f t="shared" si="5"/>
        <v>7.7782279159063199</v>
      </c>
      <c r="AI25" s="31">
        <f t="shared" si="5"/>
        <v>5.6958672204606327</v>
      </c>
      <c r="AJ25" s="31">
        <f t="shared" si="5"/>
        <v>6.0510878279703038</v>
      </c>
      <c r="AK25" s="31">
        <f t="shared" si="5"/>
        <v>5.6768636798943994</v>
      </c>
      <c r="AL25" s="31">
        <f t="shared" si="5"/>
        <v>6.8586640086432826</v>
      </c>
      <c r="AM25" s="31">
        <f t="shared" si="5"/>
        <v>10.948303855087564</v>
      </c>
      <c r="AN25" s="31">
        <f t="shared" si="5"/>
        <v>7.0854197979742404</v>
      </c>
      <c r="AO25" s="31">
        <f t="shared" si="5"/>
        <v>4.4667455590245906</v>
      </c>
      <c r="AP25" s="31">
        <f t="shared" si="5"/>
        <v>6.7933554868793591</v>
      </c>
      <c r="AQ25" s="31">
        <f t="shared" si="5"/>
        <v>5.4053476820632564</v>
      </c>
      <c r="AR25" s="31">
        <f t="shared" si="5"/>
        <v>4.7504303462143751</v>
      </c>
    </row>
    <row r="26" spans="1:44" ht="15" customHeight="1" x14ac:dyDescent="0.25">
      <c r="A26" s="13" t="s">
        <v>53</v>
      </c>
      <c r="B26" s="14">
        <v>8289065</v>
      </c>
      <c r="C26" s="14">
        <v>4013852</v>
      </c>
      <c r="D26" s="14">
        <v>3784</v>
      </c>
      <c r="E26" s="14">
        <v>0</v>
      </c>
      <c r="F26" s="14">
        <v>8243803</v>
      </c>
      <c r="G26" s="14">
        <v>-3342078</v>
      </c>
      <c r="H26" s="20">
        <v>5.8853134024999996</v>
      </c>
      <c r="I26" s="14">
        <v>1996606.547</v>
      </c>
      <c r="J26" s="17">
        <v>16.168093059</v>
      </c>
      <c r="K26" s="14">
        <v>56503965.280000001</v>
      </c>
    </row>
    <row r="27" spans="1:44" ht="15" customHeight="1" x14ac:dyDescent="0.25">
      <c r="A27" s="13" t="s">
        <v>54</v>
      </c>
      <c r="B27" s="14">
        <v>8898470</v>
      </c>
      <c r="C27" s="14">
        <v>4049245</v>
      </c>
      <c r="D27" s="14">
        <v>5545</v>
      </c>
      <c r="E27" s="14">
        <v>0</v>
      </c>
      <c r="F27" s="14">
        <v>7633361</v>
      </c>
      <c r="G27" s="14">
        <v>-3285628</v>
      </c>
      <c r="H27" s="20">
        <v>5.7535677396000002</v>
      </c>
      <c r="I27" s="14">
        <v>1996596.4850000001</v>
      </c>
      <c r="J27" s="17">
        <v>17.279455778999999</v>
      </c>
      <c r="K27" s="14">
        <v>56883033.858000003</v>
      </c>
      <c r="S27" s="67"/>
    </row>
    <row r="28" spans="1:44" ht="15" customHeight="1" x14ac:dyDescent="0.25">
      <c r="A28" s="13" t="s">
        <v>55</v>
      </c>
      <c r="B28" s="14">
        <v>6830385</v>
      </c>
      <c r="C28" s="14">
        <v>3539553</v>
      </c>
      <c r="D28" s="14">
        <v>5620</v>
      </c>
      <c r="E28" s="14">
        <v>0</v>
      </c>
      <c r="F28" s="14">
        <v>5326316</v>
      </c>
      <c r="G28" s="14">
        <v>-3485559</v>
      </c>
      <c r="H28" s="20">
        <v>11.215925972999999</v>
      </c>
      <c r="I28" s="14">
        <v>1996597.0830000001</v>
      </c>
      <c r="J28" s="17">
        <v>18.736693471999999</v>
      </c>
      <c r="K28" s="14">
        <v>55086113.520000003</v>
      </c>
    </row>
    <row r="29" spans="1:44" ht="15" customHeight="1" x14ac:dyDescent="0.25">
      <c r="A29" s="13" t="s">
        <v>56</v>
      </c>
      <c r="B29" s="14">
        <v>5248754</v>
      </c>
      <c r="C29" s="14">
        <v>6658781</v>
      </c>
      <c r="D29" s="14">
        <v>5901</v>
      </c>
      <c r="E29" s="14">
        <v>0</v>
      </c>
      <c r="F29" s="14">
        <v>4918370</v>
      </c>
      <c r="G29" s="14">
        <v>-5860139</v>
      </c>
      <c r="H29" s="20">
        <v>4.1902706630999997</v>
      </c>
      <c r="I29" s="14">
        <v>1996601.1669999999</v>
      </c>
      <c r="J29" s="17">
        <v>26.908123856</v>
      </c>
      <c r="K29" s="14">
        <v>75271863.996000007</v>
      </c>
    </row>
    <row r="30" spans="1:44" ht="15" customHeight="1" x14ac:dyDescent="0.25">
      <c r="A30" s="13" t="s">
        <v>57</v>
      </c>
      <c r="B30" s="14">
        <v>6389605</v>
      </c>
      <c r="C30" s="14">
        <v>3850771</v>
      </c>
      <c r="D30" s="14">
        <v>5481</v>
      </c>
      <c r="E30" s="14">
        <v>0</v>
      </c>
      <c r="F30" s="14">
        <v>6084345</v>
      </c>
      <c r="G30" s="14">
        <v>-5562658</v>
      </c>
      <c r="H30" s="20">
        <v>9.3946389403000001</v>
      </c>
      <c r="I30" s="14">
        <v>1996634.6810000001</v>
      </c>
      <c r="J30" s="17">
        <v>23.829211733000001</v>
      </c>
      <c r="K30" s="14">
        <v>59160285.597999997</v>
      </c>
    </row>
    <row r="31" spans="1:44" ht="15" customHeight="1" x14ac:dyDescent="0.25">
      <c r="A31" s="13" t="s">
        <v>58</v>
      </c>
      <c r="B31" s="14">
        <v>7281416</v>
      </c>
      <c r="C31" s="14">
        <v>3933217</v>
      </c>
      <c r="D31" s="14">
        <v>4959</v>
      </c>
      <c r="E31" s="14">
        <v>0</v>
      </c>
      <c r="F31" s="14">
        <v>7137241</v>
      </c>
      <c r="G31" s="14">
        <v>-1990675</v>
      </c>
      <c r="H31" s="20">
        <v>4.8034314934999998</v>
      </c>
      <c r="I31" s="14">
        <v>1996686.5290000001</v>
      </c>
      <c r="J31" s="17">
        <v>17.386974254999998</v>
      </c>
      <c r="K31" s="14">
        <v>41431245.476999998</v>
      </c>
    </row>
    <row r="32" spans="1:44" ht="15" customHeight="1" x14ac:dyDescent="0.25">
      <c r="A32" s="13" t="s">
        <v>59</v>
      </c>
      <c r="B32" s="14">
        <v>8036730</v>
      </c>
      <c r="C32" s="14">
        <v>6196415</v>
      </c>
      <c r="D32" s="14">
        <v>4021</v>
      </c>
      <c r="E32" s="14">
        <v>47</v>
      </c>
      <c r="F32" s="14">
        <v>7516810</v>
      </c>
      <c r="G32" s="14">
        <v>-3925751</v>
      </c>
      <c r="H32" s="20">
        <v>5.8224189158000001</v>
      </c>
      <c r="I32" s="14">
        <v>1996726.433</v>
      </c>
      <c r="J32" s="17">
        <v>30.405956380999999</v>
      </c>
      <c r="K32" s="14">
        <v>50104925.0854121</v>
      </c>
    </row>
    <row r="33" spans="1:42" ht="15" customHeight="1" x14ac:dyDescent="0.25">
      <c r="A33" s="13" t="s">
        <v>60</v>
      </c>
      <c r="B33" s="14">
        <v>9816482</v>
      </c>
      <c r="C33" s="14">
        <v>7947203</v>
      </c>
      <c r="D33" s="14">
        <v>3585</v>
      </c>
      <c r="E33" s="14">
        <v>24</v>
      </c>
      <c r="F33" s="14"/>
      <c r="G33" s="14"/>
      <c r="H33" s="14"/>
      <c r="I33" s="14"/>
      <c r="J33" s="14"/>
      <c r="K33" s="14">
        <v>55058533.415562503</v>
      </c>
    </row>
    <row r="34" spans="1:42" ht="15" customHeight="1" x14ac:dyDescent="0.25">
      <c r="A34" s="13" t="s">
        <v>61</v>
      </c>
      <c r="B34" s="14">
        <v>9695421</v>
      </c>
      <c r="C34" s="14">
        <v>8703353</v>
      </c>
      <c r="D34" s="14">
        <v>2790</v>
      </c>
      <c r="E34" s="14">
        <v>12</v>
      </c>
      <c r="F34" s="14"/>
      <c r="G34" s="14"/>
      <c r="H34" s="14"/>
      <c r="I34" s="14"/>
      <c r="J34" s="14"/>
      <c r="K34" s="14">
        <v>62507208.602480002</v>
      </c>
    </row>
    <row r="46" spans="1:42" ht="15" customHeight="1" x14ac:dyDescent="0.25">
      <c r="M46" s="46" t="s">
        <v>62</v>
      </c>
      <c r="N46" s="1"/>
      <c r="O46" s="1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>
        <f>-G23/AG17</f>
        <v>0.59490199502617891</v>
      </c>
      <c r="AH46" s="35">
        <f>-G24/AH17</f>
        <v>0.69282864526483912</v>
      </c>
      <c r="AI46" s="35">
        <f>-G25/AI17</f>
        <v>0.79901136845467735</v>
      </c>
      <c r="AJ46" s="35">
        <f>-G26/AJ17</f>
        <v>0.83263608125062905</v>
      </c>
      <c r="AK46" s="35">
        <f>-G27/AK17</f>
        <v>0.81141743707777625</v>
      </c>
      <c r="AL46" s="35">
        <f>-G28/AL17</f>
        <v>0.98474553142727339</v>
      </c>
      <c r="AM46" s="35">
        <f>-G29/AM17</f>
        <v>0.88006183113696035</v>
      </c>
      <c r="AN46" s="35">
        <f>-G30/AN17</f>
        <v>1.4445569471672037</v>
      </c>
      <c r="AO46" s="35">
        <f>-G31/AO17</f>
        <v>0.50611878266569066</v>
      </c>
      <c r="AP46" s="35">
        <f>-G32/AP17</f>
        <v>0.63355198126658718</v>
      </c>
    </row>
    <row r="47" spans="1:42" ht="15" customHeight="1" x14ac:dyDescent="0.25">
      <c r="M47" s="39" t="s">
        <v>63</v>
      </c>
      <c r="N47" s="32"/>
      <c r="O47" s="32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>
        <f>-G23/AG18</f>
        <v>0.7001063728366137</v>
      </c>
      <c r="AH47" s="36">
        <f>-G24/AH18</f>
        <v>0.72016669248544085</v>
      </c>
      <c r="AI47" s="36">
        <f>-G25/AI18</f>
        <v>0.85858208849419981</v>
      </c>
      <c r="AJ47" s="36">
        <f>-G26/AJ18</f>
        <v>0.9571632033336166</v>
      </c>
      <c r="AK47" s="36">
        <f>-G27/AK18</f>
        <v>0.86245184453613033</v>
      </c>
      <c r="AL47" s="36">
        <f>-G28/AL18</f>
        <v>1.0741830781238271</v>
      </c>
      <c r="AM47" s="36">
        <f>-G29/AM18</f>
        <v>0.87107497344720397</v>
      </c>
      <c r="AN47" s="36">
        <f>-G30/AN18</f>
        <v>1.4699490981288834</v>
      </c>
      <c r="AO47" s="36">
        <f>-G31/AO18</f>
        <v>0.6829062536835584</v>
      </c>
      <c r="AP47" s="36">
        <f>-G32/AP18</f>
        <v>0.66894938984497632</v>
      </c>
    </row>
    <row r="48" spans="1:42" ht="15" customHeight="1" x14ac:dyDescent="0.25">
      <c r="M48" s="39" t="s">
        <v>64</v>
      </c>
      <c r="N48" s="32"/>
      <c r="O48" s="32"/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50">
        <v>0</v>
      </c>
      <c r="AH48" s="37">
        <v>3.7130360002999998</v>
      </c>
      <c r="AI48" s="37">
        <v>6.8834201644000004</v>
      </c>
      <c r="AJ48" s="37">
        <v>5.8853134024999996</v>
      </c>
      <c r="AK48" s="37">
        <v>5.7535677396000002</v>
      </c>
      <c r="AL48" s="37">
        <v>11.215925972999999</v>
      </c>
      <c r="AM48" s="37">
        <v>4.1902706630999997</v>
      </c>
      <c r="AN48" s="37">
        <v>9.3946389403000001</v>
      </c>
      <c r="AO48" s="37">
        <v>4.8034314934999998</v>
      </c>
      <c r="AP48" s="37">
        <v>5.8224189158000001</v>
      </c>
    </row>
    <row r="49" spans="13:42" ht="15" customHeight="1" x14ac:dyDescent="0.25"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</sheetData>
  <phoneticPr fontId="19" type="noConversion"/>
  <pageMargins left="0.7" right="0.7" top="0.75" bottom="0.75" header="0.511811023622047" footer="0.511811023622047"/>
  <pageSetup paperSize="5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Composição do Lucro</vt:lpstr>
      <vt:lpstr>Valor de Mercado e PL Corrigido</vt:lpstr>
      <vt:lpstr>VALE3</vt:lpstr>
      <vt:lpstr>PETR4</vt:lpstr>
      <vt:lpstr>ITUB4</vt:lpstr>
      <vt:lpstr>PETR3</vt:lpstr>
      <vt:lpstr>ELET3</vt:lpstr>
      <vt:lpstr>BBDC4</vt:lpstr>
      <vt:lpstr>B3SA3</vt:lpstr>
      <vt:lpstr>BBAS3</vt:lpstr>
      <vt:lpstr>ABEV3</vt:lpstr>
      <vt:lpstr>RENT3</vt:lpstr>
      <vt:lpstr>ITSA4</vt:lpstr>
      <vt:lpstr>WEGE3</vt:lpstr>
      <vt:lpstr>BPAC11</vt:lpstr>
      <vt:lpstr>EQTL3</vt:lpstr>
      <vt:lpstr>SUZB3</vt:lpstr>
      <vt:lpstr>PRIO3</vt:lpstr>
      <vt:lpstr>RADL3</vt:lpstr>
      <vt:lpstr>RDOR3</vt:lpstr>
      <vt:lpstr>RAIL3</vt:lpstr>
      <vt:lpstr>GGBR4</vt:lpstr>
      <vt:lpstr>UGPA3</vt:lpstr>
      <vt:lpstr>JBSS3</vt:lpstr>
      <vt:lpstr>VBBR3</vt:lpstr>
      <vt:lpstr>BBSE3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Ramires</dc:creator>
  <cp:lastModifiedBy>Rogerio Ramires</cp:lastModifiedBy>
  <cp:revision>1</cp:revision>
  <dcterms:created xsi:type="dcterms:W3CDTF">2000-01-01T12:00:00Z</dcterms:created>
  <dcterms:modified xsi:type="dcterms:W3CDTF">2026-02-02T14:21:53Z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0x010100448840CCEBCFBC4182DAA6BD85AA9826</vt:lpwstr>
  </property>
</Properties>
</file>