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Backup\nova unidade t\Unidade t\Rogerio Ramires\USP Doutorado\#ISCTE\#ISCTE - Trabalho em Portugal\##Arquivos Finais 2025\Artigos finais_2025\#Versões Finais\Final_03.11.2025\Revisão B_Salotti\"/>
    </mc:Choice>
  </mc:AlternateContent>
  <xr:revisionPtr revIDLastSave="0" documentId="13_ncr:1_{DD22CE4D-0CF9-4E1A-BBD3-C784EE2008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posição do Lucro" sheetId="17" r:id="rId1"/>
    <sheet name="ALTRI" sheetId="1" r:id="rId2"/>
    <sheet name="BCP.LS" sheetId="2" r:id="rId3"/>
    <sheet name="COR.LS" sheetId="3" r:id="rId4"/>
    <sheet name="CTT.LS" sheetId="4" r:id="rId5"/>
    <sheet name="EDP.LS" sheetId="5" r:id="rId6"/>
    <sheet name="EDPR.LS" sheetId="6" r:id="rId7"/>
    <sheet name="EGL.LS" sheetId="7" r:id="rId8"/>
    <sheet name="GALP.LS" sheetId="8" r:id="rId9"/>
    <sheet name="IBS" sheetId="9" r:id="rId10"/>
    <sheet name="JMT" sheetId="10" r:id="rId11"/>
    <sheet name="NBA.LS" sheetId="11" r:id="rId12"/>
    <sheet name="NOS.LS" sheetId="12" r:id="rId13"/>
    <sheet name="NVG.LS" sheetId="13" r:id="rId14"/>
    <sheet name="RENE.LS" sheetId="14" r:id="rId15"/>
    <sheet name="SEM.LS" sheetId="15" r:id="rId16"/>
    <sheet name="SON.LS" sheetId="16" r:id="rId17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45325.5879050926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3" i="3"/>
  <c r="N3" i="4"/>
  <c r="N3" i="5"/>
  <c r="N3" i="6"/>
  <c r="N3" i="7"/>
  <c r="N3" i="8"/>
  <c r="N3" i="9"/>
  <c r="N3" i="10"/>
  <c r="N3" i="11"/>
  <c r="N3" i="12"/>
  <c r="N3" i="13"/>
  <c r="N3" i="14"/>
  <c r="N3" i="15"/>
  <c r="N3" i="16"/>
  <c r="N3" i="1"/>
  <c r="J42" i="17" l="1"/>
  <c r="J49" i="17" s="1"/>
  <c r="B2" i="17" a="1"/>
  <c r="B2" i="17" s="1"/>
  <c r="L25" i="2"/>
  <c r="L25" i="3"/>
  <c r="L25" i="4"/>
  <c r="L25" i="5"/>
  <c r="L25" i="6"/>
  <c r="L25" i="7"/>
  <c r="L25" i="8"/>
  <c r="L25" i="9"/>
  <c r="L25" i="10"/>
  <c r="L25" i="11"/>
  <c r="L25" i="12"/>
  <c r="L25" i="13"/>
  <c r="L25" i="14"/>
  <c r="L25" i="15"/>
  <c r="L25" i="16"/>
  <c r="L25" i="1"/>
  <c r="L24" i="2"/>
  <c r="L24" i="3"/>
  <c r="L24" i="4"/>
  <c r="L24" i="5"/>
  <c r="L24" i="6"/>
  <c r="L24" i="7"/>
  <c r="L24" i="8"/>
  <c r="L24" i="9"/>
  <c r="L24" i="10"/>
  <c r="L24" i="11"/>
  <c r="L24" i="12"/>
  <c r="L24" i="13"/>
  <c r="L24" i="14"/>
  <c r="L24" i="15"/>
  <c r="L24" i="16"/>
  <c r="L24" i="1"/>
  <c r="L23" i="2"/>
  <c r="L23" i="3"/>
  <c r="L23" i="4"/>
  <c r="L23" i="5"/>
  <c r="L23" i="6"/>
  <c r="L23" i="7"/>
  <c r="L23" i="8"/>
  <c r="L23" i="9"/>
  <c r="L23" i="10"/>
  <c r="L23" i="11"/>
  <c r="L23" i="12"/>
  <c r="L23" i="13"/>
  <c r="L23" i="14"/>
  <c r="L23" i="15"/>
  <c r="L23" i="16"/>
  <c r="L23" i="1"/>
  <c r="L22" i="2"/>
  <c r="L22" i="3"/>
  <c r="L22" i="4"/>
  <c r="L22" i="5"/>
  <c r="L22" i="6"/>
  <c r="L22" i="7"/>
  <c r="L22" i="8"/>
  <c r="L22" i="9"/>
  <c r="L22" i="10"/>
  <c r="L22" i="11"/>
  <c r="L22" i="12"/>
  <c r="L22" i="13"/>
  <c r="L22" i="14"/>
  <c r="L22" i="15"/>
  <c r="L22" i="16"/>
  <c r="L22" i="1"/>
  <c r="L19" i="2"/>
  <c r="L19" i="3"/>
  <c r="L19" i="4"/>
  <c r="L19" i="5"/>
  <c r="L19" i="6"/>
  <c r="L19" i="7"/>
  <c r="L19" i="8"/>
  <c r="L19" i="9"/>
  <c r="L19" i="10"/>
  <c r="L19" i="11"/>
  <c r="L19" i="12"/>
  <c r="L19" i="13"/>
  <c r="L19" i="14"/>
  <c r="L19" i="15"/>
  <c r="L19" i="16"/>
  <c r="L19" i="1"/>
  <c r="L18" i="2"/>
  <c r="L18" i="3"/>
  <c r="L18" i="4"/>
  <c r="L18" i="5"/>
  <c r="L18" i="6"/>
  <c r="L18" i="7"/>
  <c r="L18" i="8"/>
  <c r="L18" i="9"/>
  <c r="L18" i="10"/>
  <c r="L18" i="11"/>
  <c r="L18" i="12"/>
  <c r="L18" i="13"/>
  <c r="L18" i="14"/>
  <c r="L18" i="15"/>
  <c r="L18" i="16"/>
  <c r="L18" i="1"/>
  <c r="I18" i="17" l="1"/>
  <c r="M18" i="17"/>
  <c r="M43" i="17" s="1"/>
  <c r="M50" i="17" s="1"/>
  <c r="F18" i="17"/>
  <c r="J18" i="17"/>
  <c r="N18" i="17"/>
  <c r="N43" i="17" s="1"/>
  <c r="N50" i="17" s="1"/>
  <c r="G18" i="17"/>
  <c r="K18" i="17"/>
  <c r="K43" i="17" s="1"/>
  <c r="K50" i="17" s="1"/>
  <c r="J43" i="17"/>
  <c r="J50" i="17" s="1"/>
  <c r="H18" i="17"/>
  <c r="L18" i="17"/>
  <c r="L43" i="17" s="1"/>
  <c r="L50" i="17" s="1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X24" i="16"/>
  <c r="W24" i="16"/>
  <c r="V24" i="16"/>
  <c r="U24" i="16"/>
  <c r="X22" i="16"/>
  <c r="W22" i="16"/>
  <c r="V22" i="16"/>
  <c r="U22" i="16"/>
  <c r="U17" i="16"/>
  <c r="U10" i="16"/>
  <c r="W8" i="16"/>
  <c r="U8" i="16"/>
  <c r="X5" i="16"/>
  <c r="X8" i="16" s="1"/>
  <c r="V5" i="16"/>
  <c r="R5" i="16"/>
  <c r="Q5" i="16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U46" i="15"/>
  <c r="T46" i="15"/>
  <c r="S46" i="15"/>
  <c r="Q46" i="15"/>
  <c r="P46" i="15"/>
  <c r="X24" i="15"/>
  <c r="W24" i="15"/>
  <c r="V24" i="15"/>
  <c r="U24" i="15"/>
  <c r="X22" i="15"/>
  <c r="W22" i="15"/>
  <c r="V22" i="15"/>
  <c r="U22" i="15"/>
  <c r="X17" i="15"/>
  <c r="W17" i="15"/>
  <c r="V17" i="15"/>
  <c r="V46" i="15" s="1"/>
  <c r="U17" i="15"/>
  <c r="R46" i="15"/>
  <c r="W10" i="15"/>
  <c r="U10" i="15"/>
  <c r="W8" i="15"/>
  <c r="V8" i="15"/>
  <c r="U8" i="15"/>
  <c r="X5" i="15"/>
  <c r="X8" i="15" s="1"/>
  <c r="V5" i="15"/>
  <c r="V10" i="15" s="1"/>
  <c r="R5" i="15"/>
  <c r="Q5" i="15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24" i="14"/>
  <c r="W24" i="14"/>
  <c r="V24" i="14"/>
  <c r="U24" i="14"/>
  <c r="X22" i="14"/>
  <c r="W22" i="14"/>
  <c r="V22" i="14"/>
  <c r="U22" i="14"/>
  <c r="U17" i="14"/>
  <c r="V10" i="14"/>
  <c r="U10" i="14"/>
  <c r="W8" i="14"/>
  <c r="V8" i="14"/>
  <c r="U8" i="14"/>
  <c r="X5" i="14"/>
  <c r="X8" i="14" s="1"/>
  <c r="V5" i="14"/>
  <c r="R5" i="14"/>
  <c r="Q5" i="14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X24" i="13"/>
  <c r="W24" i="13"/>
  <c r="V24" i="13"/>
  <c r="U24" i="13"/>
  <c r="X22" i="13"/>
  <c r="W22" i="13"/>
  <c r="V22" i="13"/>
  <c r="U22" i="13"/>
  <c r="U17" i="13"/>
  <c r="U10" i="13"/>
  <c r="X8" i="13"/>
  <c r="W8" i="13"/>
  <c r="U8" i="13"/>
  <c r="X5" i="13"/>
  <c r="V5" i="13"/>
  <c r="V8" i="13" s="1"/>
  <c r="R5" i="13"/>
  <c r="Q5" i="13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S46" i="12"/>
  <c r="R46" i="12"/>
  <c r="X24" i="12"/>
  <c r="W24" i="12"/>
  <c r="V24" i="12"/>
  <c r="U24" i="12"/>
  <c r="X22" i="12"/>
  <c r="W22" i="12"/>
  <c r="V22" i="12"/>
  <c r="U22" i="12"/>
  <c r="X17" i="12"/>
  <c r="W17" i="12"/>
  <c r="W46" i="12" s="1"/>
  <c r="V17" i="12"/>
  <c r="V46" i="12" s="1"/>
  <c r="U17" i="12"/>
  <c r="U46" i="12" s="1"/>
  <c r="T46" i="12"/>
  <c r="Q46" i="12"/>
  <c r="P46" i="12"/>
  <c r="W10" i="12"/>
  <c r="U10" i="12"/>
  <c r="X8" i="12"/>
  <c r="W8" i="12"/>
  <c r="U8" i="12"/>
  <c r="X5" i="12"/>
  <c r="X10" i="12" s="1"/>
  <c r="V5" i="12"/>
  <c r="R5" i="12"/>
  <c r="Q5" i="12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T46" i="11"/>
  <c r="P46" i="11"/>
  <c r="X24" i="11"/>
  <c r="W24" i="11"/>
  <c r="V24" i="11"/>
  <c r="U24" i="11"/>
  <c r="X22" i="11"/>
  <c r="W22" i="11"/>
  <c r="V22" i="11"/>
  <c r="U22" i="11"/>
  <c r="X17" i="11"/>
  <c r="X46" i="11" s="1"/>
  <c r="W17" i="11"/>
  <c r="W46" i="11" s="1"/>
  <c r="V17" i="11"/>
  <c r="V46" i="11" s="1"/>
  <c r="U17" i="11"/>
  <c r="U46" i="11" s="1"/>
  <c r="S46" i="11"/>
  <c r="R46" i="11"/>
  <c r="Q46" i="11"/>
  <c r="X10" i="11"/>
  <c r="W10" i="11"/>
  <c r="V10" i="11"/>
  <c r="U10" i="11"/>
  <c r="W8" i="11"/>
  <c r="V8" i="11"/>
  <c r="U8" i="11"/>
  <c r="X5" i="11"/>
  <c r="X8" i="11" s="1"/>
  <c r="V5" i="11"/>
  <c r="R5" i="11"/>
  <c r="Q5" i="11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24" i="10"/>
  <c r="W24" i="10"/>
  <c r="V24" i="10"/>
  <c r="U24" i="10"/>
  <c r="X22" i="10"/>
  <c r="W22" i="10"/>
  <c r="V22" i="10"/>
  <c r="U22" i="10"/>
  <c r="X17" i="10"/>
  <c r="X46" i="10" s="1"/>
  <c r="U17" i="10"/>
  <c r="U10" i="10"/>
  <c r="W8" i="10"/>
  <c r="V8" i="10"/>
  <c r="U8" i="10"/>
  <c r="X5" i="10"/>
  <c r="X10" i="10" s="1"/>
  <c r="V5" i="10"/>
  <c r="V10" i="10" s="1"/>
  <c r="R5" i="10"/>
  <c r="Q5" i="10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W46" i="9"/>
  <c r="T46" i="9"/>
  <c r="S46" i="9"/>
  <c r="Q46" i="9"/>
  <c r="X24" i="9"/>
  <c r="W24" i="9"/>
  <c r="V24" i="9"/>
  <c r="U24" i="9"/>
  <c r="X22" i="9"/>
  <c r="W22" i="9"/>
  <c r="V22" i="9"/>
  <c r="U22" i="9"/>
  <c r="X17" i="9"/>
  <c r="X46" i="9" s="1"/>
  <c r="W17" i="9"/>
  <c r="V17" i="9"/>
  <c r="V46" i="9" s="1"/>
  <c r="U17" i="9"/>
  <c r="U46" i="9" s="1"/>
  <c r="R46" i="9"/>
  <c r="P46" i="9"/>
  <c r="W10" i="9"/>
  <c r="U10" i="9"/>
  <c r="W8" i="9"/>
  <c r="V8" i="9"/>
  <c r="U8" i="9"/>
  <c r="X5" i="9"/>
  <c r="V5" i="9"/>
  <c r="V10" i="9" s="1"/>
  <c r="R5" i="9"/>
  <c r="Q5" i="9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U46" i="8"/>
  <c r="T46" i="8"/>
  <c r="P46" i="8"/>
  <c r="X24" i="8"/>
  <c r="W24" i="8"/>
  <c r="V24" i="8"/>
  <c r="U24" i="8"/>
  <c r="X22" i="8"/>
  <c r="W22" i="8"/>
  <c r="V22" i="8"/>
  <c r="U22" i="8"/>
  <c r="X17" i="8"/>
  <c r="W17" i="8"/>
  <c r="W46" i="8" s="1"/>
  <c r="V17" i="8"/>
  <c r="V46" i="8" s="1"/>
  <c r="U17" i="8"/>
  <c r="S46" i="8"/>
  <c r="R46" i="8"/>
  <c r="Q46" i="8"/>
  <c r="W10" i="8"/>
  <c r="V10" i="8"/>
  <c r="U10" i="8"/>
  <c r="W8" i="8"/>
  <c r="V8" i="8"/>
  <c r="U8" i="8"/>
  <c r="X5" i="8"/>
  <c r="V5" i="8"/>
  <c r="R5" i="8"/>
  <c r="Q5" i="8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X24" i="7"/>
  <c r="W24" i="7"/>
  <c r="V24" i="7"/>
  <c r="U24" i="7"/>
  <c r="X22" i="7"/>
  <c r="W22" i="7"/>
  <c r="V22" i="7"/>
  <c r="U22" i="7"/>
  <c r="U17" i="7"/>
  <c r="V10" i="7"/>
  <c r="U10" i="7"/>
  <c r="X8" i="7"/>
  <c r="W8" i="7"/>
  <c r="U8" i="7"/>
  <c r="X5" i="7"/>
  <c r="V5" i="7"/>
  <c r="V8" i="7" s="1"/>
  <c r="R5" i="7"/>
  <c r="Q5" i="7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W46" i="6"/>
  <c r="V46" i="6"/>
  <c r="S46" i="6"/>
  <c r="X24" i="6"/>
  <c r="W24" i="6"/>
  <c r="V24" i="6"/>
  <c r="U24" i="6"/>
  <c r="X22" i="6"/>
  <c r="W22" i="6"/>
  <c r="V22" i="6"/>
  <c r="U22" i="6"/>
  <c r="X17" i="6"/>
  <c r="X46" i="6" s="1"/>
  <c r="W17" i="6"/>
  <c r="V17" i="6"/>
  <c r="U17" i="6"/>
  <c r="U46" i="6" s="1"/>
  <c r="T46" i="6"/>
  <c r="R46" i="6"/>
  <c r="Q46" i="6"/>
  <c r="P46" i="6"/>
  <c r="W10" i="6"/>
  <c r="U10" i="6"/>
  <c r="W8" i="6"/>
  <c r="V8" i="6"/>
  <c r="U8" i="6"/>
  <c r="X5" i="6"/>
  <c r="X8" i="6" s="1"/>
  <c r="V5" i="6"/>
  <c r="V10" i="6" s="1"/>
  <c r="R5" i="6"/>
  <c r="Q5" i="6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V46" i="5"/>
  <c r="U46" i="5"/>
  <c r="T46" i="5"/>
  <c r="Q46" i="5"/>
  <c r="P46" i="5"/>
  <c r="X24" i="5"/>
  <c r="W24" i="5"/>
  <c r="V24" i="5"/>
  <c r="U24" i="5"/>
  <c r="X22" i="5"/>
  <c r="W22" i="5"/>
  <c r="V22" i="5"/>
  <c r="U22" i="5"/>
  <c r="X17" i="5"/>
  <c r="W17" i="5"/>
  <c r="W46" i="5" s="1"/>
  <c r="V17" i="5"/>
  <c r="U17" i="5"/>
  <c r="S46" i="5"/>
  <c r="R46" i="5"/>
  <c r="X10" i="5"/>
  <c r="W10" i="5"/>
  <c r="V10" i="5"/>
  <c r="U10" i="5"/>
  <c r="X8" i="5"/>
  <c r="W8" i="5"/>
  <c r="V8" i="5"/>
  <c r="U8" i="5"/>
  <c r="X5" i="5"/>
  <c r="V5" i="5"/>
  <c r="R5" i="5"/>
  <c r="Q5" i="5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U46" i="4"/>
  <c r="S46" i="4"/>
  <c r="Q46" i="4"/>
  <c r="X24" i="4"/>
  <c r="W24" i="4"/>
  <c r="V24" i="4"/>
  <c r="U24" i="4"/>
  <c r="X22" i="4"/>
  <c r="W22" i="4"/>
  <c r="V22" i="4"/>
  <c r="U22" i="4"/>
  <c r="X17" i="4"/>
  <c r="X46" i="4" s="1"/>
  <c r="W17" i="4"/>
  <c r="W46" i="4" s="1"/>
  <c r="V17" i="4"/>
  <c r="V46" i="4" s="1"/>
  <c r="U17" i="4"/>
  <c r="T46" i="4"/>
  <c r="R46" i="4"/>
  <c r="P46" i="4"/>
  <c r="W10" i="4"/>
  <c r="U10" i="4"/>
  <c r="X8" i="4"/>
  <c r="W8" i="4"/>
  <c r="U8" i="4"/>
  <c r="X5" i="4"/>
  <c r="X10" i="4" s="1"/>
  <c r="V5" i="4"/>
  <c r="R5" i="4"/>
  <c r="Q5" i="4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V46" i="3"/>
  <c r="R46" i="3"/>
  <c r="P46" i="3"/>
  <c r="X24" i="3"/>
  <c r="W24" i="3"/>
  <c r="V24" i="3"/>
  <c r="U24" i="3"/>
  <c r="X22" i="3"/>
  <c r="W22" i="3"/>
  <c r="V22" i="3"/>
  <c r="U22" i="3"/>
  <c r="X17" i="3"/>
  <c r="X46" i="3" s="1"/>
  <c r="W17" i="3"/>
  <c r="W46" i="3" s="1"/>
  <c r="V17" i="3"/>
  <c r="U17" i="3"/>
  <c r="U46" i="3" s="1"/>
  <c r="T46" i="3"/>
  <c r="S46" i="3"/>
  <c r="Q46" i="3"/>
  <c r="X10" i="3"/>
  <c r="W10" i="3"/>
  <c r="U10" i="3"/>
  <c r="W8" i="3"/>
  <c r="V8" i="3"/>
  <c r="U8" i="3"/>
  <c r="X5" i="3"/>
  <c r="X8" i="3" s="1"/>
  <c r="V5" i="3"/>
  <c r="V10" i="3" s="1"/>
  <c r="R5" i="3"/>
  <c r="Q5" i="3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W46" i="2"/>
  <c r="S46" i="2"/>
  <c r="P46" i="2"/>
  <c r="X24" i="2"/>
  <c r="W24" i="2"/>
  <c r="V24" i="2"/>
  <c r="U24" i="2"/>
  <c r="X22" i="2"/>
  <c r="W22" i="2"/>
  <c r="V22" i="2"/>
  <c r="U22" i="2"/>
  <c r="X17" i="2"/>
  <c r="X46" i="2" s="1"/>
  <c r="W17" i="2"/>
  <c r="V17" i="2"/>
  <c r="V46" i="2" s="1"/>
  <c r="U17" i="2"/>
  <c r="U46" i="2" s="1"/>
  <c r="T46" i="2"/>
  <c r="R46" i="2"/>
  <c r="Q46" i="2"/>
  <c r="W10" i="2"/>
  <c r="U10" i="2"/>
  <c r="W8" i="2"/>
  <c r="V8" i="2"/>
  <c r="U8" i="2"/>
  <c r="X5" i="2"/>
  <c r="V5" i="2"/>
  <c r="V10" i="2" s="1"/>
  <c r="R5" i="2"/>
  <c r="Q5" i="2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U46" i="1"/>
  <c r="Q46" i="1"/>
  <c r="X24" i="1"/>
  <c r="W24" i="1"/>
  <c r="V24" i="1"/>
  <c r="U24" i="1"/>
  <c r="X22" i="1"/>
  <c r="W22" i="1"/>
  <c r="V22" i="1"/>
  <c r="U22" i="1"/>
  <c r="X17" i="1"/>
  <c r="X46" i="1" s="1"/>
  <c r="W17" i="1"/>
  <c r="W46" i="1" s="1"/>
  <c r="V17" i="1"/>
  <c r="V46" i="1" s="1"/>
  <c r="U17" i="1"/>
  <c r="T46" i="1"/>
  <c r="S46" i="1"/>
  <c r="R46" i="1"/>
  <c r="P46" i="1"/>
  <c r="W10" i="1"/>
  <c r="U10" i="1"/>
  <c r="W8" i="1"/>
  <c r="U8" i="1"/>
  <c r="X5" i="1"/>
  <c r="X10" i="1" s="1"/>
  <c r="V5" i="1"/>
  <c r="V8" i="1" s="1"/>
  <c r="R5" i="1"/>
  <c r="Q5" i="1"/>
  <c r="P47" i="1" l="1"/>
  <c r="P47" i="4"/>
  <c r="P47" i="5"/>
  <c r="X8" i="9"/>
  <c r="X10" i="9"/>
  <c r="V10" i="1"/>
  <c r="V8" i="4"/>
  <c r="V10" i="4"/>
  <c r="X10" i="6"/>
  <c r="X8" i="1"/>
  <c r="X10" i="2"/>
  <c r="X8" i="2"/>
  <c r="X10" i="8"/>
  <c r="X8" i="8"/>
  <c r="X8" i="10"/>
  <c r="V8" i="12"/>
  <c r="V10" i="12"/>
  <c r="V10" i="16"/>
  <c r="V8" i="16"/>
  <c r="V10" i="13"/>
  <c r="X10" i="15"/>
  <c r="U12" i="4" l="1"/>
  <c r="U13" i="4" s="1"/>
  <c r="Q47" i="4"/>
  <c r="P47" i="9"/>
  <c r="P47" i="15"/>
  <c r="P47" i="12"/>
  <c r="P47" i="6"/>
  <c r="Q47" i="2" l="1"/>
  <c r="R47" i="4"/>
  <c r="P47" i="3"/>
  <c r="P47" i="2"/>
  <c r="Q47" i="6"/>
  <c r="U12" i="16"/>
  <c r="U13" i="16" s="1"/>
  <c r="U7" i="4"/>
  <c r="Q47" i="9"/>
  <c r="Q47" i="15"/>
  <c r="Q47" i="11"/>
  <c r="P47" i="11"/>
  <c r="Q47" i="5"/>
  <c r="P47" i="8"/>
  <c r="V12" i="4"/>
  <c r="V13" i="4" s="1"/>
  <c r="U12" i="2" l="1"/>
  <c r="U13" i="2" s="1"/>
  <c r="R47" i="1"/>
  <c r="U7" i="5"/>
  <c r="V12" i="5" s="1"/>
  <c r="V13" i="5" s="1"/>
  <c r="U12" i="5"/>
  <c r="U13" i="5" s="1"/>
  <c r="U7" i="3"/>
  <c r="V12" i="3"/>
  <c r="V13" i="3" s="1"/>
  <c r="U12" i="3"/>
  <c r="U13" i="3" s="1"/>
  <c r="Q47" i="1"/>
  <c r="R47" i="11"/>
  <c r="V7" i="4"/>
  <c r="W12" i="4" s="1"/>
  <c r="W13" i="4" s="1"/>
  <c r="Q47" i="12"/>
  <c r="R47" i="6"/>
  <c r="U12" i="9"/>
  <c r="U13" i="9" s="1"/>
  <c r="U7" i="16"/>
  <c r="U7" i="12"/>
  <c r="U12" i="6"/>
  <c r="U13" i="6" s="1"/>
  <c r="Q47" i="3"/>
  <c r="U7" i="10"/>
  <c r="U12" i="10"/>
  <c r="U13" i="10" s="1"/>
  <c r="V12" i="10"/>
  <c r="V13" i="10" s="1"/>
  <c r="U12" i="11"/>
  <c r="U13" i="11" s="1"/>
  <c r="R47" i="2"/>
  <c r="R47" i="9"/>
  <c r="U12" i="12"/>
  <c r="U13" i="12" s="1"/>
  <c r="Q47" i="8"/>
  <c r="R47" i="8" l="1"/>
  <c r="S47" i="6"/>
  <c r="U7" i="13"/>
  <c r="U12" i="13"/>
  <c r="U13" i="13" s="1"/>
  <c r="R47" i="15"/>
  <c r="R47" i="3"/>
  <c r="U7" i="7"/>
  <c r="U12" i="7"/>
  <c r="U13" i="7" s="1"/>
  <c r="V7" i="3"/>
  <c r="S47" i="8"/>
  <c r="V7" i="12"/>
  <c r="U7" i="11"/>
  <c r="V7" i="16"/>
  <c r="V12" i="16"/>
  <c r="V13" i="16" s="1"/>
  <c r="S47" i="9"/>
  <c r="V12" i="13"/>
  <c r="V13" i="13" s="1"/>
  <c r="W7" i="4"/>
  <c r="V7" i="5"/>
  <c r="S47" i="4"/>
  <c r="U7" i="1"/>
  <c r="U12" i="1"/>
  <c r="U13" i="1" s="1"/>
  <c r="S47" i="2"/>
  <c r="U9" i="9"/>
  <c r="U7" i="9"/>
  <c r="V12" i="9"/>
  <c r="V13" i="9" s="1"/>
  <c r="S47" i="1"/>
  <c r="U7" i="8"/>
  <c r="U12" i="8"/>
  <c r="U13" i="8" s="1"/>
  <c r="V7" i="10"/>
  <c r="U7" i="6"/>
  <c r="U7" i="15"/>
  <c r="U12" i="15"/>
  <c r="U13" i="15" s="1"/>
  <c r="V12" i="15"/>
  <c r="V13" i="15" s="1"/>
  <c r="U7" i="14"/>
  <c r="V12" i="14"/>
  <c r="V13" i="14" s="1"/>
  <c r="U12" i="14"/>
  <c r="U13" i="14" s="1"/>
  <c r="R47" i="5"/>
  <c r="U7" i="2"/>
  <c r="V12" i="12"/>
  <c r="V13" i="12" s="1"/>
  <c r="S47" i="11" l="1"/>
  <c r="R47" i="12"/>
  <c r="V7" i="7"/>
  <c r="V12" i="7"/>
  <c r="V13" i="7" s="1"/>
  <c r="T47" i="8"/>
  <c r="W7" i="5"/>
  <c r="X12" i="5" s="1"/>
  <c r="X13" i="5" s="1"/>
  <c r="W12" i="5"/>
  <c r="W13" i="5" s="1"/>
  <c r="U9" i="6"/>
  <c r="U14" i="6" s="1"/>
  <c r="U18" i="6" s="1"/>
  <c r="U9" i="16"/>
  <c r="W7" i="10"/>
  <c r="X12" i="10" s="1"/>
  <c r="X13" i="10" s="1"/>
  <c r="V7" i="8"/>
  <c r="V12" i="8"/>
  <c r="V13" i="8" s="1"/>
  <c r="W12" i="8"/>
  <c r="W13" i="8" s="1"/>
  <c r="U9" i="8"/>
  <c r="T47" i="9"/>
  <c r="S47" i="5"/>
  <c r="U9" i="1"/>
  <c r="W7" i="16"/>
  <c r="V7" i="11"/>
  <c r="W12" i="11" s="1"/>
  <c r="W13" i="11" s="1"/>
  <c r="V12" i="11"/>
  <c r="V13" i="11" s="1"/>
  <c r="V7" i="6"/>
  <c r="V12" i="6"/>
  <c r="V13" i="6" s="1"/>
  <c r="T47" i="1"/>
  <c r="W7" i="12"/>
  <c r="W12" i="12"/>
  <c r="W13" i="12" s="1"/>
  <c r="W7" i="3"/>
  <c r="V7" i="2"/>
  <c r="V12" i="2"/>
  <c r="V13" i="2" s="1"/>
  <c r="V7" i="14"/>
  <c r="W12" i="14" s="1"/>
  <c r="W13" i="14" s="1"/>
  <c r="V7" i="15"/>
  <c r="W12" i="6"/>
  <c r="W13" i="6" s="1"/>
  <c r="T47" i="2"/>
  <c r="X12" i="3"/>
  <c r="X13" i="3" s="1"/>
  <c r="T47" i="6"/>
  <c r="W12" i="10"/>
  <c r="W13" i="10" s="1"/>
  <c r="U9" i="2"/>
  <c r="U14" i="2" s="1"/>
  <c r="U18" i="2" s="1"/>
  <c r="U14" i="9"/>
  <c r="U18" i="9" s="1"/>
  <c r="V7" i="9"/>
  <c r="W12" i="9" s="1"/>
  <c r="W13" i="9" s="1"/>
  <c r="U14" i="1"/>
  <c r="U18" i="1" s="1"/>
  <c r="V7" i="1"/>
  <c r="V12" i="1"/>
  <c r="V13" i="1" s="1"/>
  <c r="X7" i="4"/>
  <c r="X12" i="4"/>
  <c r="X13" i="4" s="1"/>
  <c r="W12" i="16"/>
  <c r="W13" i="16" s="1"/>
  <c r="X12" i="12"/>
  <c r="X13" i="12" s="1"/>
  <c r="W12" i="3"/>
  <c r="W13" i="3" s="1"/>
  <c r="V7" i="13"/>
  <c r="U9" i="4" l="1"/>
  <c r="U23" i="9"/>
  <c r="U25" i="9" s="1"/>
  <c r="U47" i="2"/>
  <c r="U19" i="2"/>
  <c r="U14" i="8"/>
  <c r="U18" i="8" s="1"/>
  <c r="W7" i="7"/>
  <c r="W12" i="7"/>
  <c r="W13" i="7" s="1"/>
  <c r="W7" i="1"/>
  <c r="X12" i="1" s="1"/>
  <c r="X13" i="1" s="1"/>
  <c r="W12" i="1"/>
  <c r="W13" i="1" s="1"/>
  <c r="U23" i="2"/>
  <c r="U25" i="2" s="1"/>
  <c r="V9" i="2"/>
  <c r="W12" i="2"/>
  <c r="W13" i="2" s="1"/>
  <c r="S47" i="3"/>
  <c r="X7" i="3"/>
  <c r="X7" i="12"/>
  <c r="W7" i="6"/>
  <c r="W7" i="11"/>
  <c r="V9" i="1"/>
  <c r="V14" i="1" s="1"/>
  <c r="V18" i="1" s="1"/>
  <c r="U23" i="1"/>
  <c r="U25" i="1" s="1"/>
  <c r="W7" i="8"/>
  <c r="U14" i="16"/>
  <c r="U18" i="16" s="1"/>
  <c r="U14" i="4"/>
  <c r="U18" i="4" s="1"/>
  <c r="V9" i="9"/>
  <c r="V14" i="9" s="1"/>
  <c r="V18" i="9" s="1"/>
  <c r="U9" i="5"/>
  <c r="U47" i="1"/>
  <c r="U19" i="1"/>
  <c r="W7" i="9"/>
  <c r="X12" i="9" s="1"/>
  <c r="X13" i="9" s="1"/>
  <c r="W7" i="14"/>
  <c r="X12" i="14" s="1"/>
  <c r="X13" i="14" s="1"/>
  <c r="U47" i="6"/>
  <c r="U19" i="6"/>
  <c r="X7" i="5"/>
  <c r="X12" i="7"/>
  <c r="X13" i="7" s="1"/>
  <c r="U9" i="13"/>
  <c r="W7" i="13"/>
  <c r="W12" i="13"/>
  <c r="W13" i="13" s="1"/>
  <c r="X12" i="13"/>
  <c r="X13" i="13" s="1"/>
  <c r="U47" i="9"/>
  <c r="U19" i="9"/>
  <c r="W7" i="15"/>
  <c r="X12" i="15" s="1"/>
  <c r="X13" i="15" s="1"/>
  <c r="V14" i="2"/>
  <c r="V18" i="2" s="1"/>
  <c r="W7" i="2"/>
  <c r="X7" i="16"/>
  <c r="X12" i="16"/>
  <c r="X13" i="16" s="1"/>
  <c r="S47" i="15"/>
  <c r="X7" i="10"/>
  <c r="T47" i="4"/>
  <c r="U23" i="6"/>
  <c r="U25" i="6" s="1"/>
  <c r="V9" i="6"/>
  <c r="V14" i="6" s="1"/>
  <c r="V18" i="6" s="1"/>
  <c r="T47" i="5"/>
  <c r="W12" i="15"/>
  <c r="W13" i="15" s="1"/>
  <c r="U23" i="8" l="1"/>
  <c r="U25" i="8" s="1"/>
  <c r="V9" i="8"/>
  <c r="V14" i="8" s="1"/>
  <c r="V18" i="8" s="1"/>
  <c r="U23" i="16"/>
  <c r="U9" i="10"/>
  <c r="U14" i="10" s="1"/>
  <c r="U18" i="10" s="1"/>
  <c r="U47" i="10" s="1"/>
  <c r="U9" i="3"/>
  <c r="V47" i="6"/>
  <c r="V19" i="6"/>
  <c r="V19" i="1"/>
  <c r="V47" i="1"/>
  <c r="U14" i="13"/>
  <c r="U18" i="13" s="1"/>
  <c r="S47" i="12"/>
  <c r="X7" i="9"/>
  <c r="V9" i="5"/>
  <c r="U23" i="5"/>
  <c r="U25" i="5" s="1"/>
  <c r="U14" i="5"/>
  <c r="U18" i="5" s="1"/>
  <c r="U23" i="4"/>
  <c r="U25" i="4" s="1"/>
  <c r="V9" i="16"/>
  <c r="X7" i="6"/>
  <c r="X12" i="6"/>
  <c r="X13" i="6" s="1"/>
  <c r="U19" i="8"/>
  <c r="U47" i="8"/>
  <c r="X7" i="14"/>
  <c r="V47" i="9"/>
  <c r="V19" i="9"/>
  <c r="T47" i="11"/>
  <c r="V9" i="4"/>
  <c r="X7" i="8"/>
  <c r="X12" i="8"/>
  <c r="X13" i="8" s="1"/>
  <c r="W9" i="1"/>
  <c r="W14" i="1" s="1"/>
  <c r="W18" i="1" s="1"/>
  <c r="V23" i="1"/>
  <c r="V25" i="1" s="1"/>
  <c r="W9" i="2"/>
  <c r="W14" i="2" s="1"/>
  <c r="W18" i="2" s="1"/>
  <c r="V23" i="2"/>
  <c r="V25" i="2" s="1"/>
  <c r="X7" i="1"/>
  <c r="W9" i="6"/>
  <c r="W14" i="6" s="1"/>
  <c r="W18" i="6" s="1"/>
  <c r="V23" i="6"/>
  <c r="V25" i="6" s="1"/>
  <c r="U14" i="3"/>
  <c r="U18" i="3" s="1"/>
  <c r="X7" i="15"/>
  <c r="U47" i="4"/>
  <c r="U19" i="4"/>
  <c r="X7" i="11"/>
  <c r="X7" i="2"/>
  <c r="X7" i="13"/>
  <c r="T47" i="3"/>
  <c r="V47" i="2"/>
  <c r="V19" i="2"/>
  <c r="U9" i="11"/>
  <c r="W9" i="9"/>
  <c r="V23" i="9"/>
  <c r="V25" i="9" s="1"/>
  <c r="V47" i="8"/>
  <c r="V19" i="8"/>
  <c r="X12" i="11"/>
  <c r="X13" i="11" s="1"/>
  <c r="X7" i="7"/>
  <c r="V23" i="8"/>
  <c r="V25" i="8" s="1"/>
  <c r="W9" i="8"/>
  <c r="W14" i="8" s="1"/>
  <c r="W18" i="8" s="1"/>
  <c r="X12" i="2"/>
  <c r="X13" i="2" s="1"/>
  <c r="V9" i="13" l="1"/>
  <c r="V9" i="10"/>
  <c r="V9" i="3"/>
  <c r="U23" i="3"/>
  <c r="U25" i="3" s="1"/>
  <c r="W19" i="1"/>
  <c r="W47" i="1"/>
  <c r="U14" i="11"/>
  <c r="U18" i="11" s="1"/>
  <c r="W19" i="6"/>
  <c r="W47" i="6"/>
  <c r="V14" i="13"/>
  <c r="V18" i="13" s="1"/>
  <c r="X9" i="8"/>
  <c r="X14" i="8" s="1"/>
  <c r="X18" i="8" s="1"/>
  <c r="W23" i="8"/>
  <c r="W25" i="8" s="1"/>
  <c r="W47" i="2"/>
  <c r="W19" i="2"/>
  <c r="V14" i="3"/>
  <c r="V18" i="3" s="1"/>
  <c r="T47" i="12"/>
  <c r="V14" i="16"/>
  <c r="V18" i="16" s="1"/>
  <c r="V23" i="5"/>
  <c r="V25" i="5" s="1"/>
  <c r="V14" i="5"/>
  <c r="V18" i="5" s="1"/>
  <c r="V14" i="10"/>
  <c r="V18" i="10" s="1"/>
  <c r="W19" i="8"/>
  <c r="W47" i="8"/>
  <c r="X9" i="1"/>
  <c r="W23" i="1"/>
  <c r="W25" i="1" s="1"/>
  <c r="V14" i="4"/>
  <c r="V18" i="4" s="1"/>
  <c r="U9" i="15"/>
  <c r="T47" i="15"/>
  <c r="U23" i="10"/>
  <c r="U25" i="10" s="1"/>
  <c r="U47" i="3"/>
  <c r="U19" i="3"/>
  <c r="X9" i="6"/>
  <c r="W23" i="6"/>
  <c r="W25" i="6" s="1"/>
  <c r="X9" i="2"/>
  <c r="W23" i="2"/>
  <c r="W25" i="2" s="1"/>
  <c r="U9" i="12"/>
  <c r="U19" i="5"/>
  <c r="U47" i="5"/>
  <c r="W14" i="9"/>
  <c r="W18" i="9" s="1"/>
  <c r="U23" i="13"/>
  <c r="W9" i="3" l="1"/>
  <c r="U23" i="11"/>
  <c r="U25" i="11" s="1"/>
  <c r="V9" i="11"/>
  <c r="V23" i="10"/>
  <c r="V25" i="10" s="1"/>
  <c r="W9" i="10"/>
  <c r="V23" i="3"/>
  <c r="V25" i="3" s="1"/>
  <c r="U14" i="12"/>
  <c r="U18" i="12" s="1"/>
  <c r="V47" i="4"/>
  <c r="V19" i="4"/>
  <c r="W47" i="9"/>
  <c r="W19" i="9"/>
  <c r="V14" i="11"/>
  <c r="V18" i="11" s="1"/>
  <c r="W23" i="9"/>
  <c r="W25" i="9" s="1"/>
  <c r="V23" i="4"/>
  <c r="V25" i="4" s="1"/>
  <c r="W14" i="10"/>
  <c r="X9" i="10" s="1"/>
  <c r="W14" i="3"/>
  <c r="W18" i="3" s="1"/>
  <c r="V23" i="13"/>
  <c r="X9" i="9"/>
  <c r="W9" i="4"/>
  <c r="X14" i="1"/>
  <c r="X18" i="1" s="1"/>
  <c r="V19" i="5"/>
  <c r="V47" i="5"/>
  <c r="V23" i="16"/>
  <c r="U9" i="14"/>
  <c r="X47" i="8"/>
  <c r="X19" i="8"/>
  <c r="W9" i="13"/>
  <c r="X14" i="2"/>
  <c r="X18" i="2" s="1"/>
  <c r="X14" i="6"/>
  <c r="X18" i="6" s="1"/>
  <c r="U23" i="15"/>
  <c r="U25" i="15" s="1"/>
  <c r="U14" i="15"/>
  <c r="U18" i="15" s="1"/>
  <c r="U9" i="7"/>
  <c r="W9" i="5"/>
  <c r="W9" i="16"/>
  <c r="V47" i="3"/>
  <c r="V19" i="3"/>
  <c r="X23" i="8"/>
  <c r="X25" i="8" s="1"/>
  <c r="U47" i="11"/>
  <c r="U19" i="11"/>
  <c r="V9" i="15" l="1"/>
  <c r="X23" i="1"/>
  <c r="X25" i="1" s="1"/>
  <c r="X14" i="10"/>
  <c r="X18" i="10" s="1"/>
  <c r="U14" i="7"/>
  <c r="U18" i="7" s="1"/>
  <c r="W14" i="4"/>
  <c r="W18" i="4" s="1"/>
  <c r="W47" i="3"/>
  <c r="W19" i="3"/>
  <c r="U47" i="15"/>
  <c r="U19" i="15"/>
  <c r="X23" i="6"/>
  <c r="X25" i="6" s="1"/>
  <c r="X14" i="9"/>
  <c r="X18" i="9" s="1"/>
  <c r="W23" i="3"/>
  <c r="W25" i="3" s="1"/>
  <c r="W23" i="10"/>
  <c r="W25" i="10" s="1"/>
  <c r="V47" i="11"/>
  <c r="V19" i="11"/>
  <c r="U19" i="12"/>
  <c r="U47" i="12"/>
  <c r="X47" i="6"/>
  <c r="X19" i="6"/>
  <c r="W14" i="16"/>
  <c r="W23" i="16" s="1"/>
  <c r="V14" i="15"/>
  <c r="V18" i="15" s="1"/>
  <c r="X47" i="2"/>
  <c r="X19" i="2"/>
  <c r="U14" i="14"/>
  <c r="U18" i="14" s="1"/>
  <c r="X47" i="1"/>
  <c r="X19" i="1"/>
  <c r="X23" i="2"/>
  <c r="X25" i="2" s="1"/>
  <c r="X9" i="3"/>
  <c r="V23" i="11"/>
  <c r="V25" i="11" s="1"/>
  <c r="U23" i="12"/>
  <c r="U25" i="12" s="1"/>
  <c r="W14" i="5"/>
  <c r="W18" i="5" s="1"/>
  <c r="W14" i="13"/>
  <c r="X9" i="13" s="1"/>
  <c r="W9" i="11"/>
  <c r="V9" i="12"/>
  <c r="W23" i="5" l="1"/>
  <c r="W25" i="5" s="1"/>
  <c r="X9" i="16"/>
  <c r="V9" i="14"/>
  <c r="U23" i="7"/>
  <c r="V23" i="15"/>
  <c r="V25" i="15" s="1"/>
  <c r="W23" i="13"/>
  <c r="X23" i="9"/>
  <c r="X25" i="9" s="1"/>
  <c r="X9" i="5"/>
  <c r="X14" i="5" s="1"/>
  <c r="X18" i="5" s="1"/>
  <c r="X14" i="13"/>
  <c r="X18" i="13" s="1"/>
  <c r="V14" i="14"/>
  <c r="V18" i="14" s="1"/>
  <c r="X14" i="16"/>
  <c r="X18" i="16" s="1"/>
  <c r="W47" i="4"/>
  <c r="W19" i="4"/>
  <c r="W14" i="11"/>
  <c r="W18" i="11" s="1"/>
  <c r="W47" i="5"/>
  <c r="W19" i="5"/>
  <c r="W9" i="15"/>
  <c r="X47" i="9"/>
  <c r="X19" i="9"/>
  <c r="X9" i="4"/>
  <c r="V9" i="7"/>
  <c r="X14" i="3"/>
  <c r="X18" i="3" s="1"/>
  <c r="W23" i="4"/>
  <c r="W25" i="4" s="1"/>
  <c r="X47" i="10"/>
  <c r="X19" i="10"/>
  <c r="V14" i="12"/>
  <c r="V18" i="12" s="1"/>
  <c r="U23" i="14"/>
  <c r="V19" i="15"/>
  <c r="V47" i="15"/>
  <c r="X23" i="10"/>
  <c r="X25" i="10" s="1"/>
  <c r="X23" i="5" l="1"/>
  <c r="X25" i="5" s="1"/>
  <c r="V23" i="14"/>
  <c r="V23" i="12"/>
  <c r="V25" i="12" s="1"/>
  <c r="X23" i="3"/>
  <c r="X25" i="3" s="1"/>
  <c r="W47" i="11"/>
  <c r="W19" i="11"/>
  <c r="V47" i="12"/>
  <c r="V19" i="12"/>
  <c r="V14" i="7"/>
  <c r="V18" i="7" s="1"/>
  <c r="X9" i="15"/>
  <c r="W14" i="15"/>
  <c r="W18" i="15" s="1"/>
  <c r="W23" i="11"/>
  <c r="W25" i="11" s="1"/>
  <c r="W9" i="14"/>
  <c r="X14" i="4"/>
  <c r="X18" i="4" s="1"/>
  <c r="X9" i="11"/>
  <c r="X23" i="16"/>
  <c r="X47" i="5"/>
  <c r="X19" i="5"/>
  <c r="W9" i="12"/>
  <c r="X47" i="3"/>
  <c r="X19" i="3"/>
  <c r="X23" i="13"/>
  <c r="W14" i="14" l="1"/>
  <c r="X9" i="14" s="1"/>
  <c r="W14" i="12"/>
  <c r="W18" i="12" s="1"/>
  <c r="X19" i="4"/>
  <c r="X47" i="4"/>
  <c r="W47" i="15"/>
  <c r="W19" i="15"/>
  <c r="W9" i="7"/>
  <c r="X14" i="15"/>
  <c r="X18" i="15" s="1"/>
  <c r="X14" i="11"/>
  <c r="X18" i="11" s="1"/>
  <c r="X23" i="4"/>
  <c r="X25" i="4" s="1"/>
  <c r="W23" i="15"/>
  <c r="W25" i="15" s="1"/>
  <c r="V23" i="7"/>
  <c r="X23" i="15" l="1"/>
  <c r="X25" i="15" s="1"/>
  <c r="X9" i="12"/>
  <c r="X14" i="14"/>
  <c r="X18" i="14" s="1"/>
  <c r="X14" i="12"/>
  <c r="X18" i="12" s="1"/>
  <c r="X19" i="11"/>
  <c r="X47" i="11"/>
  <c r="W14" i="7"/>
  <c r="W23" i="7" s="1"/>
  <c r="X23" i="11"/>
  <c r="X25" i="11" s="1"/>
  <c r="W47" i="12"/>
  <c r="W19" i="12"/>
  <c r="W23" i="14"/>
  <c r="W25" i="14" s="1"/>
  <c r="X47" i="15"/>
  <c r="X19" i="15"/>
  <c r="W23" i="12"/>
  <c r="W25" i="12" s="1"/>
  <c r="X9" i="7" l="1"/>
  <c r="X14" i="7" s="1"/>
  <c r="X18" i="7" s="1"/>
  <c r="B22" i="17" s="1" a="1"/>
  <c r="X19" i="12"/>
  <c r="X47" i="12"/>
  <c r="X23" i="12"/>
  <c r="X25" i="12" s="1"/>
  <c r="X23" i="14"/>
  <c r="X25" i="14" s="1"/>
  <c r="L38" i="17" l="1"/>
  <c r="L44" i="17" s="1"/>
  <c r="J38" i="17"/>
  <c r="K38" i="17"/>
  <c r="K44" i="17" s="1"/>
  <c r="B22" i="17"/>
  <c r="I38" i="17"/>
  <c r="G38" i="17"/>
  <c r="J44" i="17"/>
  <c r="J51" i="17" s="1"/>
  <c r="F38" i="17"/>
  <c r="H38" i="17"/>
  <c r="M38" i="17"/>
  <c r="M44" i="17" s="1"/>
  <c r="N38" i="17"/>
  <c r="N44" i="17" s="1"/>
  <c r="X23" i="7"/>
  <c r="X25" i="7" s="1"/>
  <c r="N51" i="17" l="1"/>
  <c r="N52" i="17" s="1"/>
  <c r="N45" i="17"/>
  <c r="K45" i="17"/>
  <c r="K51" i="17"/>
  <c r="K52" i="17" s="1"/>
  <c r="M45" i="17"/>
  <c r="M51" i="17"/>
  <c r="M52" i="17" s="1"/>
  <c r="L51" i="17"/>
  <c r="L52" i="17" s="1"/>
  <c r="L4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<sst xmlns="http://schemas.openxmlformats.org/spreadsheetml/2006/main" count="687" uniqueCount="62">
  <si>
    <t>Depreciação 2010</t>
  </si>
  <si>
    <t>Nome Cia</t>
  </si>
  <si>
    <t>Data</t>
  </si>
  <si>
    <t xml:space="preserve"> Patrim Liq
 Em moeda orig
 em milhares
 consolid:sim*</t>
  </si>
  <si>
    <t xml:space="preserve"> Lucro Liquido
 Em moeda orig
 em milhares
 no exercício
 consolid:sim*</t>
  </si>
  <si>
    <t xml:space="preserve"> IntLiq
 Em moeda orig
 em milhares
 consolid:sim*</t>
  </si>
  <si>
    <t xml:space="preserve"> Imobil
 Em moeda orig
 em milhares
 consolid:sim*</t>
  </si>
  <si>
    <t>Valor Mercado
da empresa
Em moeda orig
em milhares</t>
  </si>
  <si>
    <t>Ano</t>
  </si>
  <si>
    <t>2015</t>
  </si>
  <si>
    <t>Inflação (IPC)</t>
  </si>
  <si>
    <t>2016</t>
  </si>
  <si>
    <t>CMB (Efeito Imediato: Ano)</t>
  </si>
  <si>
    <t>2017</t>
  </si>
  <si>
    <t>CM Ativos não Monetários (inicial)</t>
  </si>
  <si>
    <t>2018</t>
  </si>
  <si>
    <t>CM Ativos não Monetários (variação)</t>
  </si>
  <si>
    <t>2019</t>
  </si>
  <si>
    <t>CM PL (inicial)</t>
  </si>
  <si>
    <t>2020</t>
  </si>
  <si>
    <t>CM PL (variação)</t>
  </si>
  <si>
    <t>2021</t>
  </si>
  <si>
    <t>CMB (Efeito Mediato: Futuro)</t>
  </si>
  <si>
    <t>2022</t>
  </si>
  <si>
    <t>Depreciação (Correção)</t>
  </si>
  <si>
    <t>2023</t>
  </si>
  <si>
    <t>Correção da Depreciação</t>
  </si>
  <si>
    <t>2024</t>
  </si>
  <si>
    <t>Saldo Credor/(Devedor)</t>
  </si>
  <si>
    <t xml:space="preserve">Lucro Líquido Contábil </t>
  </si>
  <si>
    <t>Lucro com efeitos inflacionário</t>
  </si>
  <si>
    <t>Lucro Verdadeiro/Lucro Contábil</t>
  </si>
  <si>
    <t xml:space="preserve">PL </t>
  </si>
  <si>
    <t>PL com inflação (corrigido)</t>
  </si>
  <si>
    <t>Valor de Mercado</t>
  </si>
  <si>
    <t>Valor de Mercado / PL corrigido</t>
  </si>
  <si>
    <t xml:space="preserve">Dividend Payout pago </t>
  </si>
  <si>
    <t xml:space="preserve">Dividend Payout Lucro com inflação </t>
  </si>
  <si>
    <t>Dividend Yield (%)</t>
  </si>
  <si>
    <t>BPAC11</t>
  </si>
  <si>
    <t>ALTR</t>
  </si>
  <si>
    <t>BCP</t>
  </si>
  <si>
    <t>COR</t>
  </si>
  <si>
    <t>CTT</t>
  </si>
  <si>
    <t>EDP</t>
  </si>
  <si>
    <t>EDPR</t>
  </si>
  <si>
    <t>EGL</t>
  </si>
  <si>
    <t>GALP</t>
  </si>
  <si>
    <t>IBS</t>
  </si>
  <si>
    <t>JMT</t>
  </si>
  <si>
    <t>NBA</t>
  </si>
  <si>
    <t>NOS</t>
  </si>
  <si>
    <t>NVG</t>
  </si>
  <si>
    <t>RENE</t>
  </si>
  <si>
    <t>SEM</t>
  </si>
  <si>
    <t>SON</t>
  </si>
  <si>
    <t>Ação</t>
  </si>
  <si>
    <t>Média</t>
  </si>
  <si>
    <t>Perda Inflacionária</t>
  </si>
  <si>
    <t>Ajustando a uma mesma "moeda"</t>
  </si>
  <si>
    <t>Lucro Inflacionário</t>
  </si>
  <si>
    <t xml:space="preserve">Lucro Líquido Original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</si>
</sst>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\-??_-;_-@_-"/>
    <numFmt numFmtId="165" formatCode="_-* #,##0.00_-;\-* #,##0.00_-;_-* \-??_-;_-@_-"/>
    <numFmt numFmtId="166" formatCode="_-* #,##0_-;\-* #,##0_-;_-* &quot;-&quot;??_-;_-@_-"/>
  </numFmts>
  <fonts count="18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b/>
      <sz val="10"/>
      <color theme="1"/>
      <name val="Times New Roman"/>
      <family val="1"/>
      <charset val="1"/>
    </font>
    <font>
      <sz val="8"/>
      <color rgb="FF333333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sz val="9"/>
      <color rgb="FF333333"/>
      <name val="Arial"/>
      <family val="2"/>
      <charset val="1"/>
    </font>
    <font>
      <sz val="10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  <fill>
      <patternFill patternType="solid">
        <fgColor rgb="FF92D050"/>
        <bgColor rgb="FF9BBB59"/>
      </patternFill>
    </fill>
  </fills>
  <borders count="6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0D7E5"/>
      </left>
      <right/>
      <top style="thin">
        <color auto="1"/>
      </top>
      <bottom/>
      <diagonal/>
    </border>
    <border>
      <left style="thin">
        <color rgb="FFD0D7E5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12" fillId="0" borderId="0"/>
    <xf numFmtId="9" fontId="12" fillId="0" borderId="0"/>
  </cellStyleXfs>
  <cellXfs count="79">
    <xf numFmtId="0" fontId="0" fillId="0" borderId="0" xfId="0"/>
    <xf numFmtId="0" fontId="1" fillId="0" borderId="0" xfId="0" applyFont="1" applyAlignment="1">
      <alignment horizontal="left" vertical="center"/>
    </xf>
    <xf numFmtId="10" fontId="0" fillId="0" borderId="0" xfId="0" applyNumberFormat="1"/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top" wrapText="1"/>
    </xf>
    <xf numFmtId="0" fontId="2" fillId="0" borderId="2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right" vertical="center"/>
    </xf>
    <xf numFmtId="0" fontId="2" fillId="0" borderId="3" xfId="0" applyFont="1" applyBorder="1"/>
    <xf numFmtId="10" fontId="2" fillId="0" borderId="3" xfId="0" applyNumberFormat="1" applyFont="1" applyBorder="1" applyAlignment="1">
      <alignment horizontal="center"/>
    </xf>
    <xf numFmtId="10" fontId="2" fillId="4" borderId="3" xfId="0" applyNumberFormat="1" applyFont="1" applyFill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7" fillId="0" borderId="2" xfId="0" applyFont="1" applyBorder="1"/>
    <xf numFmtId="164" fontId="7" fillId="0" borderId="2" xfId="0" applyNumberFormat="1" applyFont="1" applyBorder="1"/>
    <xf numFmtId="164" fontId="7" fillId="5" borderId="0" xfId="0" applyNumberFormat="1" applyFont="1" applyFill="1"/>
    <xf numFmtId="164" fontId="2" fillId="0" borderId="3" xfId="0" applyNumberFormat="1" applyFont="1" applyBorder="1"/>
    <xf numFmtId="0" fontId="8" fillId="0" borderId="4" xfId="0" applyFont="1" applyBorder="1"/>
    <xf numFmtId="3" fontId="2" fillId="0" borderId="0" xfId="0" applyNumberFormat="1" applyFont="1"/>
    <xf numFmtId="0" fontId="2" fillId="0" borderId="5" xfId="0" applyFont="1" applyBorder="1"/>
    <xf numFmtId="164" fontId="7" fillId="0" borderId="3" xfId="0" applyNumberFormat="1" applyFont="1" applyBorder="1"/>
    <xf numFmtId="10" fontId="2" fillId="0" borderId="3" xfId="0" applyNumberFormat="1" applyFont="1" applyBorder="1"/>
    <xf numFmtId="0" fontId="7" fillId="0" borderId="3" xfId="0" applyFont="1" applyBorder="1"/>
    <xf numFmtId="164" fontId="7" fillId="4" borderId="3" xfId="0" applyNumberFormat="1" applyFont="1" applyFill="1" applyBorder="1"/>
    <xf numFmtId="164" fontId="7" fillId="5" borderId="3" xfId="0" applyNumberFormat="1" applyFont="1" applyFill="1" applyBorder="1"/>
    <xf numFmtId="164" fontId="0" fillId="0" borderId="0" xfId="0" applyNumberFormat="1"/>
    <xf numFmtId="10" fontId="7" fillId="0" borderId="0" xfId="0" applyNumberFormat="1" applyFont="1"/>
    <xf numFmtId="10" fontId="7" fillId="0" borderId="3" xfId="0" applyNumberFormat="1" applyFont="1" applyBorder="1"/>
    <xf numFmtId="4" fontId="9" fillId="4" borderId="3" xfId="0" applyNumberFormat="1" applyFont="1" applyFill="1" applyBorder="1" applyAlignment="1">
      <alignment horizontal="right" vertical="center"/>
    </xf>
    <xf numFmtId="0" fontId="5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10" fillId="0" borderId="4" xfId="0" applyFont="1" applyBorder="1"/>
    <xf numFmtId="164" fontId="11" fillId="0" borderId="0" xfId="0" applyNumberFormat="1" applyFont="1"/>
    <xf numFmtId="0" fontId="10" fillId="0" borderId="5" xfId="0" applyFont="1" applyBorder="1"/>
    <xf numFmtId="164" fontId="11" fillId="0" borderId="3" xfId="0" applyNumberFormat="1" applyFont="1" applyBorder="1"/>
    <xf numFmtId="10" fontId="5" fillId="0" borderId="3" xfId="0" applyNumberFormat="1" applyFont="1" applyBorder="1"/>
    <xf numFmtId="0" fontId="5" fillId="0" borderId="0" xfId="0" applyFont="1"/>
    <xf numFmtId="0" fontId="5" fillId="0" borderId="5" xfId="0" applyFont="1" applyBorder="1"/>
    <xf numFmtId="9" fontId="7" fillId="0" borderId="0" xfId="0" applyNumberFormat="1" applyFont="1"/>
    <xf numFmtId="9" fontId="7" fillId="0" borderId="3" xfId="0" applyNumberFormat="1" applyFont="1" applyBorder="1"/>
    <xf numFmtId="0" fontId="6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3" fillId="0" borderId="0" xfId="0" applyFont="1" applyAlignment="1">
      <alignment horizontal="center"/>
    </xf>
    <xf numFmtId="164" fontId="12" fillId="0" borderId="0" xfId="1" applyNumberFormat="1"/>
    <xf numFmtId="0" fontId="15" fillId="0" borderId="0" xfId="0" applyFont="1"/>
    <xf numFmtId="166" fontId="13" fillId="0" borderId="0" xfId="1" applyNumberFormat="1" applyFont="1"/>
    <xf numFmtId="0" fontId="16" fillId="0" borderId="0" xfId="0" applyFont="1"/>
    <xf numFmtId="10" fontId="14" fillId="0" borderId="0" xfId="2" applyNumberFormat="1" applyFont="1" applyAlignment="1">
      <alignment horizontal="center"/>
    </xf>
    <xf numFmtId="166" fontId="17" fillId="0" borderId="0" xfId="0" applyNumberFormat="1" applyFont="1"/>
    <xf numFmtId="164" fontId="13" fillId="0" borderId="0" xfId="1" applyNumberFormat="1" applyFont="1"/>
    <xf numFmtId="166" fontId="13" fillId="0" borderId="0" xfId="0" applyNumberFormat="1" applyFont="1"/>
    <xf numFmtId="49" fontId="13" fillId="0" borderId="0" xfId="0" applyNumberFormat="1" applyFont="1" applyAlignment="1">
      <alignment horizontal="center"/>
    </xf>
    <xf numFmtId="164" fontId="7" fillId="0" borderId="0" xfId="0" applyNumberFormat="1" applyFont="1" applyBorder="1"/>
    <xf numFmtId="0" fontId="2" fillId="0" borderId="0" xfId="0" applyFont="1" applyFill="1"/>
    <xf numFmtId="10" fontId="0" fillId="0" borderId="0" xfId="0" applyNumberFormat="1" applyFill="1"/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164" fontId="7" fillId="0" borderId="0" xfId="0" applyNumberFormat="1" applyFont="1" applyFill="1"/>
    <xf numFmtId="164" fontId="2" fillId="0" borderId="3" xfId="0" applyNumberFormat="1" applyFont="1" applyFill="1" applyBorder="1"/>
    <xf numFmtId="0" fontId="0" fillId="0" borderId="0" xfId="0" applyFill="1"/>
    <xf numFmtId="0" fontId="5" fillId="0" borderId="2" xfId="0" applyFont="1" applyFill="1" applyBorder="1" applyAlignment="1">
      <alignment horizontal="center"/>
    </xf>
    <xf numFmtId="164" fontId="7" fillId="0" borderId="3" xfId="0" applyNumberFormat="1" applyFont="1" applyFill="1" applyBorder="1"/>
    <xf numFmtId="10" fontId="2" fillId="0" borderId="3" xfId="0" applyNumberFormat="1" applyFont="1" applyFill="1" applyBorder="1"/>
    <xf numFmtId="0" fontId="7" fillId="0" borderId="0" xfId="0" applyFont="1" applyFill="1"/>
    <xf numFmtId="164" fontId="5" fillId="0" borderId="3" xfId="0" applyNumberFormat="1" applyFont="1" applyFill="1" applyBorder="1"/>
    <xf numFmtId="164" fontId="11" fillId="0" borderId="0" xfId="0" applyNumberFormat="1" applyFont="1" applyFill="1"/>
    <xf numFmtId="164" fontId="11" fillId="0" borderId="3" xfId="0" applyNumberFormat="1" applyFont="1" applyFill="1" applyBorder="1"/>
    <xf numFmtId="10" fontId="5" fillId="0" borderId="3" xfId="0" applyNumberFormat="1" applyFont="1" applyFill="1" applyBorder="1"/>
    <xf numFmtId="10" fontId="7" fillId="0" borderId="0" xfId="0" applyNumberFormat="1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EEEEEE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59595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Composição do Lucro com efeito de CMB (</a:t>
            </a:r>
            <a:r>
              <a:rPr lang="pt-B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€$ em milhão)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'Composição do Lucro'!$J$56</c:f>
              <c:strCache>
                <c:ptCount val="1"/>
                <c:pt idx="0">
                  <c:v>Lucro Líquido Original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'Composição do Lucro'!$K$55:$N$55</c:f>
              <c:numCache>
                <c:formatCode>@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'Composição do Lucro'!$K$56:$N$56</c:f>
              <c:numCache>
                <c:formatCode>_-* #,##0_-;\-* #,##0_-;_-* \-??_-;_-@_-</c:formatCode>
                <c:ptCount val="4"/>
                <c:pt idx="0">
                  <c:v>226423385.50318536</c:v>
                </c:pt>
                <c:pt idx="1">
                  <c:v>267343960.70576751</c:v>
                </c:pt>
                <c:pt idx="2">
                  <c:v>259298523.86424997</c:v>
                </c:pt>
                <c:pt idx="3">
                  <c:v>221118130.5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7-44B2-BB2D-C428848C59BA}"/>
            </c:ext>
          </c:extLst>
        </c:ser>
        <c:ser>
          <c:idx val="2"/>
          <c:order val="1"/>
          <c:tx>
            <c:strRef>
              <c:f>'Composição do Lucro'!$J$57</c:f>
              <c:strCache>
                <c:ptCount val="1"/>
                <c:pt idx="0">
                  <c:v>Lucro Inflacionário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'Composição do Lucro'!$K$55:$N$55</c:f>
              <c:numCache>
                <c:formatCode>@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'Composição do Lucro'!$K$57:$N$57</c:f>
              <c:numCache>
                <c:formatCode>_-* #,##0_-;\-* #,##0_-;_-* \-??_-;_-@_-</c:formatCode>
                <c:ptCount val="4"/>
                <c:pt idx="0">
                  <c:v>15502235.577224344</c:v>
                </c:pt>
                <c:pt idx="1">
                  <c:v>196711383.46337187</c:v>
                </c:pt>
                <c:pt idx="2">
                  <c:v>74721375.520303398</c:v>
                </c:pt>
                <c:pt idx="3">
                  <c:v>41209237.465464205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77-44B2-BB2D-C428848C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64396207"/>
        <c:axId val="1464376527"/>
      </c:barChart>
      <c:lineChart>
        <c:grouping val="stacked"/>
        <c:varyColors val="0"/>
        <c:ser>
          <c:idx val="3"/>
          <c:order val="2"/>
          <c:tx>
            <c:strRef>
              <c:f>'Composição do Lucro'!$J$58</c:f>
              <c:strCache>
                <c:ptCount val="1"/>
                <c:pt idx="0">
                  <c:v>Lucro Líquido Contábil 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'Composição do Lucro'!$K$58:$N$58</c:f>
              <c:numCache>
                <c:formatCode>_-* #,##0_-;\-* #,##0_-;_-* \-??_-;_-@_-</c:formatCode>
                <c:ptCount val="4"/>
                <c:pt idx="0">
                  <c:v>226423385.50318536</c:v>
                </c:pt>
                <c:pt idx="1">
                  <c:v>267343960.70576751</c:v>
                </c:pt>
                <c:pt idx="2">
                  <c:v>259298523.86424997</c:v>
                </c:pt>
                <c:pt idx="3">
                  <c:v>221118130.5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77-44B2-BB2D-C428848C59BA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'Composição do Lucro'!$K$55:$N$55</c:f>
              <c:numCache>
                <c:formatCode>@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77-44B2-BB2D-C428848C5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396207"/>
        <c:axId val="1464376527"/>
      </c:lineChart>
      <c:dateAx>
        <c:axId val="1464396207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76527"/>
        <c:crosses val="autoZero"/>
        <c:auto val="0"/>
        <c:lblOffset val="100"/>
        <c:baseTimeUnit val="days"/>
      </c:dateAx>
      <c:valAx>
        <c:axId val="14643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\-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396207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633411</xdr:colOff>
      <xdr:row>59</xdr:row>
      <xdr:rowOff>185737</xdr:rowOff>
    </xdr:from>
    <xdr:to>
      <xdr:col>13</xdr:col>
      <xdr:colOff>847725</xdr:colOff>
      <xdr:row>73</xdr:row>
      <xdr:rowOff>114301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081F631-87E7-9C0F-A072-74646BE0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D05E-FC0A-4229-A694-86E8016ACB77}">
  <dimension ref="B1:AH58"/>
  <sheetViews>
    <sheetView showGridLines="0" tabSelected="1" topLeftCell="D40" workbookViewId="0">
      <selection activeCell="Q64" sqref="Q64"/>
    </sheetView>
  </sheetViews>
  <sheetFormatPr defaultRowHeight="15" x14ac:dyDescent="0.25"/>
  <cols>
    <col min="3" max="3" width="20.85546875" customWidth="1"/>
    <col min="4" max="4" width="2.28515625" customWidth="1"/>
    <col min="5" max="5" width="0.42578125" customWidth="1"/>
    <col min="10" max="10" width="29" customWidth="1"/>
    <col min="11" max="11" width="15.28515625" bestFit="1" customWidth="1"/>
    <col min="12" max="14" width="16.85546875" bestFit="1" customWidth="1"/>
  </cols>
  <sheetData>
    <row r="1" spans="2:34" x14ac:dyDescent="0.25">
      <c r="B1" s="49" t="s">
        <v>56</v>
      </c>
      <c r="C1" s="50" t="s">
        <v>8</v>
      </c>
      <c r="D1" s="49"/>
      <c r="E1" s="51"/>
      <c r="F1" s="52">
        <v>2016</v>
      </c>
      <c r="G1" s="52">
        <v>2017</v>
      </c>
      <c r="H1" s="52">
        <v>2018</v>
      </c>
      <c r="I1" s="52">
        <v>2019</v>
      </c>
      <c r="J1" s="52">
        <v>2020</v>
      </c>
      <c r="K1" s="52">
        <v>2021</v>
      </c>
      <c r="L1" s="52">
        <v>2022</v>
      </c>
      <c r="M1" s="52">
        <v>2023</v>
      </c>
      <c r="N1" s="52">
        <v>2024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</row>
    <row r="2" spans="2:34" x14ac:dyDescent="0.25">
      <c r="B2" t="str" cm="1">
        <f t="array" ref="B2:N17">_xlfn.VSTACK(ALTRI:SON.LS!L17:X17)</f>
        <v>ALTR</v>
      </c>
      <c r="C2" t="str">
        <v xml:space="preserve">Lucro Líquido Contábil </v>
      </c>
      <c r="D2" s="56">
        <v>0</v>
      </c>
      <c r="E2" s="56">
        <v>0</v>
      </c>
      <c r="F2">
        <v>0</v>
      </c>
      <c r="G2">
        <v>0</v>
      </c>
      <c r="H2">
        <v>0</v>
      </c>
      <c r="I2">
        <v>0</v>
      </c>
      <c r="J2">
        <v>0</v>
      </c>
      <c r="K2" s="53">
        <v>134673293</v>
      </c>
      <c r="L2" s="53">
        <v>152534849</v>
      </c>
      <c r="M2" s="53">
        <v>42786141</v>
      </c>
      <c r="N2" s="53">
        <v>107204025</v>
      </c>
    </row>
    <row r="3" spans="2:34" x14ac:dyDescent="0.25">
      <c r="B3" t="str">
        <v>BCP</v>
      </c>
      <c r="C3" t="str">
        <v xml:space="preserve">Lucro Líquido Contábil </v>
      </c>
      <c r="D3" s="56">
        <v>0</v>
      </c>
      <c r="E3" s="56">
        <v>0</v>
      </c>
      <c r="F3">
        <v>0</v>
      </c>
      <c r="G3">
        <v>0</v>
      </c>
      <c r="H3">
        <v>0</v>
      </c>
      <c r="I3">
        <v>0</v>
      </c>
      <c r="J3">
        <v>0</v>
      </c>
      <c r="K3" s="53">
        <v>138082000</v>
      </c>
      <c r="L3" s="53">
        <v>197386000</v>
      </c>
      <c r="M3" s="53">
        <v>856050000</v>
      </c>
      <c r="N3" s="53">
        <v>906378000</v>
      </c>
    </row>
    <row r="4" spans="2:34" x14ac:dyDescent="0.25">
      <c r="B4" t="str">
        <v>COR</v>
      </c>
      <c r="C4" t="str">
        <v xml:space="preserve">Lucro Líquido Contábil </v>
      </c>
      <c r="D4" s="56">
        <v>0</v>
      </c>
      <c r="E4" s="56">
        <v>0</v>
      </c>
      <c r="F4">
        <v>0</v>
      </c>
      <c r="G4">
        <v>0</v>
      </c>
      <c r="H4">
        <v>0</v>
      </c>
      <c r="I4">
        <v>0</v>
      </c>
      <c r="J4">
        <v>0</v>
      </c>
      <c r="K4" s="53">
        <v>74755000</v>
      </c>
      <c r="L4" s="53">
        <v>98395000</v>
      </c>
      <c r="M4" s="53">
        <v>88897000</v>
      </c>
      <c r="N4" s="53">
        <v>69699000</v>
      </c>
    </row>
    <row r="5" spans="2:34" x14ac:dyDescent="0.25">
      <c r="B5" t="str">
        <v>CTT</v>
      </c>
      <c r="C5" t="str">
        <v xml:space="preserve">Lucro Líquido Contábil </v>
      </c>
      <c r="D5" s="56">
        <v>0</v>
      </c>
      <c r="E5" s="56">
        <v>0</v>
      </c>
      <c r="F5">
        <v>0</v>
      </c>
      <c r="G5">
        <v>0</v>
      </c>
      <c r="H5">
        <v>0</v>
      </c>
      <c r="I5">
        <v>0</v>
      </c>
      <c r="J5">
        <v>0</v>
      </c>
      <c r="K5" s="53">
        <v>38404113</v>
      </c>
      <c r="L5" s="53">
        <v>36406519</v>
      </c>
      <c r="M5" s="53">
        <v>60511368</v>
      </c>
      <c r="N5" s="53">
        <v>45536317</v>
      </c>
    </row>
    <row r="6" spans="2:34" x14ac:dyDescent="0.25">
      <c r="B6" t="str">
        <v>EDP</v>
      </c>
      <c r="C6" t="str">
        <v xml:space="preserve">Lucro Líquido Contábil </v>
      </c>
      <c r="D6" s="56">
        <v>0</v>
      </c>
      <c r="E6" s="56">
        <v>0</v>
      </c>
      <c r="F6">
        <v>0</v>
      </c>
      <c r="G6">
        <v>0</v>
      </c>
      <c r="H6">
        <v>0</v>
      </c>
      <c r="I6">
        <v>0</v>
      </c>
      <c r="J6">
        <v>0</v>
      </c>
      <c r="K6" s="53">
        <v>656717000</v>
      </c>
      <c r="L6" s="53">
        <v>679001000</v>
      </c>
      <c r="M6" s="53">
        <v>952348000</v>
      </c>
      <c r="N6" s="53">
        <v>800980000</v>
      </c>
    </row>
    <row r="7" spans="2:34" x14ac:dyDescent="0.25">
      <c r="B7" t="str">
        <v>EDPR</v>
      </c>
      <c r="C7" t="str">
        <v xml:space="preserve">Lucro Líquido Contábil </v>
      </c>
      <c r="D7" s="56">
        <v>0</v>
      </c>
      <c r="E7" s="56">
        <v>0</v>
      </c>
      <c r="F7">
        <v>0</v>
      </c>
      <c r="G7">
        <v>0</v>
      </c>
      <c r="H7">
        <v>0</v>
      </c>
      <c r="I7">
        <v>0</v>
      </c>
      <c r="J7">
        <v>0</v>
      </c>
      <c r="K7" s="53">
        <v>655443000</v>
      </c>
      <c r="L7" s="53">
        <v>616231000</v>
      </c>
      <c r="M7" s="53">
        <v>309014000</v>
      </c>
      <c r="N7" s="53">
        <v>-556174000</v>
      </c>
    </row>
    <row r="8" spans="2:34" x14ac:dyDescent="0.25">
      <c r="B8" t="str">
        <v>EGL</v>
      </c>
      <c r="C8" t="str">
        <v xml:space="preserve">Lucro Líquido Contábil </v>
      </c>
      <c r="D8" s="56">
        <v>0</v>
      </c>
      <c r="E8" s="56">
        <v>0</v>
      </c>
      <c r="F8">
        <v>0</v>
      </c>
      <c r="G8">
        <v>0</v>
      </c>
      <c r="H8">
        <v>0</v>
      </c>
      <c r="I8">
        <v>0</v>
      </c>
      <c r="J8">
        <v>0</v>
      </c>
      <c r="K8" s="53">
        <v>24101000</v>
      </c>
      <c r="L8" s="53">
        <v>0</v>
      </c>
      <c r="M8" s="53">
        <v>0</v>
      </c>
      <c r="N8" s="53">
        <v>0</v>
      </c>
    </row>
    <row r="9" spans="2:34" x14ac:dyDescent="0.25">
      <c r="B9" t="str">
        <v>GALP</v>
      </c>
      <c r="C9" t="str">
        <v xml:space="preserve">Lucro Líquido Contábil </v>
      </c>
      <c r="D9" s="56">
        <v>0</v>
      </c>
      <c r="E9" s="56">
        <v>0</v>
      </c>
      <c r="F9">
        <v>0</v>
      </c>
      <c r="G9">
        <v>0</v>
      </c>
      <c r="H9">
        <v>0</v>
      </c>
      <c r="I9">
        <v>0</v>
      </c>
      <c r="J9">
        <v>0</v>
      </c>
      <c r="K9" s="53">
        <v>4000000</v>
      </c>
      <c r="L9" s="53">
        <v>1475000000</v>
      </c>
      <c r="M9" s="53">
        <v>1242000000</v>
      </c>
      <c r="N9" s="53">
        <v>1040000000</v>
      </c>
    </row>
    <row r="10" spans="2:34" x14ac:dyDescent="0.25">
      <c r="B10" t="str">
        <v>IBS</v>
      </c>
      <c r="C10" t="str">
        <v xml:space="preserve">Lucro Líquido Contábil </v>
      </c>
      <c r="D10" s="56">
        <v>0</v>
      </c>
      <c r="E10" s="56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53">
        <v>31379907</v>
      </c>
      <c r="L10" s="53">
        <v>159875149</v>
      </c>
      <c r="M10" s="53">
        <v>15537446</v>
      </c>
      <c r="N10" s="53">
        <v>13851797</v>
      </c>
    </row>
    <row r="11" spans="2:34" x14ac:dyDescent="0.25">
      <c r="B11" t="str">
        <v>JMT</v>
      </c>
      <c r="C11" t="str">
        <v xml:space="preserve">Lucro Líquido Contábil </v>
      </c>
      <c r="D11" s="56">
        <v>0</v>
      </c>
      <c r="E11" s="56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53">
        <v>463000000</v>
      </c>
      <c r="L11" s="53">
        <v>0</v>
      </c>
      <c r="M11" s="53">
        <v>0</v>
      </c>
      <c r="N11" s="53">
        <v>599000000</v>
      </c>
    </row>
    <row r="12" spans="2:34" x14ac:dyDescent="0.25">
      <c r="B12" t="str">
        <v>NBA</v>
      </c>
      <c r="C12" t="str">
        <v xml:space="preserve">Lucro Líquido Contábil </v>
      </c>
      <c r="D12" s="56">
        <v>0</v>
      </c>
      <c r="E12" s="56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53">
        <v>8706000</v>
      </c>
      <c r="L12" s="53">
        <v>8917000</v>
      </c>
      <c r="M12" s="53">
        <v>47058000</v>
      </c>
      <c r="N12" s="53">
        <v>6420000</v>
      </c>
    </row>
    <row r="13" spans="2:34" x14ac:dyDescent="0.25">
      <c r="B13" t="str">
        <v>NOS</v>
      </c>
      <c r="C13" t="str">
        <v xml:space="preserve">Lucro Líquido Contábil </v>
      </c>
      <c r="D13" s="56">
        <v>0</v>
      </c>
      <c r="E13" s="56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53">
        <v>144159000</v>
      </c>
      <c r="L13" s="53">
        <v>224574000</v>
      </c>
      <c r="M13" s="53">
        <v>180995000</v>
      </c>
      <c r="N13" s="53">
        <v>272259000</v>
      </c>
    </row>
    <row r="14" spans="2:34" x14ac:dyDescent="0.25">
      <c r="B14" t="str">
        <v>NVG</v>
      </c>
      <c r="C14" t="str">
        <v xml:space="preserve">Lucro Líquido Contábil </v>
      </c>
      <c r="D14" s="56">
        <v>0</v>
      </c>
      <c r="E14" s="56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53">
        <v>171411455</v>
      </c>
      <c r="L14" s="53">
        <v>0</v>
      </c>
      <c r="M14" s="53">
        <v>0</v>
      </c>
      <c r="N14" s="53">
        <v>0</v>
      </c>
    </row>
    <row r="15" spans="2:34" x14ac:dyDescent="0.25">
      <c r="B15" t="str">
        <v>RENE</v>
      </c>
      <c r="C15" t="str">
        <v xml:space="preserve">Lucro Líquido Contábil </v>
      </c>
      <c r="D15" s="56">
        <v>0</v>
      </c>
      <c r="E15" s="56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53">
        <v>97153000</v>
      </c>
      <c r="L15" s="53">
        <v>0</v>
      </c>
      <c r="M15" s="53">
        <v>0</v>
      </c>
      <c r="N15" s="53">
        <v>0</v>
      </c>
    </row>
    <row r="16" spans="2:34" x14ac:dyDescent="0.25">
      <c r="B16" t="str">
        <v>SEM</v>
      </c>
      <c r="C16" t="str">
        <v xml:space="preserve">Lucro Líquido Contábil </v>
      </c>
      <c r="D16" s="56">
        <v>0</v>
      </c>
      <c r="E16" s="5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53">
        <v>198128028</v>
      </c>
      <c r="L16" s="53">
        <v>307089834</v>
      </c>
      <c r="M16" s="53">
        <v>244507409</v>
      </c>
      <c r="N16" s="53">
        <v>232735949</v>
      </c>
    </row>
    <row r="17" spans="2:14" x14ac:dyDescent="0.25">
      <c r="B17" t="str">
        <v>SON</v>
      </c>
      <c r="C17" t="str">
        <v xml:space="preserve">Lucro Líquido Contábil </v>
      </c>
      <c r="D17" s="56">
        <v>0</v>
      </c>
      <c r="E17" s="56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53">
        <v>267477000</v>
      </c>
      <c r="L17" s="53">
        <v>0</v>
      </c>
      <c r="M17" s="53">
        <v>0</v>
      </c>
      <c r="N17" s="53">
        <v>0</v>
      </c>
    </row>
    <row r="18" spans="2:14" x14ac:dyDescent="0.25">
      <c r="C18" s="49" t="s">
        <v>57</v>
      </c>
      <c r="D18" s="51"/>
      <c r="E18" s="54"/>
      <c r="F18" s="55">
        <f>+ AVERAGEIF(F2:F17, "&lt;&gt;",F2:F17)</f>
        <v>0</v>
      </c>
      <c r="G18" s="55">
        <f t="shared" ref="G18:N18" si="0">+ AVERAGEIF(G2:G17, "&lt;&gt;",G2:G17)</f>
        <v>0</v>
      </c>
      <c r="H18" s="55">
        <f t="shared" si="0"/>
        <v>0</v>
      </c>
      <c r="I18" s="55">
        <f t="shared" si="0"/>
        <v>0</v>
      </c>
      <c r="J18" s="55">
        <f t="shared" si="0"/>
        <v>0</v>
      </c>
      <c r="K18" s="55">
        <f t="shared" si="0"/>
        <v>194224362.25</v>
      </c>
      <c r="L18" s="55">
        <f t="shared" si="0"/>
        <v>247213146.9375</v>
      </c>
      <c r="M18" s="55">
        <f t="shared" si="0"/>
        <v>252481522.75</v>
      </c>
      <c r="N18" s="55">
        <f t="shared" si="0"/>
        <v>221118130.5</v>
      </c>
    </row>
    <row r="21" spans="2:14" x14ac:dyDescent="0.25">
      <c r="B21" s="49" t="s">
        <v>56</v>
      </c>
      <c r="C21" s="50" t="s">
        <v>8</v>
      </c>
      <c r="D21" s="49"/>
      <c r="E21" s="51"/>
      <c r="F21" s="52">
        <v>2016</v>
      </c>
      <c r="G21" s="52">
        <v>2017</v>
      </c>
      <c r="H21" s="52">
        <v>2018</v>
      </c>
      <c r="I21" s="52">
        <v>2019</v>
      </c>
      <c r="J21" s="52">
        <v>2020</v>
      </c>
      <c r="K21" s="52">
        <v>2021</v>
      </c>
      <c r="L21" s="52">
        <v>2022</v>
      </c>
      <c r="M21" s="52">
        <v>2023</v>
      </c>
      <c r="N21" s="52">
        <v>2024</v>
      </c>
    </row>
    <row r="22" spans="2:14" x14ac:dyDescent="0.25">
      <c r="B22" t="str" cm="1">
        <f t="array" ref="B22:N37">_xlfn.VSTACK(ALTRI:SON.LS!L18:X18)</f>
        <v>ALTR</v>
      </c>
      <c r="C22" t="str">
        <v>Lucro com efeitos inflacionário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133809786.7006</v>
      </c>
      <c r="L22">
        <v>139173593.21839252</v>
      </c>
      <c r="M22">
        <v>36868929.752838753</v>
      </c>
      <c r="N22">
        <v>103969217.94558616</v>
      </c>
    </row>
    <row r="23" spans="2:14" x14ac:dyDescent="0.25">
      <c r="B23" t="str">
        <v>BCP</v>
      </c>
      <c r="C23" t="str">
        <v>Lucro com efeitos inflacionário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103728811.15000001</v>
      </c>
      <c r="L23">
        <v>-188230785.81630051</v>
      </c>
      <c r="M23">
        <v>640889833.13152933</v>
      </c>
      <c r="N23">
        <v>763112953.62019587</v>
      </c>
    </row>
    <row r="24" spans="2:14" x14ac:dyDescent="0.25">
      <c r="B24" t="str">
        <v>COR</v>
      </c>
      <c r="C24" t="str">
        <v>Lucro com efeitos inflacionário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72915754.25</v>
      </c>
      <c r="L24">
        <v>77334011.960293069</v>
      </c>
      <c r="M24">
        <v>77113946.350435227</v>
      </c>
      <c r="N24">
        <v>61363548.053886518</v>
      </c>
    </row>
    <row r="25" spans="2:14" x14ac:dyDescent="0.25">
      <c r="B25" t="str">
        <v>CTT</v>
      </c>
      <c r="C25" t="str">
        <v>Lucro com efeitos inflacionário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39584018.310999997</v>
      </c>
      <c r="L25">
        <v>49437967.25447619</v>
      </c>
      <c r="M25">
        <v>65206610.656221956</v>
      </c>
      <c r="N25">
        <v>47361530.12642175</v>
      </c>
    </row>
    <row r="26" spans="2:14" x14ac:dyDescent="0.25">
      <c r="B26" t="str">
        <v>EDP</v>
      </c>
      <c r="C26" t="str">
        <v>Lucro com efeitos inflacionário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768102057.89999998</v>
      </c>
      <c r="L26">
        <v>2206570151.8914642</v>
      </c>
      <c r="M26">
        <v>1775399743.012253</v>
      </c>
      <c r="N26">
        <v>1182769311.8566</v>
      </c>
    </row>
    <row r="27" spans="2:14" x14ac:dyDescent="0.25">
      <c r="B27" t="str">
        <v>EDPR</v>
      </c>
      <c r="C27" t="str">
        <v>Lucro com efeitos inflacionário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697499570.70000005</v>
      </c>
      <c r="L27">
        <v>1271904768.1005807</v>
      </c>
      <c r="M27">
        <v>693600935.60301375</v>
      </c>
      <c r="N27">
        <v>-378077437.99806732</v>
      </c>
    </row>
    <row r="28" spans="2:14" x14ac:dyDescent="0.25">
      <c r="B28" t="str">
        <v>EGL</v>
      </c>
      <c r="C28" t="str">
        <v>Lucro com efeitos inflacionário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32534269.899999999</v>
      </c>
      <c r="L28">
        <v>108599235.66228043</v>
      </c>
      <c r="M28">
        <v>0</v>
      </c>
      <c r="N28">
        <v>34160279.771829963</v>
      </c>
    </row>
    <row r="29" spans="2:14" x14ac:dyDescent="0.25">
      <c r="B29" t="str">
        <v>GALP</v>
      </c>
      <c r="C29" t="str">
        <v>Lucro com efeitos inflacionário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28396700</v>
      </c>
      <c r="L29">
        <v>1753875346.6017079</v>
      </c>
      <c r="M29">
        <v>1372728333.6656575</v>
      </c>
      <c r="N29">
        <v>1088452675.1275773</v>
      </c>
    </row>
    <row r="30" spans="2:14" x14ac:dyDescent="0.25">
      <c r="B30" t="str">
        <v>IBS</v>
      </c>
      <c r="C30" t="str">
        <v>Lucro com efeitos inflacionário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32399351.646400001</v>
      </c>
      <c r="L30">
        <v>160679770.77980572</v>
      </c>
      <c r="M30">
        <v>11549169.733083753</v>
      </c>
      <c r="N30">
        <v>13317748.87169385</v>
      </c>
    </row>
    <row r="31" spans="2:14" x14ac:dyDescent="0.25">
      <c r="B31" t="str">
        <v>JMT</v>
      </c>
      <c r="C31" t="str">
        <v>Lucro com efeitos inflacionário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489054050</v>
      </c>
      <c r="L31">
        <v>342657807.22690654</v>
      </c>
      <c r="M31">
        <v>0</v>
      </c>
      <c r="N31">
        <v>722874617.35575008</v>
      </c>
    </row>
    <row r="32" spans="2:14" x14ac:dyDescent="0.25">
      <c r="B32" t="str">
        <v>NBA</v>
      </c>
      <c r="C32" t="str">
        <v>Lucro com efeitos inflacionário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8335312.4000000004</v>
      </c>
      <c r="L32">
        <v>4641977.5855592918</v>
      </c>
      <c r="M32">
        <v>44624924.908149689</v>
      </c>
      <c r="N32">
        <v>4924605.6848335909</v>
      </c>
    </row>
    <row r="33" spans="2:14" x14ac:dyDescent="0.25">
      <c r="B33" t="str">
        <v>NOS</v>
      </c>
      <c r="C33" t="str">
        <v>Lucro com efeitos inflacionário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149773504.90000001</v>
      </c>
      <c r="L33">
        <v>294900481.13680434</v>
      </c>
      <c r="M33">
        <v>214348263.35618812</v>
      </c>
      <c r="N33">
        <v>282055045.47361404</v>
      </c>
    </row>
    <row r="34" spans="2:14" x14ac:dyDescent="0.25">
      <c r="B34" t="str">
        <v>NVG</v>
      </c>
      <c r="C34" t="str">
        <v>Lucro com efeitos inflacionário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172531358.8689</v>
      </c>
      <c r="L34">
        <v>4280304.7443419648</v>
      </c>
      <c r="M34">
        <v>0</v>
      </c>
      <c r="N34">
        <v>-3742279.1295386571</v>
      </c>
    </row>
    <row r="35" spans="2:14" x14ac:dyDescent="0.25">
      <c r="B35" t="str">
        <v>RENE</v>
      </c>
      <c r="C35" t="str">
        <v>Lucro com efeitos inflacionário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115141210.15000001</v>
      </c>
      <c r="L35">
        <v>215252063.42269719</v>
      </c>
      <c r="M35">
        <v>0</v>
      </c>
      <c r="N35">
        <v>49807617.486244433</v>
      </c>
    </row>
    <row r="36" spans="2:14" x14ac:dyDescent="0.25">
      <c r="B36" t="str">
        <v>SEM</v>
      </c>
      <c r="C36" t="str">
        <v>Lucro com efeitos inflacionário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205004330.4145</v>
      </c>
      <c r="L36">
        <v>384883430.11579365</v>
      </c>
      <c r="M36">
        <v>279845833.39807141</v>
      </c>
      <c r="N36">
        <v>248004183.18054262</v>
      </c>
    </row>
    <row r="37" spans="2:14" x14ac:dyDescent="0.25">
      <c r="B37" t="str">
        <v>SON</v>
      </c>
      <c r="C37" t="str">
        <v>Lucro com efeitos inflacionário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271543019.30000001</v>
      </c>
      <c r="L37">
        <v>41452615.173282005</v>
      </c>
      <c r="M37">
        <v>0</v>
      </c>
      <c r="N37">
        <v>11433506.346705066</v>
      </c>
    </row>
    <row r="38" spans="2:14" x14ac:dyDescent="0.25">
      <c r="C38" s="49" t="s">
        <v>57</v>
      </c>
      <c r="D38" s="51"/>
      <c r="E38" s="54"/>
      <c r="F38" s="55">
        <f>+ AVERAGEIF(F22:F37, "&lt;&gt;",F22:F37)</f>
        <v>0</v>
      </c>
      <c r="G38" s="55">
        <f t="shared" ref="G38" si="1">+ AVERAGEIF(G22:G37, "&lt;&gt;",G22:G37)</f>
        <v>0</v>
      </c>
      <c r="H38" s="55">
        <f t="shared" ref="H38" si="2">+ AVERAGEIF(H22:H37, "&lt;&gt;",H22:H37)</f>
        <v>0</v>
      </c>
      <c r="I38" s="55">
        <f t="shared" ref="I38" si="3">+ AVERAGEIF(I22:I37, "&lt;&gt;",I22:I37)</f>
        <v>0</v>
      </c>
      <c r="J38" s="55">
        <f t="shared" ref="J38" si="4">+ AVERAGEIF(J22:J37, "&lt;&gt;",J22:J37)</f>
        <v>0</v>
      </c>
      <c r="K38" s="55">
        <f t="shared" ref="K38" si="5">+ AVERAGEIF(K22:K37, "&lt;&gt;",K22:K37)</f>
        <v>207522069.16196251</v>
      </c>
      <c r="L38" s="55">
        <f t="shared" ref="L38" si="6">+ AVERAGEIF(L22:L37, "&lt;&gt;",L22:L37)</f>
        <v>429213296.19113028</v>
      </c>
      <c r="M38" s="55">
        <f t="shared" ref="M38" si="7">+ AVERAGEIF(M22:M37, "&lt;&gt;",M22:M37)</f>
        <v>325761032.72296512</v>
      </c>
      <c r="N38" s="55">
        <f t="shared" ref="N38" si="8">+ AVERAGEIF(N22:N37, "&lt;&gt;",N22:N37)</f>
        <v>264486695.23586723</v>
      </c>
    </row>
    <row r="42" spans="2:14" x14ac:dyDescent="0.25">
      <c r="F42" s="52"/>
      <c r="G42" s="52"/>
      <c r="H42" s="52"/>
      <c r="I42" s="52"/>
      <c r="J42" s="52" t="str">
        <f>+C21</f>
        <v>Ano</v>
      </c>
      <c r="K42" s="52">
        <v>2021</v>
      </c>
      <c r="L42" s="52">
        <v>2022</v>
      </c>
      <c r="M42" s="52">
        <v>2023</v>
      </c>
      <c r="N42" s="52">
        <v>2024</v>
      </c>
    </row>
    <row r="43" spans="2:14" x14ac:dyDescent="0.25">
      <c r="J43" s="49" t="str">
        <f>+C10</f>
        <v xml:space="preserve">Lucro Líquido Contábil </v>
      </c>
      <c r="K43" s="58">
        <f>+K18</f>
        <v>194224362.25</v>
      </c>
      <c r="L43" s="58">
        <f t="shared" ref="L43:N43" si="9">+L18</f>
        <v>247213146.9375</v>
      </c>
      <c r="M43" s="58">
        <f t="shared" si="9"/>
        <v>252481522.75</v>
      </c>
      <c r="N43" s="58">
        <f t="shared" si="9"/>
        <v>221118130.5</v>
      </c>
    </row>
    <row r="44" spans="2:14" x14ac:dyDescent="0.25">
      <c r="J44" s="49" t="str">
        <f>+C37</f>
        <v>Lucro com efeitos inflacionário</v>
      </c>
      <c r="K44" s="58">
        <f>+K38</f>
        <v>207522069.16196251</v>
      </c>
      <c r="L44" s="58">
        <f t="shared" ref="L44:N44" si="10">+L38</f>
        <v>429213296.19113028</v>
      </c>
      <c r="M44" s="58">
        <f t="shared" si="10"/>
        <v>325761032.72296512</v>
      </c>
      <c r="N44" s="58">
        <f t="shared" si="10"/>
        <v>264486695.23586723</v>
      </c>
    </row>
    <row r="45" spans="2:14" x14ac:dyDescent="0.25">
      <c r="J45" s="49" t="s">
        <v>58</v>
      </c>
      <c r="K45" s="58">
        <f>+K43-K44</f>
        <v>-13297706.911962509</v>
      </c>
      <c r="L45" s="58">
        <f t="shared" ref="L45:N45" si="11">+L43-L44</f>
        <v>-182000149.25363028</v>
      </c>
      <c r="M45" s="58">
        <f t="shared" si="11"/>
        <v>-73279509.972965121</v>
      </c>
      <c r="N45" s="58">
        <f t="shared" si="11"/>
        <v>-43368564.735867232</v>
      </c>
    </row>
    <row r="47" spans="2:14" x14ac:dyDescent="0.25">
      <c r="J47" t="s">
        <v>59</v>
      </c>
      <c r="K47" s="57">
        <v>0.16578261799999994</v>
      </c>
      <c r="L47" s="57">
        <v>8.1430999999999809E-2</v>
      </c>
      <c r="M47" s="57">
        <v>2.6999999999999913E-2</v>
      </c>
      <c r="N47" s="57">
        <v>0</v>
      </c>
    </row>
    <row r="49" spans="6:14" x14ac:dyDescent="0.25">
      <c r="F49" s="52"/>
      <c r="G49" s="52"/>
      <c r="H49" s="52"/>
      <c r="I49" s="52"/>
      <c r="J49" s="52" t="str">
        <f>+J42</f>
        <v>Ano</v>
      </c>
      <c r="K49" s="52">
        <v>2021</v>
      </c>
      <c r="L49" s="52">
        <v>2022</v>
      </c>
      <c r="M49" s="52">
        <v>2023</v>
      </c>
      <c r="N49" s="52">
        <v>2024</v>
      </c>
    </row>
    <row r="50" spans="6:14" x14ac:dyDescent="0.25">
      <c r="J50" s="49" t="str">
        <f>+J43</f>
        <v xml:space="preserve">Lucro Líquido Contábil </v>
      </c>
      <c r="K50" s="59">
        <f>+K43*(100%+K47)</f>
        <v>226423385.50318536</v>
      </c>
      <c r="L50" s="59">
        <f t="shared" ref="L50:N50" si="12">+L43*(100%+L47)</f>
        <v>267343960.70576751</v>
      </c>
      <c r="M50" s="59">
        <f t="shared" si="12"/>
        <v>259298523.86424997</v>
      </c>
      <c r="N50" s="59">
        <f t="shared" si="12"/>
        <v>221118130.5</v>
      </c>
    </row>
    <row r="51" spans="6:14" x14ac:dyDescent="0.25">
      <c r="J51" s="49" t="str">
        <f>+J44</f>
        <v>Lucro com efeitos inflacionário</v>
      </c>
      <c r="K51" s="59">
        <f>+K44*(100%+K47)</f>
        <v>241925621.08040971</v>
      </c>
      <c r="L51" s="59">
        <f t="shared" ref="L51:N51" si="13">+L44*(100%+L47)</f>
        <v>464164564.1132701</v>
      </c>
      <c r="M51" s="59">
        <f t="shared" si="13"/>
        <v>334556580.60648513</v>
      </c>
      <c r="N51" s="59">
        <f t="shared" si="13"/>
        <v>264486695.23586723</v>
      </c>
    </row>
    <row r="52" spans="6:14" x14ac:dyDescent="0.25">
      <c r="J52" s="49" t="s">
        <v>60</v>
      </c>
      <c r="K52" s="60">
        <f>(+K51-K50)</f>
        <v>15502235.577224344</v>
      </c>
      <c r="L52" s="60">
        <f>(+L51-L50)</f>
        <v>196820603.40750259</v>
      </c>
      <c r="M52" s="60">
        <f>(+M51-M50)</f>
        <v>75258056.742235154</v>
      </c>
      <c r="N52" s="60">
        <f>(+N51-N50)</f>
        <v>43368564.735867232</v>
      </c>
    </row>
    <row r="53" spans="6:14" x14ac:dyDescent="0.25">
      <c r="J53" s="49" t="s">
        <v>29</v>
      </c>
      <c r="K53" s="60">
        <v>226423385.50318536</v>
      </c>
      <c r="L53" s="60">
        <v>267343960.70576751</v>
      </c>
      <c r="M53" s="60">
        <v>259298523.86424997</v>
      </c>
      <c r="N53" s="60">
        <v>221118130.5</v>
      </c>
    </row>
    <row r="54" spans="6:14" x14ac:dyDescent="0.25">
      <c r="J54" s="49" t="s">
        <v>29</v>
      </c>
      <c r="K54" s="60">
        <v>226423385.50318536</v>
      </c>
      <c r="L54" s="60">
        <v>267343960.70576751</v>
      </c>
      <c r="M54" s="60">
        <v>259298523.86424997</v>
      </c>
      <c r="N54" s="60">
        <v>221118130.5</v>
      </c>
    </row>
    <row r="55" spans="6:14" x14ac:dyDescent="0.25">
      <c r="J55" s="52" t="s">
        <v>8</v>
      </c>
      <c r="K55" s="61">
        <v>2021</v>
      </c>
      <c r="L55" s="61">
        <v>2022</v>
      </c>
      <c r="M55" s="61">
        <v>2023</v>
      </c>
      <c r="N55" s="61">
        <v>2024</v>
      </c>
    </row>
    <row r="56" spans="6:14" x14ac:dyDescent="0.25">
      <c r="J56" s="49" t="s">
        <v>61</v>
      </c>
      <c r="K56" s="59">
        <v>226423385.50318536</v>
      </c>
      <c r="L56" s="59">
        <v>267343960.70576751</v>
      </c>
      <c r="M56" s="59">
        <v>259298523.86424997</v>
      </c>
      <c r="N56" s="59">
        <v>221118130.5</v>
      </c>
    </row>
    <row r="57" spans="6:14" x14ac:dyDescent="0.25">
      <c r="J57" s="49" t="s">
        <v>60</v>
      </c>
      <c r="K57" s="59">
        <v>15502235.577224344</v>
      </c>
      <c r="L57" s="59">
        <v>196711383.46337187</v>
      </c>
      <c r="M57" s="59">
        <v>74721375.520303398</v>
      </c>
      <c r="N57" s="59">
        <v>41209237.465464205</v>
      </c>
    </row>
    <row r="58" spans="6:14" x14ac:dyDescent="0.25">
      <c r="J58" s="49" t="s">
        <v>29</v>
      </c>
      <c r="K58" s="59">
        <v>226423385.50318536</v>
      </c>
      <c r="L58" s="59">
        <v>267343960.70576751</v>
      </c>
      <c r="M58" s="59">
        <v>259298523.86424997</v>
      </c>
      <c r="N58" s="59">
        <v>221118130.5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2" width="13.85546875" customWidth="1"/>
    <col min="3" max="6" width="11" customWidth="1"/>
    <col min="7" max="7" width="13.5703125" customWidth="1"/>
    <col min="8" max="10" width="11" customWidth="1"/>
    <col min="11" max="11" width="12.7109375" customWidth="1"/>
    <col min="12" max="12" width="9" customWidth="1"/>
    <col min="13" max="13" width="16.28515625" customWidth="1"/>
    <col min="14" max="14" width="16.5703125" customWidth="1"/>
    <col min="16" max="16" width="13.28515625" customWidth="1"/>
    <col min="17" max="17" width="13.140625" customWidth="1"/>
    <col min="18" max="24" width="13.28515625" customWidth="1"/>
    <col min="25" max="30" width="14.28515625" customWidth="1"/>
    <col min="31" max="31" width="11.85546875" customWidth="1"/>
    <col min="32" max="40" width="14.28515625" customWidth="1"/>
    <col min="41" max="42" width="15.28515625" customWidth="1"/>
    <col min="43" max="43" width="17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4.6199999999999998E-2</v>
      </c>
      <c r="P1" s="2"/>
    </row>
    <row r="2" spans="1:24" ht="15" customHeight="1" x14ac:dyDescent="0.25">
      <c r="A2" s="1"/>
      <c r="P2" s="2"/>
    </row>
    <row r="3" spans="1:24" ht="15" customHeight="1" x14ac:dyDescent="0.25">
      <c r="M3" s="63" t="s">
        <v>1</v>
      </c>
      <c r="N3" t="str">
        <f>+L17</f>
        <v>ALTR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5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6"/>
      <c r="Q7" s="16"/>
      <c r="R7" s="16"/>
      <c r="S7" s="16"/>
      <c r="T7" s="16"/>
      <c r="U7" s="16">
        <f>((D10+E10+T7+S7+R7+Q7+P7+SUM($P$8:T8))*U5)</f>
        <v>0</v>
      </c>
      <c r="V7" s="16">
        <f>((D11+E11+U7+T7+S7+R7+Q7+P7+SUM($P$8:U8))*V5)</f>
        <v>32001364.299166247</v>
      </c>
      <c r="W7" s="16">
        <f>((D12+E12+V7+U7+T7+S7+R7+Q7+P7+SUM($P$8:V8))*W5)</f>
        <v>18974024.252289459</v>
      </c>
      <c r="X7" s="16">
        <f>((D13+E13+W7+V7+U7+T7+S7+R7+Q7+P7+SUM($P$8:W8))*X5)</f>
        <v>11277778.281778403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2578881.61515</v>
      </c>
      <c r="V8" s="17">
        <f>((D12+E12)-(D11+E11))*(V5^1/2)</f>
        <v>-17735.654700000003</v>
      </c>
      <c r="W8" s="17">
        <f>((D13+E13)-(D12+E12))*(W5^1/2)</f>
        <v>143813.42934999999</v>
      </c>
      <c r="X8" s="17">
        <f>((D14+E14)-(D13+E13))*(X5^1/2)</f>
        <v>-202308.04330000022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42649008.904366247</v>
      </c>
      <c r="W9" s="17">
        <f>+(B12+V9+U9+T9+S9+R9+Q9+P9+P10+Q10+R10+S10+T10+U10+V10+P14+Q14+R14+S14+T14+U14+V14)*W5</f>
        <v>27675413.80389287</v>
      </c>
      <c r="X9" s="17">
        <f>+(B13+W9+V9+U9+T9+S9+R9+Q9+P9+P10+Q10+R10+S10+T10+U10+V10+W10+P14+Q14+R14+S14+T14+U14+V14+W14)*X5</f>
        <v>11115028.806026751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3442387.9145499999</v>
      </c>
      <c r="V10" s="19">
        <f>((B12-B11)*(V5^1/2))</f>
        <v>2567402.1900000004</v>
      </c>
      <c r="W10" s="19">
        <f>((B13-B12)*(W5^1/2))</f>
        <v>-4315705.4918</v>
      </c>
      <c r="X10" s="19">
        <f>((B14-B13)*(X5^1/2))</f>
        <v>574746.01910000062</v>
      </c>
    </row>
    <row r="11" spans="1:24" ht="15" customHeight="1" x14ac:dyDescent="0.25">
      <c r="A11" s="8" t="s">
        <v>21</v>
      </c>
      <c r="B11" s="65">
        <v>542108333</v>
      </c>
      <c r="C11" s="65">
        <v>134673293</v>
      </c>
      <c r="D11" s="65">
        <v>405755821</v>
      </c>
      <c r="E11" s="65">
        <v>367268</v>
      </c>
      <c r="F11" s="65"/>
      <c r="G11" s="65"/>
      <c r="H11" s="65"/>
      <c r="I11" s="65"/>
      <c r="J11" s="65"/>
      <c r="K11" s="65">
        <v>586298858.31928301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607686933</v>
      </c>
      <c r="C12" s="65">
        <v>152534849</v>
      </c>
      <c r="D12" s="65">
        <v>405260519</v>
      </c>
      <c r="E12" s="65">
        <v>409552</v>
      </c>
      <c r="F12" s="65"/>
      <c r="G12" s="65"/>
      <c r="H12" s="65"/>
      <c r="I12" s="65"/>
      <c r="J12" s="65"/>
      <c r="K12" s="65">
        <v>746005434.33380103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-119144.33061993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-1606116.975081811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-2558584.7175995801</v>
      </c>
    </row>
    <row r="13" spans="1:24" ht="15" customHeight="1" x14ac:dyDescent="0.25">
      <c r="A13" s="8" t="s">
        <v>25</v>
      </c>
      <c r="B13" s="65">
        <v>407422177</v>
      </c>
      <c r="C13" s="65">
        <v>42786141</v>
      </c>
      <c r="D13" s="65">
        <v>411827422</v>
      </c>
      <c r="E13" s="65">
        <v>516126</v>
      </c>
      <c r="F13" s="65"/>
      <c r="G13" s="65"/>
      <c r="H13" s="65"/>
      <c r="I13" s="65"/>
      <c r="J13" s="65"/>
      <c r="K13" s="65">
        <v>871612098.15643299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-9329.0010875405205</v>
      </c>
      <c r="W13" s="20">
        <f t="shared" si="0"/>
        <v>-69223.641626026045</v>
      </c>
      <c r="X13" s="20">
        <f t="shared" si="0"/>
        <v>-61917.750165909907</v>
      </c>
    </row>
    <row r="14" spans="1:24" ht="15" customHeight="1" x14ac:dyDescent="0.25">
      <c r="A14" s="8" t="s">
        <v>27</v>
      </c>
      <c r="B14" s="65">
        <v>454921848</v>
      </c>
      <c r="C14" s="65">
        <v>107204025</v>
      </c>
      <c r="D14" s="65">
        <v>394684559</v>
      </c>
      <c r="E14" s="65">
        <v>939316</v>
      </c>
      <c r="F14" s="65"/>
      <c r="G14" s="65"/>
      <c r="H14" s="65"/>
      <c r="I14" s="65"/>
      <c r="J14" s="65"/>
      <c r="K14" s="65">
        <v>1036632152.63176</v>
      </c>
      <c r="M14" s="10" t="s">
        <v>28</v>
      </c>
      <c r="N14" s="10"/>
      <c r="O14" s="21"/>
      <c r="P14" s="21"/>
      <c r="Q14" s="68"/>
      <c r="R14" s="68"/>
      <c r="S14" s="68"/>
      <c r="T14" s="68"/>
      <c r="U14" s="21">
        <f t="shared" ref="P14:X14" si="1">(U7+U8)-(U9+U10)+U12+U13</f>
        <v>-863506.2993999999</v>
      </c>
      <c r="V14" s="21">
        <f t="shared" si="1"/>
        <v>-13361255.781607468</v>
      </c>
      <c r="W14" s="21">
        <f t="shared" si="1"/>
        <v>-5917211.2471612487</v>
      </c>
      <c r="X14" s="21">
        <f t="shared" si="1"/>
        <v>-3234807.0544138406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5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63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22" t="s">
        <v>40</v>
      </c>
      <c r="M17" s="13" t="s">
        <v>29</v>
      </c>
      <c r="N17" s="13"/>
      <c r="O17" s="23"/>
      <c r="P17" s="17"/>
      <c r="Q17" s="67"/>
      <c r="R17" s="67"/>
      <c r="S17" s="67"/>
      <c r="T17" s="67"/>
      <c r="U17" s="17">
        <f>C11</f>
        <v>134673293</v>
      </c>
      <c r="V17" s="17">
        <f>C12</f>
        <v>152534849</v>
      </c>
      <c r="W17" s="17">
        <f>C13</f>
        <v>42786141</v>
      </c>
      <c r="X17" s="17">
        <f>C14</f>
        <v>107204025</v>
      </c>
    </row>
    <row r="18" spans="1:63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24" t="str">
        <f>+L17</f>
        <v>ALTR</v>
      </c>
      <c r="M18" s="10" t="s">
        <v>30</v>
      </c>
      <c r="N18" s="10"/>
      <c r="O18" s="21"/>
      <c r="P18" s="25"/>
      <c r="Q18" s="71"/>
      <c r="R18" s="71"/>
      <c r="S18" s="71"/>
      <c r="T18" s="71"/>
      <c r="U18" s="25">
        <f t="shared" ref="P18:X18" si="2">U14+U17</f>
        <v>133809786.7006</v>
      </c>
      <c r="V18" s="25">
        <f t="shared" si="2"/>
        <v>139173593.21839252</v>
      </c>
      <c r="W18" s="25">
        <f t="shared" si="2"/>
        <v>36868929.752838753</v>
      </c>
      <c r="X18" s="25">
        <f t="shared" si="2"/>
        <v>103969217.94558616</v>
      </c>
    </row>
    <row r="19" spans="1:63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ALTR</v>
      </c>
      <c r="M19" s="10" t="s">
        <v>31</v>
      </c>
      <c r="N19" s="10"/>
      <c r="O19" s="26"/>
      <c r="P19" s="26"/>
      <c r="Q19" s="72"/>
      <c r="R19" s="72"/>
      <c r="S19" s="72"/>
      <c r="T19" s="72"/>
      <c r="U19" s="26">
        <f t="shared" ref="P19:X19" si="3">U18/U17</f>
        <v>0.99358814000783358</v>
      </c>
      <c r="V19" s="26">
        <f t="shared" si="3"/>
        <v>0.91240522497513021</v>
      </c>
      <c r="W19" s="26">
        <f t="shared" si="3"/>
        <v>0.86170261891201527</v>
      </c>
      <c r="X19" s="26">
        <f t="shared" si="3"/>
        <v>0.96982569400343088</v>
      </c>
    </row>
    <row r="20" spans="1:63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15"/>
      <c r="Q20" s="73"/>
      <c r="R20" s="73"/>
      <c r="S20" s="73"/>
      <c r="T20" s="73"/>
      <c r="U20" s="15"/>
      <c r="V20" s="15"/>
      <c r="W20" s="15"/>
      <c r="X20" s="15"/>
    </row>
    <row r="21" spans="1:63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13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63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24" t="str">
        <f>+L19</f>
        <v>ALTR</v>
      </c>
      <c r="M22" s="10" t="s">
        <v>32</v>
      </c>
      <c r="N22" s="27"/>
      <c r="O22" s="27"/>
      <c r="P22" s="28"/>
      <c r="Q22" s="71"/>
      <c r="R22" s="71"/>
      <c r="S22" s="71"/>
      <c r="T22" s="71"/>
      <c r="U22" s="28">
        <f>+B11</f>
        <v>542108333</v>
      </c>
      <c r="V22" s="28">
        <f>+B12</f>
        <v>607686933</v>
      </c>
      <c r="W22" s="28">
        <f>+B13</f>
        <v>407422177</v>
      </c>
      <c r="X22" s="28">
        <f>+B14</f>
        <v>454921848</v>
      </c>
    </row>
    <row r="23" spans="1:63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24" t="str">
        <f>+L22</f>
        <v>ALTR</v>
      </c>
      <c r="M23" s="10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544687214.61514997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642322896.35837507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460993447.44405252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518244510.95951158</v>
      </c>
      <c r="BC23" s="30"/>
      <c r="BD23" s="30"/>
      <c r="BE23" s="30"/>
      <c r="BF23" s="30"/>
      <c r="BG23" s="30"/>
      <c r="BH23" s="30"/>
      <c r="BI23" s="30"/>
      <c r="BJ23" s="30"/>
      <c r="BK23" s="30"/>
    </row>
    <row r="24" spans="1:63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24" t="str">
        <f>+L23</f>
        <v>ALTR</v>
      </c>
      <c r="M24" s="10" t="s">
        <v>34</v>
      </c>
      <c r="N24" s="27"/>
      <c r="O24" s="27"/>
      <c r="P24" s="28"/>
      <c r="Q24" s="28"/>
      <c r="R24" s="28"/>
      <c r="S24" s="28"/>
      <c r="T24" s="28"/>
      <c r="U24" s="28">
        <f>+K11</f>
        <v>586298858.31928301</v>
      </c>
      <c r="V24" s="28">
        <f>+K12</f>
        <v>746005434.33380103</v>
      </c>
      <c r="W24" s="28">
        <f>+K13</f>
        <v>871612098.15643299</v>
      </c>
      <c r="X24" s="28">
        <f>+K14</f>
        <v>1036632152.63176</v>
      </c>
      <c r="BC24" s="30"/>
      <c r="BD24" s="30"/>
      <c r="BE24" s="30"/>
      <c r="BF24" s="30"/>
      <c r="BG24" s="30"/>
      <c r="BH24" s="30"/>
      <c r="BI24" s="30"/>
      <c r="BJ24" s="30"/>
      <c r="BK24" s="30"/>
    </row>
    <row r="25" spans="1:63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 t="str">
        <f>+L24</f>
        <v>ALTR</v>
      </c>
      <c r="M25" s="10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1.0763954845783077</v>
      </c>
      <c r="V25" s="26">
        <f t="shared" si="4"/>
        <v>1.1614180944868229</v>
      </c>
      <c r="W25" s="26">
        <f t="shared" si="4"/>
        <v>1.8907255688535884</v>
      </c>
      <c r="X25" s="26">
        <f t="shared" si="4"/>
        <v>2.0002761837505463</v>
      </c>
    </row>
    <row r="26" spans="1:63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63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63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63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63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63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AQ31" s="30"/>
    </row>
    <row r="32" spans="1:63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AQ32" s="30"/>
    </row>
    <row r="33" spans="1:43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AQ33" s="30"/>
    </row>
    <row r="34" spans="1:43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AQ34" s="30"/>
    </row>
    <row r="35" spans="1:43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3" ht="15" customHeight="1" x14ac:dyDescent="0.25">
      <c r="M46" s="13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3" ht="15" customHeight="1" x14ac:dyDescent="0.25">
      <c r="M47" s="10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3" ht="15" customHeight="1" x14ac:dyDescent="0.25">
      <c r="M48" s="10" t="s">
        <v>38</v>
      </c>
      <c r="N48" s="27"/>
      <c r="O48" s="27"/>
      <c r="P48" s="33">
        <v>1.3881333333000001</v>
      </c>
      <c r="Q48" s="33">
        <v>3.9465876064000001</v>
      </c>
      <c r="R48" s="33">
        <v>22.480570493999998</v>
      </c>
      <c r="S48" s="33">
        <v>6.6190476190999998</v>
      </c>
      <c r="T48" s="33">
        <v>0</v>
      </c>
      <c r="U48" s="33">
        <v>15.269230769</v>
      </c>
      <c r="V48" s="33">
        <v>2.6044703209</v>
      </c>
      <c r="W48" s="33">
        <v>2.9734513273999998</v>
      </c>
      <c r="X48" s="33">
        <v>2.591611479</v>
      </c>
      <c r="Y48" s="33">
        <v>2.8083504000000001</v>
      </c>
      <c r="Z48" s="33">
        <v>1.8001638242</v>
      </c>
      <c r="AA48" s="33">
        <v>1.2468366785</v>
      </c>
      <c r="AB48" s="33">
        <v>3.9358830228000001</v>
      </c>
      <c r="AC48" s="33">
        <v>2.0537825798</v>
      </c>
      <c r="AD48" s="33">
        <v>1.7654339743</v>
      </c>
      <c r="AE48" s="33">
        <v>7.3139713865999996</v>
      </c>
      <c r="AF48" s="33">
        <v>5.3495741455000001</v>
      </c>
      <c r="AG48" s="33">
        <v>5.0640797592000002</v>
      </c>
      <c r="AH48" s="33">
        <v>8.6251985211999997</v>
      </c>
      <c r="AI48" s="33">
        <v>7.4855757790000004</v>
      </c>
      <c r="AJ48" s="33">
        <v>0.64756205607999995</v>
      </c>
      <c r="AK48" s="33">
        <v>3.2923103602000001</v>
      </c>
      <c r="AL48" s="33">
        <v>3.8605359020000001</v>
      </c>
      <c r="AM48" s="33">
        <v>2.6535916867</v>
      </c>
      <c r="AN48" s="33">
        <v>2.7530139736999999</v>
      </c>
      <c r="AO48" s="33">
        <v>18.773708053</v>
      </c>
      <c r="AP48" s="33">
        <v>8.530740926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6" width="11" customWidth="1"/>
    <col min="7" max="7" width="12.42578125" customWidth="1"/>
    <col min="8" max="11" width="11" customWidth="1"/>
    <col min="12" max="12" width="9" customWidth="1"/>
    <col min="13" max="13" width="16.28515625" customWidth="1"/>
    <col min="14" max="14" width="16.5703125" customWidth="1"/>
    <col min="16" max="19" width="16.28515625" customWidth="1"/>
    <col min="20" max="23" width="15.28515625" customWidth="1"/>
    <col min="24" max="30" width="16.28515625" customWidth="1"/>
    <col min="31" max="31" width="11.85546875" customWidth="1"/>
    <col min="32" max="42" width="16.28515625" customWidth="1"/>
    <col min="43" max="43" width="18.1406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9.4000000000000004E-3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BCP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55901416.331970006</v>
      </c>
      <c r="W7" s="17">
        <f>((D12+E12+V7+U7+T7+S7+R7+Q7+P7+SUM($P$8:V8))*W5)</f>
        <v>33476162.370847903</v>
      </c>
      <c r="X7" s="17">
        <f>((D13+E13+W7+V7+U7+T7+S7+R7+Q7+P7+SUM($P$8:W8))*X5)</f>
        <v>21311896.807038218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4504905.8999999994</v>
      </c>
      <c r="V8" s="17">
        <f>((D12+E12)-(D11+E11))*(V5^1/2)</f>
        <v>258781.50000000003</v>
      </c>
      <c r="W8" s="17">
        <f>((D13+E13)-(D12+E12))*(W5^1/2)</f>
        <v>1486626.75</v>
      </c>
      <c r="X8" s="17">
        <f>((D14+E14)-(D13+E13))*(X5^1/2)</f>
        <v>784685.00000000093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479500579.63197005</v>
      </c>
      <c r="W9" s="17">
        <f>+(B12+V9+U9+T9+S9+R9+Q9+P9+P10+Q10+R10+S10+T10+U10+V10+P14+Q14+R14+S14+T14+U14+V14)*W5</f>
        <v>224778242.24656534</v>
      </c>
      <c r="X9" s="17">
        <f>+(B13+W9+V9+U9+T9+S9+R9+Q9+P9+P10+Q10+R10+S10+T10+U10+V10+W10+P14+Q14+R14+S14+T14+U14+V14+W14)*X5</f>
        <v>154830703.21076924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38858094.75</v>
      </c>
      <c r="V10" s="19">
        <f>((B12-B11)*(V5^1/2))</f>
        <v>-37769257.800000004</v>
      </c>
      <c r="W10" s="19">
        <f>((B13-B12)*(W5/2))</f>
        <v>24746425.300000001</v>
      </c>
      <c r="X10" s="19">
        <f>((B14-B13)*(X5/2))</f>
        <v>9581554.4000000115</v>
      </c>
    </row>
    <row r="11" spans="1:24" ht="15" customHeight="1" x14ac:dyDescent="0.25">
      <c r="A11" s="8" t="s">
        <v>21</v>
      </c>
      <c r="B11" s="69">
        <v>6119385000</v>
      </c>
      <c r="C11" s="65">
        <v>138082000</v>
      </c>
      <c r="D11" s="65">
        <v>600721000</v>
      </c>
      <c r="E11" s="65">
        <v>108713000</v>
      </c>
      <c r="F11" s="65"/>
      <c r="G11" s="65"/>
      <c r="H11" s="65"/>
      <c r="I11" s="65"/>
      <c r="J11" s="65"/>
      <c r="K11" s="65">
        <v>1921749326.5814199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5154653000</v>
      </c>
      <c r="C12" s="65">
        <v>197386000</v>
      </c>
      <c r="D12" s="65">
        <v>574697000</v>
      </c>
      <c r="E12" s="65">
        <v>141347000</v>
      </c>
      <c r="F12" s="65"/>
      <c r="G12" s="65"/>
      <c r="H12" s="65"/>
      <c r="I12" s="65"/>
      <c r="J12" s="65"/>
      <c r="K12" s="65">
        <v>2006218085.56705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-42346.115459999994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-573567.67592103605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-926938.66048920306</v>
      </c>
    </row>
    <row r="13" spans="1:24" ht="15" customHeight="1" x14ac:dyDescent="0.25">
      <c r="A13" s="8" t="s">
        <v>25</v>
      </c>
      <c r="B13" s="65">
        <v>6302979000</v>
      </c>
      <c r="C13" s="65">
        <v>856050000</v>
      </c>
      <c r="D13" s="65">
        <v>606447000</v>
      </c>
      <c r="E13" s="65">
        <v>178582000</v>
      </c>
      <c r="F13" s="65"/>
      <c r="G13" s="65"/>
      <c r="H13" s="65"/>
      <c r="I13" s="65"/>
      <c r="J13" s="65"/>
      <c r="K13" s="65">
        <v>3791959720.8994098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-3315.7008405179999</v>
      </c>
      <c r="W13" s="20">
        <f t="shared" si="0"/>
        <v>-24720.766832196652</v>
      </c>
      <c r="X13" s="20">
        <f t="shared" si="0"/>
        <v>-22431.915583838738</v>
      </c>
    </row>
    <row r="14" spans="1:24" ht="15" customHeight="1" x14ac:dyDescent="0.25">
      <c r="A14" s="8" t="s">
        <v>27</v>
      </c>
      <c r="B14" s="65">
        <v>7094843000</v>
      </c>
      <c r="C14" s="65">
        <v>906378000</v>
      </c>
      <c r="D14" s="65">
        <v>619146000</v>
      </c>
      <c r="E14" s="65">
        <v>230733000</v>
      </c>
      <c r="F14" s="65"/>
      <c r="G14" s="65"/>
      <c r="H14" s="65"/>
      <c r="I14" s="65"/>
      <c r="J14" s="65"/>
      <c r="K14" s="65">
        <v>6714259803.9508696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-34353188.850000001</v>
      </c>
      <c r="V14" s="36">
        <f t="shared" si="1"/>
        <v>-385616785.81630051</v>
      </c>
      <c r="W14" s="36">
        <f t="shared" si="1"/>
        <v>-215160166.86847067</v>
      </c>
      <c r="X14" s="36">
        <f t="shared" si="1"/>
        <v>-143265046.37980407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41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138082000</v>
      </c>
      <c r="V17" s="38">
        <f>C12</f>
        <v>197386000</v>
      </c>
      <c r="W17" s="38">
        <f>C13</f>
        <v>856050000</v>
      </c>
      <c r="X17" s="38">
        <f>C14</f>
        <v>906378000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BCP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103728811.15000001</v>
      </c>
      <c r="V18" s="40">
        <f t="shared" si="2"/>
        <v>-188230785.81630051</v>
      </c>
      <c r="W18" s="40">
        <f t="shared" si="2"/>
        <v>640889833.13152933</v>
      </c>
      <c r="X18" s="40">
        <f t="shared" si="2"/>
        <v>763112953.62019587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BCP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0.75121167965411861</v>
      </c>
      <c r="V19" s="41">
        <f t="shared" si="3"/>
        <v>-0.9536177125849884</v>
      </c>
      <c r="W19" s="41">
        <f t="shared" si="3"/>
        <v>0.74865934598625006</v>
      </c>
      <c r="X19" s="41">
        <f t="shared" si="3"/>
        <v>0.84193675665141465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15"/>
      <c r="Q20" s="73"/>
      <c r="R20" s="73"/>
      <c r="S20" s="73"/>
      <c r="T20" s="73"/>
      <c r="U20" s="15"/>
      <c r="V20" s="15"/>
      <c r="W20" s="15"/>
      <c r="X20" s="15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BCP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6119385000</v>
      </c>
      <c r="V22" s="28">
        <f>+B12</f>
        <v>5154653000</v>
      </c>
      <c r="W22" s="28">
        <f>+B13</f>
        <v>6302979000</v>
      </c>
      <c r="X22" s="28">
        <f>+B14</f>
        <v>7094843000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BCP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6123889905.8999996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5215625176.0476398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6400943577.5133877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7216325531.5201769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BCP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1921749326.5814199</v>
      </c>
      <c r="V24" s="28">
        <f>+K12</f>
        <v>2006218085.56705</v>
      </c>
      <c r="W24" s="28">
        <f>+K13</f>
        <v>3791959720.8994098</v>
      </c>
      <c r="X24" s="28">
        <f>+K14</f>
        <v>6714259803.9508696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BCP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0.31381186731164618</v>
      </c>
      <c r="V25" s="26">
        <f t="shared" si="4"/>
        <v>0.38465534194835421</v>
      </c>
      <c r="W25" s="26">
        <f t="shared" si="4"/>
        <v>0.59240636555845017</v>
      </c>
      <c r="X25" s="26">
        <f t="shared" si="4"/>
        <v>0.93042640255399578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44" t="e">
        <f>-G6/P17</f>
        <v>#DIV/0!</v>
      </c>
      <c r="Q46" s="44" t="e">
        <f>-G7/Q17</f>
        <v>#DIV/0!</v>
      </c>
      <c r="R46" s="44" t="e">
        <f>-G8/R17</f>
        <v>#DIV/0!</v>
      </c>
      <c r="S46" s="44" t="e">
        <f>-G9/S17</f>
        <v>#DIV/0!</v>
      </c>
      <c r="T46" s="44" t="e">
        <f>-G10/T17</f>
        <v>#DIV/0!</v>
      </c>
      <c r="U46" s="44">
        <f>-G11/U17</f>
        <v>0</v>
      </c>
      <c r="V46" s="44">
        <f>-G12/V17</f>
        <v>0</v>
      </c>
      <c r="W46" s="44">
        <f>-G13/W17</f>
        <v>0</v>
      </c>
      <c r="X46" s="44">
        <f>-G14/X17</f>
        <v>0</v>
      </c>
      <c r="Y46" s="44" t="e">
        <f>-G15/Y17</f>
        <v>#DIV/0!</v>
      </c>
      <c r="Z46" s="44" t="e">
        <f>-G16/Z17</f>
        <v>#DIV/0!</v>
      </c>
      <c r="AA46" s="44" t="e">
        <f>-G17/AA17</f>
        <v>#DIV/0!</v>
      </c>
      <c r="AB46" s="44" t="e">
        <f>-G18/AB17</f>
        <v>#DIV/0!</v>
      </c>
      <c r="AC46" s="44" t="e">
        <f>-G19/AC17</f>
        <v>#DIV/0!</v>
      </c>
      <c r="AD46" s="44" t="e">
        <f>-G20/AD17</f>
        <v>#DIV/0!</v>
      </c>
      <c r="AE46" s="44" t="e">
        <f>-G21/AE17</f>
        <v>#DIV/0!</v>
      </c>
      <c r="AF46" s="44" t="e">
        <f>-G22/AF17</f>
        <v>#DIV/0!</v>
      </c>
      <c r="AG46" s="44" t="e">
        <f>-G23/AG17</f>
        <v>#DIV/0!</v>
      </c>
      <c r="AH46" s="44" t="e">
        <f>-G24/AH17</f>
        <v>#DIV/0!</v>
      </c>
      <c r="AI46" s="44" t="e">
        <f>-G25/AI17</f>
        <v>#DIV/0!</v>
      </c>
      <c r="AJ46" s="44" t="e">
        <f>-G26/AJ17</f>
        <v>#DIV/0!</v>
      </c>
      <c r="AK46" s="44" t="e">
        <f>-G27/AK17</f>
        <v>#DIV/0!</v>
      </c>
      <c r="AL46" s="44" t="e">
        <f>-G28/AL17</f>
        <v>#DIV/0!</v>
      </c>
      <c r="AM46" s="44" t="e">
        <f>-G29/AM17</f>
        <v>#DIV/0!</v>
      </c>
      <c r="AN46" s="44" t="e">
        <f>-G30/AN17</f>
        <v>#DIV/0!</v>
      </c>
      <c r="AO46" s="44" t="e">
        <f>-G31/AO17</f>
        <v>#DIV/0!</v>
      </c>
      <c r="AP46" s="44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45" t="e">
        <f>-G6/P18</f>
        <v>#DIV/0!</v>
      </c>
      <c r="Q47" s="45" t="e">
        <f>-G7/Q18</f>
        <v>#DIV/0!</v>
      </c>
      <c r="R47" s="45" t="e">
        <f>-G8/R18</f>
        <v>#DIV/0!</v>
      </c>
      <c r="S47" s="45" t="e">
        <f>-G9/S18</f>
        <v>#DIV/0!</v>
      </c>
      <c r="T47" s="45" t="e">
        <f>-G10/T18</f>
        <v>#DIV/0!</v>
      </c>
      <c r="U47" s="45">
        <f>-G11/U18</f>
        <v>0</v>
      </c>
      <c r="V47" s="45">
        <f>-G12/V18</f>
        <v>0</v>
      </c>
      <c r="W47" s="45">
        <f>-G13/W18</f>
        <v>0</v>
      </c>
      <c r="X47" s="45">
        <f>-G14/X18</f>
        <v>0</v>
      </c>
      <c r="Y47" s="45" t="e">
        <f>-G15/Y18</f>
        <v>#DIV/0!</v>
      </c>
      <c r="Z47" s="45" t="e">
        <f>-G16/Z18</f>
        <v>#DIV/0!</v>
      </c>
      <c r="AA47" s="45" t="e">
        <f>-G17/AA18</f>
        <v>#DIV/0!</v>
      </c>
      <c r="AB47" s="45" t="e">
        <f>-G18/AB18</f>
        <v>#DIV/0!</v>
      </c>
      <c r="AC47" s="45" t="e">
        <f>-G19/AC18</f>
        <v>#DIV/0!</v>
      </c>
      <c r="AD47" s="45" t="e">
        <f>-G20/AD18</f>
        <v>#DIV/0!</v>
      </c>
      <c r="AE47" s="45" t="e">
        <f>-G21/AE18</f>
        <v>#DIV/0!</v>
      </c>
      <c r="AF47" s="45" t="e">
        <f>-G22/AF18</f>
        <v>#DIV/0!</v>
      </c>
      <c r="AG47" s="45" t="e">
        <f>-G23/AG18</f>
        <v>#DIV/0!</v>
      </c>
      <c r="AH47" s="45" t="e">
        <f>-G24/AH18</f>
        <v>#DIV/0!</v>
      </c>
      <c r="AI47" s="45" t="e">
        <f>-G25/AI18</f>
        <v>#DIV/0!</v>
      </c>
      <c r="AJ47" s="45" t="e">
        <f>-G26/AJ18</f>
        <v>#DIV/0!</v>
      </c>
      <c r="AK47" s="45" t="e">
        <f>-G27/AK18</f>
        <v>#DIV/0!</v>
      </c>
      <c r="AL47" s="45" t="e">
        <f>-G28/AL18</f>
        <v>#DIV/0!</v>
      </c>
      <c r="AM47" s="45" t="e">
        <f>-G29/AM18</f>
        <v>#DIV/0!</v>
      </c>
      <c r="AN47" s="45" t="e">
        <f>-G30/AN18</f>
        <v>#DIV/0!</v>
      </c>
      <c r="AO47" s="45" t="e">
        <f>-G31/AO18</f>
        <v>#DIV/0!</v>
      </c>
      <c r="AP47" s="45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3.1100302092000001</v>
      </c>
      <c r="Q48" s="33">
        <v>2.3472413128</v>
      </c>
      <c r="R48" s="33">
        <v>4.4923655448000002</v>
      </c>
      <c r="S48" s="33">
        <v>1.4001738876000001</v>
      </c>
      <c r="T48" s="33">
        <v>1.7824377933</v>
      </c>
      <c r="U48" s="33">
        <v>6.4320623691999996</v>
      </c>
      <c r="V48" s="33">
        <v>6.8749997738999999</v>
      </c>
      <c r="W48" s="33">
        <v>6.0471204187999996</v>
      </c>
      <c r="X48" s="33">
        <v>5.3834276891000004</v>
      </c>
      <c r="Y48" s="33">
        <v>2.4980250612999999</v>
      </c>
      <c r="Z48" s="33">
        <v>4.3053698075</v>
      </c>
      <c r="AA48" s="33">
        <v>2.0481900453000002</v>
      </c>
      <c r="AB48" s="33">
        <v>4.6107705779000003</v>
      </c>
      <c r="AC48" s="33">
        <v>2.8356500409000001</v>
      </c>
      <c r="AD48" s="33">
        <v>3.6397947965999999</v>
      </c>
      <c r="AE48" s="33">
        <v>4.0805956259</v>
      </c>
      <c r="AF48" s="33">
        <v>2.6776127049</v>
      </c>
      <c r="AG48" s="33">
        <v>4.5496487118999998</v>
      </c>
      <c r="AH48" s="33">
        <v>9.8942115768000001</v>
      </c>
      <c r="AI48" s="33">
        <v>0</v>
      </c>
      <c r="AJ48" s="33">
        <v>0</v>
      </c>
      <c r="AK48" s="33">
        <v>0</v>
      </c>
      <c r="AL48" s="33">
        <v>3.9682539683</v>
      </c>
      <c r="AM48" s="33">
        <v>3.1127137177000002</v>
      </c>
      <c r="AN48" s="33">
        <v>1.6125617502E-3</v>
      </c>
      <c r="AO48" s="33">
        <v>19.867873461999999</v>
      </c>
      <c r="AP48" s="33">
        <v>68.321049388000006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8" width="15.28515625" customWidth="1"/>
    <col min="19" max="23" width="16.28515625" customWidth="1"/>
    <col min="24" max="26" width="15.28515625" customWidth="1"/>
    <col min="27" max="27" width="16.28515625" customWidth="1"/>
    <col min="28" max="28" width="15.28515625" customWidth="1"/>
    <col min="29" max="30" width="16.28515625" customWidth="1"/>
    <col min="31" max="31" width="11.85546875" customWidth="1"/>
    <col min="32" max="42" width="16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3.4799999999999998E-2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COR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24135662.688705005</v>
      </c>
      <c r="W7" s="17">
        <f>((D12+E12+V7+U7+T7+S7+R7+Q7+P7+SUM($P$8:V8))*W5)</f>
        <v>19379411.630303185</v>
      </c>
      <c r="X7" s="17">
        <f>((D13+E13+W7+V7+U7+T7+S7+R7+Q7+P7+SUM($P$8:W8))*X5)</f>
        <v>12393996.000670014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1945011.3499999999</v>
      </c>
      <c r="V8" s="17">
        <f>((D12+E12)-(D11+E11))*(V5^1/2)</f>
        <v>4417646.8500000006</v>
      </c>
      <c r="W8" s="17">
        <f>((D13+E13)-(D12+E12))*(W5^1/2)</f>
        <v>909862.54999999993</v>
      </c>
      <c r="X8" s="17">
        <f>((D14+E14)-(D13+E13))*(X5^1/2)</f>
        <v>-66997.70000000007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46814866.188705005</v>
      </c>
      <c r="W9" s="17">
        <f>+(B12+V9+U9+T9+S9+R9+Q9+P9+P10+Q10+R10+S10+T10+U10+V10+P14+Q14+R14+S14+T14+U14+V14)*W5</f>
        <v>29998131.623371813</v>
      </c>
      <c r="X9" s="17">
        <f>+(B13+W9+V9+U9+T9+S9+R9+Q9+P9+P10+Q10+R10+S10+T10+U10+V10+W10+P14+Q14+R14+S14+T14+U14+V14+W14)*X5</f>
        <v>18387401.883181904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3784257.0999999996</v>
      </c>
      <c r="V10" s="19">
        <f>((B12-B11)*(V5^1/2))</f>
        <v>2726445.1500000004</v>
      </c>
      <c r="W10" s="19">
        <f>((B13-B12)*(W5/2))</f>
        <v>961582.54999999993</v>
      </c>
      <c r="X10" s="19">
        <f>((B14-B13)*(X5/2))</f>
        <v>412355.90000000049</v>
      </c>
    </row>
    <row r="11" spans="1:24" ht="15" customHeight="1" x14ac:dyDescent="0.25">
      <c r="A11" s="8" t="s">
        <v>21</v>
      </c>
      <c r="B11" s="65">
        <v>595946000</v>
      </c>
      <c r="C11" s="65">
        <v>74755000</v>
      </c>
      <c r="D11" s="65">
        <v>289036000</v>
      </c>
      <c r="E11" s="65">
        <v>17265000</v>
      </c>
      <c r="F11" s="65"/>
      <c r="G11" s="65"/>
      <c r="H11" s="65"/>
      <c r="I11" s="65"/>
      <c r="J11" s="65"/>
      <c r="K11" s="65">
        <v>1331439238.54828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665587000</v>
      </c>
      <c r="C12" s="65">
        <v>98395000</v>
      </c>
      <c r="D12" s="65">
        <v>397153000</v>
      </c>
      <c r="E12" s="65">
        <v>21987000</v>
      </c>
      <c r="F12" s="65"/>
      <c r="G12" s="65"/>
      <c r="H12" s="65"/>
      <c r="I12" s="65"/>
      <c r="J12" s="65"/>
      <c r="K12" s="65">
        <v>1060622032.16553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-67686.394979999997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-1066641.4116538682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-1818680.3979707004</v>
      </c>
    </row>
    <row r="13" spans="1:24" ht="15" customHeight="1" x14ac:dyDescent="0.25">
      <c r="A13" s="8" t="s">
        <v>25</v>
      </c>
      <c r="B13" s="65">
        <v>710208000</v>
      </c>
      <c r="C13" s="65">
        <v>88897000</v>
      </c>
      <c r="D13" s="65">
        <v>443343000</v>
      </c>
      <c r="E13" s="65">
        <v>18018000</v>
      </c>
      <c r="F13" s="65"/>
      <c r="G13" s="65"/>
      <c r="H13" s="65"/>
      <c r="I13" s="65"/>
      <c r="J13" s="65"/>
      <c r="K13" s="65">
        <v>1144301824.5697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-5299.8447269340004</v>
      </c>
      <c r="W13" s="20">
        <f t="shared" si="0"/>
        <v>-45972.244842281718</v>
      </c>
      <c r="X13" s="20">
        <f t="shared" si="0"/>
        <v>-44012.065630890997</v>
      </c>
    </row>
    <row r="14" spans="1:24" ht="15" customHeight="1" x14ac:dyDescent="0.25">
      <c r="A14" s="8" t="s">
        <v>27</v>
      </c>
      <c r="B14" s="65">
        <v>744287000</v>
      </c>
      <c r="C14" s="65">
        <v>69699000</v>
      </c>
      <c r="D14" s="65">
        <v>440751000</v>
      </c>
      <c r="E14" s="65">
        <v>15073000</v>
      </c>
      <c r="F14" s="65"/>
      <c r="G14" s="65"/>
      <c r="H14" s="65"/>
      <c r="I14" s="65"/>
      <c r="J14" s="65"/>
      <c r="K14" s="65">
        <v>1018894388.19885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-1839245.7499999998</v>
      </c>
      <c r="V14" s="36">
        <f t="shared" si="1"/>
        <v>-21060988.039706931</v>
      </c>
      <c r="W14" s="36">
        <f t="shared" si="1"/>
        <v>-11783053.649564778</v>
      </c>
      <c r="X14" s="36">
        <f t="shared" si="1"/>
        <v>-8335451.946113483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42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74755000</v>
      </c>
      <c r="V17" s="38">
        <f>C12</f>
        <v>98395000</v>
      </c>
      <c r="W17" s="38">
        <f>C13</f>
        <v>88897000</v>
      </c>
      <c r="X17" s="38">
        <f>C14</f>
        <v>69699000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COR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72915754.25</v>
      </c>
      <c r="V18" s="40">
        <f t="shared" si="2"/>
        <v>77334011.960293069</v>
      </c>
      <c r="W18" s="40">
        <f t="shared" si="2"/>
        <v>77113946.350435227</v>
      </c>
      <c r="X18" s="40">
        <f t="shared" si="2"/>
        <v>61363548.053886518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COR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0.97539635141462111</v>
      </c>
      <c r="V19" s="41">
        <f t="shared" si="3"/>
        <v>0.78595469241621085</v>
      </c>
      <c r="W19" s="41">
        <f t="shared" si="3"/>
        <v>0.86745274137974537</v>
      </c>
      <c r="X19" s="41">
        <f t="shared" si="3"/>
        <v>0.88040786889175626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COR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595946000</v>
      </c>
      <c r="V22" s="28">
        <f>+B12</f>
        <v>665587000</v>
      </c>
      <c r="W22" s="28">
        <f>+B13</f>
        <v>710208000</v>
      </c>
      <c r="X22" s="28">
        <f>+B14</f>
        <v>744287000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COR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597891011.35000002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696164629.03770304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761280185.37303519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807059438.09613109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COR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1331439238.54828</v>
      </c>
      <c r="V24" s="28">
        <f>+K12</f>
        <v>1060622032.16553</v>
      </c>
      <c r="W24" s="28">
        <f>+K13</f>
        <v>1144301824.5697</v>
      </c>
      <c r="X24" s="28">
        <f>+K14</f>
        <v>1018894388.19885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COR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2.2268928839421327</v>
      </c>
      <c r="V25" s="26">
        <f t="shared" si="4"/>
        <v>1.5235218623956956</v>
      </c>
      <c r="W25" s="26">
        <f t="shared" si="4"/>
        <v>1.5031283442757415</v>
      </c>
      <c r="X25" s="26">
        <f t="shared" si="4"/>
        <v>1.2624775079793895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2.6386633846000001</v>
      </c>
      <c r="Q48" s="33">
        <v>5.6995075734</v>
      </c>
      <c r="R48" s="33">
        <v>4.9139713963</v>
      </c>
      <c r="S48" s="33">
        <v>3.2983701537000001</v>
      </c>
      <c r="T48" s="33">
        <v>2.6026336089000002</v>
      </c>
      <c r="U48" s="33">
        <v>3.1693243446000001</v>
      </c>
      <c r="V48" s="33">
        <v>2.6787303888</v>
      </c>
      <c r="W48" s="33">
        <v>2.9381424963999998</v>
      </c>
      <c r="X48" s="33">
        <v>3.8186696086</v>
      </c>
      <c r="Y48" s="33">
        <v>2.1482258035999999</v>
      </c>
      <c r="Z48" s="33">
        <v>1.8287324235</v>
      </c>
      <c r="AA48" s="33">
        <v>2.2698294055999999</v>
      </c>
      <c r="AB48" s="33">
        <v>5.0334473876999999</v>
      </c>
      <c r="AC48" s="33">
        <v>1.5173396073000001</v>
      </c>
      <c r="AD48" s="33">
        <v>2.4075525112</v>
      </c>
      <c r="AE48" s="33">
        <v>3.8242392135999999</v>
      </c>
      <c r="AF48" s="33">
        <v>3.5349812734000001</v>
      </c>
      <c r="AG48" s="33">
        <v>3.1971220100000002</v>
      </c>
      <c r="AH48" s="33">
        <v>2.8144518774999998</v>
      </c>
      <c r="AI48" s="33">
        <v>5.6735702071</v>
      </c>
      <c r="AJ48" s="33">
        <v>4.7152357027000003</v>
      </c>
      <c r="AK48" s="33">
        <v>3.5214378009999998</v>
      </c>
      <c r="AL48" s="33">
        <v>6.0036635197999999</v>
      </c>
      <c r="AM48" s="33">
        <v>7.5625185385</v>
      </c>
      <c r="AN48" s="33">
        <v>4.1232326426999997</v>
      </c>
      <c r="AO48" s="33">
        <v>4.3315633457000002</v>
      </c>
      <c r="AP48" s="33">
        <v>4.0754372587000001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9" width="16.28515625" customWidth="1"/>
    <col min="20" max="23" width="15.28515625" customWidth="1"/>
    <col min="24" max="30" width="16.28515625" customWidth="1"/>
    <col min="31" max="31" width="11.85546875" customWidth="1"/>
    <col min="32" max="42" width="16.28515625" customWidth="1"/>
    <col min="43" max="43" width="18.1406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3.1199999999999999E-2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CTT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28350826.425869718</v>
      </c>
      <c r="W7" s="17">
        <f>((D12+E12+V7+U7+T7+S7+R7+Q7+P7+SUM($P$8:V8))*W5)</f>
        <v>17401702.562758692</v>
      </c>
      <c r="X7" s="17">
        <f>((D13+E13+W7+V7+U7+T7+S7+R7+Q7+P7+SUM($P$8:W8))*X5)</f>
        <v>10068803.115828639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2284697.1260500001</v>
      </c>
      <c r="V8" s="17">
        <f>((D12+E12)-(D11+E11))*(V5^1/2)</f>
        <v>501886.04805000004</v>
      </c>
      <c r="W8" s="17">
        <f>((D13+E13)-(D12+E12))*(W5^1/2)</f>
        <v>-107317.70699999999</v>
      </c>
      <c r="X8" s="17">
        <f>((D14+E14)-(D13+E13))*(X5^1/2)</f>
        <v>538880.76000000059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13801757.787869716</v>
      </c>
      <c r="W9" s="17">
        <f>+(B12+V9+U9+T9+S9+R9+Q9+P9+P10+Q10+R10+S10+T10+U10+V10+P14+Q14+R14+S14+T14+U14+V14)*W5</f>
        <v>10976018.642478269</v>
      </c>
      <c r="X9" s="17">
        <f>+(B13+W9+V9+U9+T9+S9+R9+Q9+P9+P10+Q10+R10+S10+T10+U10+V10+W10+P14+Q14+R14+S14+T14+U14+V14+W14)*X5</f>
        <v>7234938.9935650546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1104791.8150499999</v>
      </c>
      <c r="V10" s="19">
        <f>((B12-B11)*(V5^1/2))</f>
        <v>1942642.4575500002</v>
      </c>
      <c r="W10" s="19">
        <f>((B13-B12)*(W5/2))</f>
        <v>603943.29704999994</v>
      </c>
      <c r="X10" s="19">
        <f>((B14-B13)*(X5/2))</f>
        <v>-48955.426300000057</v>
      </c>
    </row>
    <row r="11" spans="1:24" ht="15" customHeight="1" x14ac:dyDescent="0.25">
      <c r="A11" s="8" t="s">
        <v>21</v>
      </c>
      <c r="B11" s="69">
        <v>173982963</v>
      </c>
      <c r="C11" s="65">
        <v>38404113</v>
      </c>
      <c r="D11" s="65">
        <v>296287576</v>
      </c>
      <c r="E11" s="65">
        <v>63507247</v>
      </c>
      <c r="F11" s="65"/>
      <c r="G11" s="65"/>
      <c r="H11" s="65"/>
      <c r="I11" s="65"/>
      <c r="J11" s="65"/>
      <c r="K11" s="65">
        <v>617827248.57330298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223603460</v>
      </c>
      <c r="C12" s="65">
        <v>36406519</v>
      </c>
      <c r="D12" s="65">
        <v>303205781</v>
      </c>
      <c r="E12" s="65">
        <v>69408609</v>
      </c>
      <c r="F12" s="65"/>
      <c r="G12" s="65"/>
      <c r="H12" s="65"/>
      <c r="I12" s="65"/>
      <c r="J12" s="65"/>
      <c r="K12" s="65">
        <v>384571247.577667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-71282.550332760002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-977068.60321011033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-1558765.0675081371</v>
      </c>
    </row>
    <row r="13" spans="1:24" ht="15" customHeight="1" x14ac:dyDescent="0.25">
      <c r="A13" s="8" t="s">
        <v>25</v>
      </c>
      <c r="B13" s="65">
        <v>251628671</v>
      </c>
      <c r="C13" s="65">
        <v>60511368</v>
      </c>
      <c r="D13" s="65">
        <v>296994666</v>
      </c>
      <c r="E13" s="65">
        <v>70639784</v>
      </c>
      <c r="F13" s="65"/>
      <c r="G13" s="65"/>
      <c r="H13" s="65"/>
      <c r="I13" s="65"/>
      <c r="J13" s="65"/>
      <c r="K13" s="65">
        <v>464334269.81067699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-5581.423691055109</v>
      </c>
      <c r="W13" s="20">
        <f t="shared" si="0"/>
        <v>-42111.656798355754</v>
      </c>
      <c r="X13" s="20">
        <f t="shared" si="0"/>
        <v>-37722.114633696961</v>
      </c>
    </row>
    <row r="14" spans="1:24" ht="15" customHeight="1" x14ac:dyDescent="0.25">
      <c r="A14" s="8" t="s">
        <v>27</v>
      </c>
      <c r="B14" s="65">
        <v>247582768</v>
      </c>
      <c r="C14" s="65">
        <v>45536317</v>
      </c>
      <c r="D14" s="65">
        <v>338723263</v>
      </c>
      <c r="E14" s="65">
        <v>73446787</v>
      </c>
      <c r="F14" s="65"/>
      <c r="G14" s="65"/>
      <c r="H14" s="65"/>
      <c r="I14" s="65"/>
      <c r="J14" s="65"/>
      <c r="K14" s="65">
        <v>710106049.83499205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1179905.3110000002</v>
      </c>
      <c r="V14" s="36">
        <f t="shared" si="1"/>
        <v>13031448.254476188</v>
      </c>
      <c r="W14" s="36">
        <f t="shared" si="1"/>
        <v>4695242.6562219588</v>
      </c>
      <c r="X14" s="36">
        <f t="shared" si="1"/>
        <v>1825213.1264217505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43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38404113</v>
      </c>
      <c r="V17" s="38">
        <f>C12</f>
        <v>36406519</v>
      </c>
      <c r="W17" s="38">
        <f>C13</f>
        <v>60511368</v>
      </c>
      <c r="X17" s="38">
        <f>C14</f>
        <v>45536317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CTT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39584018.310999997</v>
      </c>
      <c r="V18" s="40">
        <f t="shared" si="2"/>
        <v>49437967.25447619</v>
      </c>
      <c r="W18" s="40">
        <f t="shared" si="2"/>
        <v>65206610.656221956</v>
      </c>
      <c r="X18" s="40">
        <f t="shared" si="2"/>
        <v>47361530.12642175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CTT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1.0307234100420442</v>
      </c>
      <c r="V19" s="41">
        <f t="shared" si="3"/>
        <v>1.357942714997723</v>
      </c>
      <c r="W19" s="41">
        <f t="shared" si="3"/>
        <v>1.0775927368923797</v>
      </c>
      <c r="X19" s="41">
        <f t="shared" si="3"/>
        <v>1.0400825812597394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CTT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173982963</v>
      </c>
      <c r="V22" s="28">
        <f>+B12</f>
        <v>223603460</v>
      </c>
      <c r="W22" s="28">
        <f>+B13</f>
        <v>251628671</v>
      </c>
      <c r="X22" s="28">
        <f>+B14</f>
        <v>247582768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CTT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176267660.12605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254842897.41091561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300489732.7590763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306637464.14733273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CTT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617827248.57330298</v>
      </c>
      <c r="V24" s="28">
        <f>+K12</f>
        <v>384571247.577667</v>
      </c>
      <c r="W24" s="28">
        <f>+K13</f>
        <v>464334269.81067699</v>
      </c>
      <c r="X24" s="28">
        <f>+K14</f>
        <v>710106049.83499205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CTT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3.5050516250768364</v>
      </c>
      <c r="V25" s="26">
        <f t="shared" si="4"/>
        <v>1.5090522493847409</v>
      </c>
      <c r="W25" s="26">
        <f t="shared" si="4"/>
        <v>1.545258353911767</v>
      </c>
      <c r="X25" s="26">
        <f t="shared" si="4"/>
        <v>2.3157837278937361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0.79056000000000004</v>
      </c>
      <c r="Q48" s="33">
        <v>0.77816215212999995</v>
      </c>
      <c r="R48" s="33">
        <v>2.4110810499999999</v>
      </c>
      <c r="S48" s="33">
        <v>1.1647873736000001</v>
      </c>
      <c r="T48" s="33">
        <v>1.6824742267999999</v>
      </c>
      <c r="U48" s="33">
        <v>6.2678603443999998</v>
      </c>
      <c r="V48" s="33">
        <v>6.0416667540000004</v>
      </c>
      <c r="W48" s="33">
        <v>5.4934601665000002</v>
      </c>
      <c r="X48" s="33">
        <v>4.9107981221000001</v>
      </c>
      <c r="Y48" s="33">
        <v>2.2476102940999998</v>
      </c>
      <c r="Z48" s="33">
        <v>3.9317172464999999</v>
      </c>
      <c r="AA48" s="33">
        <v>1.7243809524</v>
      </c>
      <c r="AB48" s="33">
        <v>3.8308475809</v>
      </c>
      <c r="AC48" s="33">
        <v>2.4979591836999999</v>
      </c>
      <c r="AD48" s="33">
        <v>3.251391162</v>
      </c>
      <c r="AE48" s="33">
        <v>3.8126956522</v>
      </c>
      <c r="AF48" s="33">
        <v>2.6735038363000001</v>
      </c>
      <c r="AG48" s="33">
        <v>1.7265040650000001</v>
      </c>
      <c r="AH48" s="33">
        <v>5.5755995828999998</v>
      </c>
      <c r="AI48" s="33">
        <v>0</v>
      </c>
      <c r="AJ48" s="33">
        <v>0</v>
      </c>
      <c r="AK48" s="33">
        <v>0</v>
      </c>
      <c r="AL48" s="33">
        <v>0.98425196849999996</v>
      </c>
      <c r="AM48" s="33">
        <v>1.5625</v>
      </c>
      <c r="AN48" s="33">
        <v>0.82519584054999995</v>
      </c>
      <c r="AO48" s="33">
        <v>18.411758958</v>
      </c>
      <c r="AP48" s="33">
        <v>59.695638729999999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5.28515625" customWidth="1"/>
    <col min="17" max="26" width="16.28515625" customWidth="1"/>
    <col min="27" max="30" width="15.28515625" customWidth="1"/>
    <col min="31" max="31" width="11.85546875" customWidth="1"/>
    <col min="32" max="41" width="15.28515625" customWidth="1"/>
    <col min="42" max="42" width="16.28515625" customWidth="1"/>
    <col min="43" max="43" width="18.1406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3.4099999999999998E-2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EDP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2116789440.1824152</v>
      </c>
      <c r="W7" s="17">
        <f>((D12+E12+V7+U7+T7+S7+R7+Q7+P7+SUM($P$8:V8))*W5)</f>
        <v>1420215565.7608571</v>
      </c>
      <c r="X7" s="17">
        <f>((D13+E13+W7+V7+U7+T7+S7+R7+Q7+P7+SUM($P$8:W8))*X5)</f>
        <v>871548208.12977827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170584895.04999998</v>
      </c>
      <c r="V8" s="17">
        <f>((D12+E12)-(D11+E11))*(V5^1/2)</f>
        <v>143183921.40000001</v>
      </c>
      <c r="W8" s="17">
        <f>((D13+E13)-(D12+E12))*(W5^1/2)</f>
        <v>34649943.299999997</v>
      </c>
      <c r="X8" s="17">
        <f>((D14+E14)-(D13+E13))*(X5^1/2)</f>
        <v>21375533.300000023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743332741.98241508</v>
      </c>
      <c r="W9" s="17">
        <f>+(B12+V9+U9+T9+S9+R9+Q9+P9+P10+Q10+R10+S10+T10+U10+V10+P14+Q14+R14+S14+T14+U14+V14)*W5</f>
        <v>487363371.81621915</v>
      </c>
      <c r="X9" s="17">
        <f>+(B13+W9+V9+U9+T9+S9+R9+Q9+P9+P10+Q10+R10+S10+T10+U10+V10+W10+P14+Q14+R14+S14+T14+U14+V14+W14)*X5</f>
        <v>371345636.30290729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59199837.149999999</v>
      </c>
      <c r="V10" s="19">
        <f>((B12-B11)*(V5^1/2))</f>
        <v>-17200944</v>
      </c>
      <c r="W10" s="19">
        <f>((B13-B12)*(W5/2))</f>
        <v>57521044.5</v>
      </c>
      <c r="X10" s="19">
        <f>((B14-B13)*(X5/2))</f>
        <v>-55744.700000000063</v>
      </c>
    </row>
    <row r="11" spans="1:24" ht="15" customHeight="1" x14ac:dyDescent="0.25">
      <c r="A11" s="8" t="s">
        <v>21</v>
      </c>
      <c r="B11" s="65">
        <v>9322809000</v>
      </c>
      <c r="C11" s="65">
        <v>656717000</v>
      </c>
      <c r="D11" s="65">
        <v>22106270000</v>
      </c>
      <c r="E11" s="65">
        <v>4757493000</v>
      </c>
      <c r="F11" s="65"/>
      <c r="G11" s="65"/>
      <c r="H11" s="65"/>
      <c r="I11" s="65"/>
      <c r="J11" s="65"/>
      <c r="K11" s="65">
        <v>15805794340.4238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8883449000</v>
      </c>
      <c r="C12" s="65">
        <v>679001000</v>
      </c>
      <c r="D12" s="65">
        <v>25537077000</v>
      </c>
      <c r="E12" s="65">
        <v>4984002000</v>
      </c>
      <c r="F12" s="65"/>
      <c r="G12" s="65"/>
      <c r="H12" s="65"/>
      <c r="I12" s="65"/>
      <c r="J12" s="65"/>
      <c r="K12" s="65">
        <v>15799459099.0609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-5816944.9212049991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-83337503.338495702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-136540263.59136009</v>
      </c>
    </row>
    <row r="13" spans="1:24" ht="15" customHeight="1" x14ac:dyDescent="0.25">
      <c r="A13" s="8" t="s">
        <v>25</v>
      </c>
      <c r="B13" s="65">
        <v>11552639000</v>
      </c>
      <c r="C13" s="65">
        <v>952348000</v>
      </c>
      <c r="D13" s="65">
        <v>27304192000</v>
      </c>
      <c r="E13" s="65">
        <v>4824773000</v>
      </c>
      <c r="F13" s="65"/>
      <c r="G13" s="65"/>
      <c r="H13" s="65"/>
      <c r="I13" s="65"/>
      <c r="J13" s="65"/>
      <c r="K13" s="65">
        <v>16941478025.3137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-455466.78733035148</v>
      </c>
      <c r="W13" s="20">
        <f t="shared" si="0"/>
        <v>-3591846.3938891646</v>
      </c>
      <c r="X13" s="20">
        <f t="shared" si="0"/>
        <v>-3304274.3789109178</v>
      </c>
    </row>
    <row r="14" spans="1:24" ht="15" customHeight="1" x14ac:dyDescent="0.25">
      <c r="A14" s="8" t="s">
        <v>27</v>
      </c>
      <c r="B14" s="65">
        <v>11548032000</v>
      </c>
      <c r="C14" s="65">
        <v>800980000</v>
      </c>
      <c r="D14" s="65">
        <v>29238632000</v>
      </c>
      <c r="E14" s="65">
        <v>4656906000</v>
      </c>
      <c r="F14" s="65"/>
      <c r="G14" s="65"/>
      <c r="H14" s="65"/>
      <c r="I14" s="65"/>
      <c r="J14" s="65"/>
      <c r="K14" s="65">
        <v>12161497168.4837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111385057.89999998</v>
      </c>
      <c r="V14" s="36">
        <f t="shared" si="1"/>
        <v>1527569151.8914645</v>
      </c>
      <c r="W14" s="36">
        <f t="shared" si="1"/>
        <v>823051743.01225305</v>
      </c>
      <c r="X14" s="36">
        <f t="shared" si="1"/>
        <v>381789311.85660005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44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656717000</v>
      </c>
      <c r="V17" s="38">
        <f>C12</f>
        <v>679001000</v>
      </c>
      <c r="W17" s="38">
        <f>C13</f>
        <v>952348000</v>
      </c>
      <c r="X17" s="38">
        <f>C14</f>
        <v>800980000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EDP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768102057.89999998</v>
      </c>
      <c r="V18" s="40">
        <f t="shared" si="2"/>
        <v>2206570151.8914642</v>
      </c>
      <c r="W18" s="40">
        <f t="shared" si="2"/>
        <v>1775399743.012253</v>
      </c>
      <c r="X18" s="40">
        <f t="shared" si="2"/>
        <v>1182769311.8566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EDP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1.1696089151034617</v>
      </c>
      <c r="V19" s="41">
        <f t="shared" si="3"/>
        <v>3.2497303419162331</v>
      </c>
      <c r="W19" s="41">
        <f t="shared" si="3"/>
        <v>1.864234232667316</v>
      </c>
      <c r="X19" s="41">
        <f t="shared" si="3"/>
        <v>1.476652740213988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EDP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9322809000</v>
      </c>
      <c r="V22" s="28">
        <f>+B12</f>
        <v>8883449000</v>
      </c>
      <c r="W22" s="28">
        <f>+B13</f>
        <v>11552639000</v>
      </c>
      <c r="X22" s="28">
        <f>+B14</f>
        <v>11548032000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EDP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9493393895.0499992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11321091642.206293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15463280199.413858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16306389919.899179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EDP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15805794340.4238</v>
      </c>
      <c r="V24" s="28">
        <f>+K12</f>
        <v>15799459099.0609</v>
      </c>
      <c r="W24" s="28">
        <f>+K13</f>
        <v>16941478025.3137</v>
      </c>
      <c r="X24" s="28">
        <f>+K14</f>
        <v>12161497168.4837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EDP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1.6649255803728087</v>
      </c>
      <c r="V25" s="26">
        <f t="shared" si="4"/>
        <v>1.3955773522898405</v>
      </c>
      <c r="W25" s="26">
        <f t="shared" si="4"/>
        <v>1.0955940658668186</v>
      </c>
      <c r="X25" s="26">
        <f t="shared" si="4"/>
        <v>0.74581174792359517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0.61115079195999999</v>
      </c>
      <c r="Q48" s="33">
        <v>1.7324997975</v>
      </c>
      <c r="R48" s="33">
        <v>13.634999962</v>
      </c>
      <c r="S48" s="33">
        <v>1.1277143961</v>
      </c>
      <c r="T48" s="33">
        <v>2.3352954767999998</v>
      </c>
      <c r="U48" s="33">
        <v>3.8510040230999998</v>
      </c>
      <c r="V48" s="33">
        <v>11.384872325</v>
      </c>
      <c r="W48" s="33">
        <v>1.1262723711</v>
      </c>
      <c r="X48" s="33">
        <v>0.75911823376999998</v>
      </c>
      <c r="Y48" s="33">
        <v>0.75197768421</v>
      </c>
      <c r="Z48" s="33">
        <v>0.69548330397000002</v>
      </c>
      <c r="AA48" s="33">
        <v>0.57381502297999998</v>
      </c>
      <c r="AB48" s="33">
        <v>1.6070258015000001</v>
      </c>
      <c r="AC48" s="33">
        <v>4.2440279422999998</v>
      </c>
      <c r="AD48" s="33">
        <v>52.990767112999997</v>
      </c>
      <c r="AE48" s="33">
        <v>4.9025047829000004</v>
      </c>
      <c r="AF48" s="33">
        <v>20.159025261</v>
      </c>
      <c r="AG48" s="33">
        <v>6.959592862</v>
      </c>
      <c r="AH48" s="33">
        <v>7.1105008447999998</v>
      </c>
      <c r="AI48" s="33">
        <v>0</v>
      </c>
      <c r="AJ48" s="33">
        <v>0</v>
      </c>
      <c r="AK48" s="33">
        <v>0</v>
      </c>
      <c r="AL48" s="33">
        <v>0</v>
      </c>
      <c r="AM48" s="33">
        <v>2.1875565863999999</v>
      </c>
      <c r="AN48" s="33">
        <v>4.4226167866999999</v>
      </c>
      <c r="AO48" s="33">
        <v>7.1389670491999997</v>
      </c>
      <c r="AP48" s="33">
        <v>1.7512795849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8" width="11" customWidth="1"/>
    <col min="9" max="9" width="12.28515625" customWidth="1"/>
    <col min="10" max="11" width="11" customWidth="1"/>
    <col min="12" max="12" width="9" customWidth="1"/>
    <col min="13" max="13" width="16.28515625" customWidth="1"/>
    <col min="14" max="14" width="16.5703125" customWidth="1"/>
    <col min="16" max="18" width="16.28515625" customWidth="1"/>
    <col min="19" max="23" width="18" customWidth="1"/>
    <col min="24" max="26" width="15.28515625" customWidth="1"/>
    <col min="27" max="27" width="16.28515625" customWidth="1"/>
    <col min="28" max="28" width="15.28515625" customWidth="1"/>
    <col min="29" max="30" width="16.28515625" customWidth="1"/>
    <col min="31" max="31" width="11.85546875" customWidth="1"/>
    <col min="32" max="42" width="16.28515625" customWidth="1"/>
    <col min="43" max="43" width="13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4.0800000000000003E-2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EDPR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1212686069.4534152</v>
      </c>
      <c r="W7" s="17">
        <f>((D12+E12+V7+U7+T7+S7+R7+Q7+P7+SUM($P$8:V8))*W5)</f>
        <v>893115026.17433226</v>
      </c>
      <c r="X7" s="17">
        <f>((D13+E13+W7+V7+U7+T7+S7+R7+Q7+P7+SUM($P$8:W8))*X5)</f>
        <v>580133113.28138208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97726265.049999997</v>
      </c>
      <c r="V8" s="17">
        <f>((D12+E12)-(D11+E11))*(V5^1/2)</f>
        <v>151512026.85000002</v>
      </c>
      <c r="W8" s="17">
        <f>((D13+E13)-(D12+E12))*(W5^1/2)</f>
        <v>49730310.049999997</v>
      </c>
      <c r="X8" s="17">
        <f>((D14+E14)-(D13+E13))*(X5^1/2)</f>
        <v>21360021.100000024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694098748.85341513</v>
      </c>
      <c r="W9" s="17">
        <f>+(B12+V9+U9+T9+S9+R9+Q9+P9+P10+Q10+R10+S10+T10+U10+V10+P14+Q14+R14+S14+T14+U14+V14)*W5</f>
        <v>451824020.5616222</v>
      </c>
      <c r="X9" s="17">
        <f>+(B13+W9+V9+U9+T9+S9+R9+Q9+P9+P10+Q10+R10+S10+T10+U10+V10+W10+P14+Q14+R14+S14+T14+U14+V14+W14)*X5</f>
        <v>324284460.80944127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55669694.349999994</v>
      </c>
      <c r="V10" s="19">
        <f>((B12-B11)*(V5^1/2))</f>
        <v>10126147.500000002</v>
      </c>
      <c r="W10" s="19">
        <f>((B13-B12)*(W5/2))</f>
        <v>43891445.299999997</v>
      </c>
      <c r="X10" s="19">
        <f>((B14-B13)*(X5/2))</f>
        <v>-4343379.7000000048</v>
      </c>
    </row>
    <row r="11" spans="1:24" ht="15" customHeight="1" x14ac:dyDescent="0.25">
      <c r="A11" s="8" t="s">
        <v>21</v>
      </c>
      <c r="B11" s="65">
        <v>8766881000</v>
      </c>
      <c r="C11" s="65">
        <v>655443000</v>
      </c>
      <c r="D11" s="65">
        <v>15231088000</v>
      </c>
      <c r="E11" s="65">
        <v>158875000</v>
      </c>
      <c r="F11" s="65"/>
      <c r="G11" s="65"/>
      <c r="H11" s="65"/>
      <c r="I11" s="65"/>
      <c r="J11" s="65"/>
      <c r="K11" s="65">
        <v>19808777390.543301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9025531000</v>
      </c>
      <c r="C12" s="65">
        <v>616231000</v>
      </c>
      <c r="D12" s="65">
        <v>18879156000</v>
      </c>
      <c r="E12" s="65">
        <v>380846000</v>
      </c>
      <c r="F12" s="65"/>
      <c r="G12" s="65"/>
      <c r="H12" s="65"/>
      <c r="I12" s="65"/>
      <c r="J12" s="65"/>
      <c r="K12" s="65">
        <v>18688724253.383099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-3987231.6140400004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-59958714.17859868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-101011024.47764905</v>
      </c>
    </row>
    <row r="13" spans="1:24" ht="15" customHeight="1" x14ac:dyDescent="0.25">
      <c r="A13" s="8" t="s">
        <v>25</v>
      </c>
      <c r="B13" s="65">
        <v>11062257000</v>
      </c>
      <c r="C13" s="65">
        <v>309014000</v>
      </c>
      <c r="D13" s="65">
        <v>21187801000</v>
      </c>
      <c r="E13" s="65">
        <v>379872000</v>
      </c>
      <c r="F13" s="65"/>
      <c r="G13" s="65"/>
      <c r="H13" s="65"/>
      <c r="I13" s="65"/>
      <c r="J13" s="65"/>
      <c r="K13" s="65">
        <v>18172419068.417999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-312200.23537933204</v>
      </c>
      <c r="W13" s="20">
        <f t="shared" si="0"/>
        <v>-2584220.5810976028</v>
      </c>
      <c r="X13" s="20">
        <f t="shared" si="0"/>
        <v>-2444466.7923591095</v>
      </c>
    </row>
    <row r="14" spans="1:24" ht="15" customHeight="1" x14ac:dyDescent="0.25">
      <c r="A14" s="8" t="s">
        <v>27</v>
      </c>
      <c r="B14" s="65">
        <v>10703300000</v>
      </c>
      <c r="C14" s="65">
        <v>-556174000</v>
      </c>
      <c r="D14" s="65">
        <v>22979247000</v>
      </c>
      <c r="E14" s="65">
        <v>353717000</v>
      </c>
      <c r="F14" s="65"/>
      <c r="G14" s="65"/>
      <c r="H14" s="65"/>
      <c r="I14" s="65"/>
      <c r="J14" s="65"/>
      <c r="K14" s="65">
        <v>10050501159.2507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42056570.700000003</v>
      </c>
      <c r="V14" s="36">
        <f t="shared" si="1"/>
        <v>655673768.10058081</v>
      </c>
      <c r="W14" s="36">
        <f t="shared" si="1"/>
        <v>384586935.60301369</v>
      </c>
      <c r="X14" s="36">
        <f t="shared" si="1"/>
        <v>178096562.00193268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45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655443000</v>
      </c>
      <c r="V17" s="38">
        <f>C12</f>
        <v>616231000</v>
      </c>
      <c r="W17" s="38">
        <f>C13</f>
        <v>309014000</v>
      </c>
      <c r="X17" s="38">
        <f>C14</f>
        <v>-556174000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EDPR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697499570.70000005</v>
      </c>
      <c r="V18" s="40">
        <f t="shared" si="2"/>
        <v>1271904768.1005807</v>
      </c>
      <c r="W18" s="40">
        <f t="shared" si="2"/>
        <v>693600935.60301375</v>
      </c>
      <c r="X18" s="40">
        <f t="shared" si="2"/>
        <v>-378077437.99806732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EDPR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1.0641651077210377</v>
      </c>
      <c r="V19" s="41">
        <f t="shared" si="3"/>
        <v>2.0640064652712713</v>
      </c>
      <c r="W19" s="41">
        <f t="shared" si="3"/>
        <v>2.2445615266719754</v>
      </c>
      <c r="X19" s="41">
        <f t="shared" si="3"/>
        <v>0.67978265434570351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EDPR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8766881000</v>
      </c>
      <c r="V22" s="28">
        <f>+B12</f>
        <v>9025531000</v>
      </c>
      <c r="W22" s="28">
        <f>+B13</f>
        <v>11062257000</v>
      </c>
      <c r="X22" s="28">
        <f>+B14</f>
        <v>10703300000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EDPR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8864607265.0500011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10490807896.057409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13470989731.742121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13668361706.961651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EDPR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19808777390.543301</v>
      </c>
      <c r="V24" s="28">
        <f>+K12</f>
        <v>18688724253.383099</v>
      </c>
      <c r="W24" s="28">
        <f>+K13</f>
        <v>18172419068.417999</v>
      </c>
      <c r="X24" s="28">
        <f>+K14</f>
        <v>10050501159.2507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EDPR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2.2345916517522753</v>
      </c>
      <c r="V25" s="26">
        <f t="shared" si="4"/>
        <v>1.781438039715376</v>
      </c>
      <c r="W25" s="26">
        <f t="shared" si="4"/>
        <v>1.3490040026975709</v>
      </c>
      <c r="X25" s="26">
        <f t="shared" si="4"/>
        <v>0.73531132514087039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2.6241134540000002</v>
      </c>
      <c r="Q48" s="33">
        <v>6.9507366703000004</v>
      </c>
      <c r="R48" s="33">
        <v>10.913170484</v>
      </c>
      <c r="S48" s="33">
        <v>6.1894056428999997</v>
      </c>
      <c r="T48" s="33">
        <v>4.3003582005999998</v>
      </c>
      <c r="U48" s="33">
        <v>4.9435759263000003</v>
      </c>
      <c r="V48" s="33">
        <v>2.1999119380000001</v>
      </c>
      <c r="W48" s="33">
        <v>8.9534164473000004</v>
      </c>
      <c r="X48" s="33">
        <v>4.5559505402999996</v>
      </c>
      <c r="Y48" s="33">
        <v>2.4754678427000001</v>
      </c>
      <c r="Z48" s="33">
        <v>3.0469926103999998</v>
      </c>
      <c r="AA48" s="33">
        <v>0.75793003599999997</v>
      </c>
      <c r="AB48" s="33">
        <v>7.2149799439000004</v>
      </c>
      <c r="AC48" s="33">
        <v>2.4573279632</v>
      </c>
      <c r="AD48" s="33">
        <v>2.6698494014</v>
      </c>
      <c r="AE48" s="33">
        <v>3.4892955122</v>
      </c>
      <c r="AF48" s="33">
        <v>2.9493938044000001</v>
      </c>
      <c r="AG48" s="33">
        <v>2.9946746225999998</v>
      </c>
      <c r="AH48" s="33">
        <v>3.7592321107000002</v>
      </c>
      <c r="AI48" s="33">
        <v>7.1997756691000001</v>
      </c>
      <c r="AJ48" s="33">
        <v>4.5558786015999999</v>
      </c>
      <c r="AK48" s="33">
        <v>3.6645554903000002</v>
      </c>
      <c r="AL48" s="33">
        <v>2.9558536044000001</v>
      </c>
      <c r="AM48" s="33">
        <v>5.5439246018999997</v>
      </c>
      <c r="AN48" s="33">
        <v>2.5581617066</v>
      </c>
      <c r="AO48" s="33">
        <v>5.2968440315</v>
      </c>
      <c r="AP48" s="33">
        <v>2.7550702934000002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23" width="9.28515625" customWidth="1"/>
    <col min="24" max="25" width="9.5703125" customWidth="1"/>
    <col min="26" max="27" width="11.28515625" customWidth="1"/>
    <col min="28" max="30" width="15.5703125" customWidth="1"/>
    <col min="31" max="31" width="11" customWidth="1"/>
    <col min="32" max="39" width="15.5703125" customWidth="1"/>
    <col min="40" max="40" width="16.5703125" customWidth="1"/>
    <col min="41" max="42" width="15.5703125" customWidth="1"/>
    <col min="43" max="43" width="13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3.6700000000000003E-2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EGL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13" t="s">
        <v>12</v>
      </c>
      <c r="N6" s="13"/>
      <c r="O6" s="14"/>
    </row>
    <row r="7" spans="1:24" ht="15" customHeight="1" x14ac:dyDescent="0.25">
      <c r="A7" s="8" t="s">
        <v>13</v>
      </c>
      <c r="B7" s="66"/>
      <c r="C7" s="66"/>
      <c r="D7" s="66"/>
      <c r="E7" s="66"/>
      <c r="F7" s="66"/>
      <c r="G7" s="66"/>
      <c r="H7" s="66"/>
      <c r="I7" s="66"/>
      <c r="J7" s="66"/>
      <c r="K7" s="66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115312144.98582003</v>
      </c>
      <c r="W7" s="17">
        <f>((D12+E12+V7+U7+T7+S7+R7+Q7+P7+SUM($P$8:V8))*W5)</f>
        <v>78505375.71771884</v>
      </c>
      <c r="X7" s="17">
        <f>((D13+E13+W7+V7+U7+T7+S7+R7+Q7+P7+SUM($P$8:W8))*X5)</f>
        <v>49724797.531615697</v>
      </c>
    </row>
    <row r="8" spans="1:24" ht="15" customHeight="1" x14ac:dyDescent="0.25">
      <c r="A8" s="8" t="s">
        <v>15</v>
      </c>
      <c r="B8" s="66"/>
      <c r="C8" s="66"/>
      <c r="D8" s="66"/>
      <c r="E8" s="66"/>
      <c r="F8" s="66"/>
      <c r="G8" s="66"/>
      <c r="H8" s="66"/>
      <c r="I8" s="66"/>
      <c r="J8" s="66"/>
      <c r="K8" s="66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9292615.4000000004</v>
      </c>
      <c r="V8" s="17">
        <f>((D12+E12)-(D11+E11))*(V5^1/2)</f>
        <v>8795673.9000000004</v>
      </c>
      <c r="W8" s="17">
        <f>((D13+E13)-(D12+E12))*(W5^1/2)</f>
        <v>3264889.65</v>
      </c>
      <c r="X8" s="17">
        <f>((D14+E14)-(D13+E13))*(X5^1/2)</f>
        <v>3319901.2000000039</v>
      </c>
    </row>
    <row r="9" spans="1:24" ht="15" customHeight="1" x14ac:dyDescent="0.25">
      <c r="A9" s="8" t="s">
        <v>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11323950.785820002</v>
      </c>
      <c r="W9" s="17">
        <f>+(B12+V9+U9+T9+S9+R9+Q9+P9+P10+Q10+R10+S10+T10+U10+V10+P14+Q14+R14+S14+T14+U14+V14)*W5</f>
        <v>15768423.422963129</v>
      </c>
      <c r="X9" s="17">
        <f>+(B13+W9+V9+U9+T9+S9+R9+Q9+P9+P10+Q10+R10+S10+T10+U10+V10+W10+P14+Q14+R14+S14+T14+U14+V14+W14)*X5</f>
        <v>10551909.018994452</v>
      </c>
    </row>
    <row r="10" spans="1:24" ht="15" customHeight="1" x14ac:dyDescent="0.25">
      <c r="A10" s="8" t="s">
        <v>19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859345.5</v>
      </c>
      <c r="V10" s="19">
        <f>((B12-B11)*(V5^1/2))</f>
        <v>3816890.1000000006</v>
      </c>
      <c r="W10" s="19"/>
      <c r="X10" s="19"/>
    </row>
    <row r="11" spans="1:24" ht="15" customHeight="1" x14ac:dyDescent="0.25">
      <c r="A11" s="8" t="s">
        <v>21</v>
      </c>
      <c r="B11" s="66">
        <v>135330000</v>
      </c>
      <c r="C11" s="66">
        <v>24101000</v>
      </c>
      <c r="D11" s="66">
        <v>764244000</v>
      </c>
      <c r="E11" s="66">
        <v>699160000</v>
      </c>
      <c r="F11" s="66"/>
      <c r="G11" s="66"/>
      <c r="H11" s="66"/>
      <c r="I11" s="66"/>
      <c r="J11" s="66"/>
      <c r="K11" s="66">
        <v>323700322.77917898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6">
        <v>232824000</v>
      </c>
      <c r="C12" s="66">
        <v>52422000</v>
      </c>
      <c r="D12" s="66">
        <v>935851000</v>
      </c>
      <c r="E12" s="66">
        <v>752219000</v>
      </c>
      <c r="F12" s="66"/>
      <c r="G12" s="66"/>
      <c r="H12" s="66"/>
      <c r="I12" s="66"/>
      <c r="J12" s="66"/>
      <c r="K12" s="66">
        <v>313065167.871952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-341038.98518000002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-4922499.2908291891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-8135627.7492592093</v>
      </c>
    </row>
    <row r="13" spans="1:24" ht="15" customHeight="1" x14ac:dyDescent="0.25">
      <c r="A13" s="8" t="s">
        <v>25</v>
      </c>
      <c r="B13" s="66">
        <v>226361000</v>
      </c>
      <c r="C13" s="66">
        <v>113153000</v>
      </c>
      <c r="D13" s="66">
        <v>1095372000</v>
      </c>
      <c r="E13" s="66">
        <v>744201000</v>
      </c>
      <c r="F13" s="66"/>
      <c r="G13" s="66"/>
      <c r="H13" s="66"/>
      <c r="I13" s="66"/>
      <c r="J13" s="66"/>
      <c r="K13" s="66">
        <v>1114075489.7232101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-26703.352539594005</v>
      </c>
      <c r="W13" s="20">
        <f t="shared" si="0"/>
        <v>-212159.71943473804</v>
      </c>
      <c r="X13" s="20">
        <f t="shared" si="0"/>
        <v>-196882.19153207308</v>
      </c>
    </row>
    <row r="14" spans="1:24" ht="15" customHeight="1" x14ac:dyDescent="0.25">
      <c r="A14" s="8" t="s">
        <v>27</v>
      </c>
      <c r="B14" s="66">
        <v>280261000</v>
      </c>
      <c r="C14" s="66">
        <v>122688000</v>
      </c>
      <c r="D14" s="66">
        <v>1364092000</v>
      </c>
      <c r="E14" s="66">
        <v>749853000</v>
      </c>
      <c r="F14" s="66"/>
      <c r="G14" s="66"/>
      <c r="H14" s="66"/>
      <c r="I14" s="66"/>
      <c r="J14" s="66"/>
      <c r="K14" s="66">
        <v>845998427.90508294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8433269.9000000004</v>
      </c>
      <c r="V14" s="36">
        <f t="shared" si="1"/>
        <v>108599235.66228043</v>
      </c>
      <c r="W14" s="36">
        <f t="shared" si="1"/>
        <v>60867182.934491791</v>
      </c>
      <c r="X14" s="36">
        <f t="shared" si="1"/>
        <v>34160279.771829963</v>
      </c>
    </row>
    <row r="15" spans="1:24" ht="15" customHeight="1" x14ac:dyDescent="0.25">
      <c r="A15" s="8"/>
      <c r="B15" s="47"/>
      <c r="C15" s="47"/>
      <c r="D15" s="47"/>
      <c r="E15" s="47"/>
      <c r="F15" s="47"/>
      <c r="G15" s="47"/>
      <c r="H15" s="47"/>
      <c r="I15" s="47"/>
      <c r="J15" s="47"/>
      <c r="K15" s="47"/>
      <c r="Q15" s="69"/>
      <c r="R15" s="69"/>
      <c r="S15" s="69"/>
      <c r="T15" s="69"/>
    </row>
    <row r="16" spans="1:24" ht="15" customHeight="1" x14ac:dyDescent="0.25">
      <c r="A16" s="8"/>
      <c r="B16" s="47"/>
      <c r="C16" s="47"/>
      <c r="D16" s="47"/>
      <c r="E16" s="47"/>
      <c r="F16" s="47"/>
      <c r="G16" s="47"/>
      <c r="H16" s="47"/>
      <c r="I16" s="47"/>
      <c r="J16" s="47"/>
      <c r="K16" s="47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37" t="s">
        <v>46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24101000</v>
      </c>
      <c r="V17" s="38"/>
      <c r="W17" s="38"/>
      <c r="X17" s="38"/>
    </row>
    <row r="18" spans="1:24" ht="15" customHeight="1" x14ac:dyDescent="0.25">
      <c r="A18" s="8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39" t="str">
        <f>+L17</f>
        <v>EGL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V18" si="2">U14+U17</f>
        <v>32534269.899999999</v>
      </c>
      <c r="V18" s="40">
        <f t="shared" si="2"/>
        <v>108599235.66228043</v>
      </c>
      <c r="W18" s="40"/>
      <c r="X18" s="40">
        <f>X14+X17</f>
        <v>34160279.771829963</v>
      </c>
    </row>
    <row r="19" spans="1:24" ht="15" customHeight="1" x14ac:dyDescent="0.25">
      <c r="A19" s="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0" t="str">
        <f>+L18</f>
        <v>EGL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/>
      <c r="V19" s="41"/>
      <c r="W19" s="41"/>
      <c r="X19" s="41"/>
    </row>
    <row r="20" spans="1:24" ht="15" customHeight="1" x14ac:dyDescent="0.25">
      <c r="A20" s="8"/>
      <c r="B20" s="47"/>
      <c r="C20" s="47"/>
      <c r="D20" s="47"/>
      <c r="E20" s="47"/>
      <c r="F20" s="47"/>
      <c r="G20" s="47"/>
      <c r="H20" s="47"/>
      <c r="I20" s="47"/>
      <c r="J20" s="47"/>
      <c r="K20" s="47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47"/>
      <c r="C21" s="47"/>
      <c r="D21" s="47"/>
      <c r="E21" s="47"/>
      <c r="F21" s="47"/>
      <c r="G21" s="47"/>
      <c r="H21" s="47"/>
      <c r="I21" s="47"/>
      <c r="J21" s="47"/>
      <c r="K21" s="47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3" t="str">
        <f>+L19</f>
        <v>EGL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135330000</v>
      </c>
      <c r="V22" s="28">
        <f>+B12</f>
        <v>232824000</v>
      </c>
      <c r="W22" s="28">
        <f>+B13</f>
        <v>226361000</v>
      </c>
      <c r="X22" s="28">
        <f>+B14</f>
        <v>280261000</v>
      </c>
    </row>
    <row r="23" spans="1:24" ht="15" customHeight="1" x14ac:dyDescent="0.25">
      <c r="A23" s="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3" t="str">
        <f>+L22</f>
        <v>EGL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144622615.40000001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366584303.7339204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442521979.18230736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546365263.66934359</v>
      </c>
    </row>
    <row r="24" spans="1:24" ht="15" customHeight="1" x14ac:dyDescent="0.25">
      <c r="A24" s="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3" t="str">
        <f>+L23</f>
        <v>EGL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323700322.77917898</v>
      </c>
      <c r="V24" s="28">
        <f>+K12</f>
        <v>313065167.871952</v>
      </c>
      <c r="W24" s="28">
        <f>+K13</f>
        <v>1114075489.7232101</v>
      </c>
      <c r="X24" s="28">
        <f>+K14</f>
        <v>845998427.90508294</v>
      </c>
    </row>
    <row r="25" spans="1:24" ht="15" customHeight="1" x14ac:dyDescent="0.25">
      <c r="A25" s="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35" t="str">
        <f>+L24</f>
        <v>EGL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/>
      <c r="V25" s="26"/>
      <c r="W25" s="26"/>
      <c r="X25" s="26">
        <f>X24/X23</f>
        <v>1.5484118119505401</v>
      </c>
    </row>
    <row r="26" spans="1:24" ht="15" customHeight="1" x14ac:dyDescent="0.25">
      <c r="A26" s="8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4" ht="15" customHeight="1" x14ac:dyDescent="0.25">
      <c r="A27" s="8"/>
      <c r="B27" s="47"/>
      <c r="C27" s="47"/>
      <c r="D27" s="47"/>
      <c r="E27" s="47"/>
      <c r="F27" s="47"/>
      <c r="G27" s="47"/>
      <c r="H27" s="47"/>
      <c r="I27" s="47"/>
      <c r="J27" s="47"/>
      <c r="K27" s="47"/>
      <c r="S27" s="62"/>
    </row>
    <row r="28" spans="1:24" ht="15" customHeight="1" x14ac:dyDescent="0.25">
      <c r="A28" s="8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24" ht="15" customHeight="1" x14ac:dyDescent="0.25">
      <c r="A29" s="8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4" ht="15" customHeight="1" x14ac:dyDescent="0.25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4" ht="15" customHeight="1" x14ac:dyDescent="0.25">
      <c r="A31" s="8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24" ht="15" customHeight="1" x14ac:dyDescent="0.25">
      <c r="A32" s="8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42" ht="15" customHeight="1" x14ac:dyDescent="0.25">
      <c r="A33" s="8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42" ht="15" customHeight="1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42" ht="15" customHeight="1" x14ac:dyDescent="0.25"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46" spans="1:42" ht="15" customHeight="1" x14ac:dyDescent="0.25">
      <c r="M46" s="42" t="s">
        <v>36</v>
      </c>
      <c r="N46" s="15"/>
      <c r="O46" s="15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33">
        <v>2.6751090830000002</v>
      </c>
      <c r="AD48" s="33">
        <v>3.7564746915999998</v>
      </c>
      <c r="AE48" s="33">
        <v>5.7197745101999997</v>
      </c>
      <c r="AF48" s="33">
        <v>3.3747210714000002</v>
      </c>
      <c r="AG48" s="33">
        <v>5.2172639240000001</v>
      </c>
      <c r="AH48" s="33">
        <v>4.1150898477000002</v>
      </c>
      <c r="AI48" s="33">
        <v>7.3383363635999999</v>
      </c>
      <c r="AJ48" s="33">
        <v>3.0519384849</v>
      </c>
      <c r="AK48" s="33">
        <v>1.9871317823000001</v>
      </c>
      <c r="AL48" s="33">
        <v>2.6189132786</v>
      </c>
      <c r="AM48" s="33">
        <v>1.8871537650000001</v>
      </c>
      <c r="AN48" s="33">
        <v>3.1375256358999999</v>
      </c>
      <c r="AO48" s="33">
        <v>9.9994391756999992</v>
      </c>
      <c r="AP48" s="33">
        <v>3.5681255454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23" width="16.28515625" customWidth="1"/>
    <col min="24" max="30" width="15.28515625" customWidth="1"/>
    <col min="31" max="31" width="11" customWidth="1"/>
    <col min="32" max="37" width="15.28515625" customWidth="1"/>
    <col min="38" max="42" width="16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3.9600000000000003E-2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GALP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543227931.2700001</v>
      </c>
      <c r="W7" s="17">
        <f>((D12+E12+V7+U7+T7+S7+R7+Q7+P7+SUM($P$8:V8))*W5)</f>
        <v>349124577.76773703</v>
      </c>
      <c r="X7" s="17">
        <f>((D13+E13+W7+V7+U7+T7+S7+R7+Q7+P7+SUM($P$8:W8))*X5)</f>
        <v>224971131.76871347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43776900</v>
      </c>
      <c r="V8" s="17">
        <f>((D12+E12)-(D11+E11))*(V5^1/2)</f>
        <v>23333400.000000004</v>
      </c>
      <c r="W8" s="17">
        <f>((D13+E13)-(D12+E12))*(W5^1/2)</f>
        <v>17864950</v>
      </c>
      <c r="X8" s="17">
        <f>((D14+E14)-(D13+E13))*(X5^1/2)</f>
        <v>-2589400.0000000028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242399331.27000004</v>
      </c>
      <c r="W9" s="17">
        <f>+(B12+V9+U9+T9+S9+R9+Q9+P9+P10+Q10+R10+S10+T10+U10+V10+P14+Q14+R14+S14+T14+U14+V14)*W5</f>
        <v>205564110.79127064</v>
      </c>
      <c r="X9" s="17">
        <f>+(B13+W9+V9+U9+T9+S9+R9+Q9+P9+P10+Q10+R10+S10+T10+U10+V10+W10+P14+Q14+R14+S14+T14+U14+V14+W14)*X5</f>
        <v>129690359.69035317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19380200</v>
      </c>
      <c r="V10" s="19">
        <f>((B12-B11)*(V5^1/2))</f>
        <v>43417350.000000007</v>
      </c>
      <c r="W10" s="19">
        <f>((B13-B12)*(W5/2))</f>
        <v>5344400</v>
      </c>
      <c r="X10" s="19">
        <f>((B14-B13)*(X5/2))</f>
        <v>3388000.0000000037</v>
      </c>
    </row>
    <row r="11" spans="1:24" ht="15" customHeight="1" x14ac:dyDescent="0.25">
      <c r="A11" s="8" t="s">
        <v>21</v>
      </c>
      <c r="B11" s="65">
        <v>3052000000</v>
      </c>
      <c r="C11" s="65">
        <v>4000000</v>
      </c>
      <c r="D11" s="65">
        <v>6249000000</v>
      </c>
      <c r="E11" s="65">
        <v>645000000</v>
      </c>
      <c r="F11" s="65"/>
      <c r="G11" s="65"/>
      <c r="H11" s="65"/>
      <c r="I11" s="65"/>
      <c r="J11" s="65"/>
      <c r="K11" s="65">
        <v>6135807471.59445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4161000000</v>
      </c>
      <c r="C12" s="65">
        <v>1475000000</v>
      </c>
      <c r="D12" s="65">
        <v>6817000000</v>
      </c>
      <c r="E12" s="65">
        <v>673000000</v>
      </c>
      <c r="F12" s="65"/>
      <c r="G12" s="65"/>
      <c r="H12" s="65"/>
      <c r="I12" s="65"/>
      <c r="J12" s="65"/>
      <c r="K12" s="65">
        <v>8553972289.8048697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-1733565.2400000002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-24305132.116584007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-39885468.61041116</v>
      </c>
    </row>
    <row r="13" spans="1:24" ht="15" customHeight="1" x14ac:dyDescent="0.25">
      <c r="A13" s="8" t="s">
        <v>25</v>
      </c>
      <c r="B13" s="65">
        <v>4409000000</v>
      </c>
      <c r="C13" s="65">
        <v>1242000000</v>
      </c>
      <c r="D13" s="65">
        <v>7660000000</v>
      </c>
      <c r="E13" s="65">
        <v>659000000</v>
      </c>
      <c r="F13" s="65"/>
      <c r="G13" s="65"/>
      <c r="H13" s="65"/>
      <c r="I13" s="65"/>
      <c r="J13" s="65"/>
      <c r="K13" s="65">
        <v>10440197049.8521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-135738.15829200004</v>
      </c>
      <c r="W13" s="20">
        <f t="shared" si="0"/>
        <v>-1047551.1942247706</v>
      </c>
      <c r="X13" s="20">
        <f t="shared" si="0"/>
        <v>-965228.34037195111</v>
      </c>
    </row>
    <row r="14" spans="1:24" ht="15" customHeight="1" x14ac:dyDescent="0.25">
      <c r="A14" s="8" t="s">
        <v>27</v>
      </c>
      <c r="B14" s="65">
        <v>4689000000</v>
      </c>
      <c r="C14" s="65">
        <v>1040000000</v>
      </c>
      <c r="D14" s="65">
        <v>7410000000</v>
      </c>
      <c r="E14" s="65">
        <v>695000000</v>
      </c>
      <c r="F14" s="65"/>
      <c r="G14" s="65"/>
      <c r="H14" s="65"/>
      <c r="I14" s="65"/>
      <c r="J14" s="65"/>
      <c r="K14" s="65">
        <v>11557755775.478201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24396700</v>
      </c>
      <c r="V14" s="36">
        <f t="shared" si="1"/>
        <v>278875346.60170805</v>
      </c>
      <c r="W14" s="36">
        <f t="shared" si="1"/>
        <v>130728333.66565761</v>
      </c>
      <c r="X14" s="36">
        <f t="shared" si="1"/>
        <v>48452675.127577193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47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4000000</v>
      </c>
      <c r="V17" s="38">
        <f>C12</f>
        <v>1475000000</v>
      </c>
      <c r="W17" s="38">
        <f>C13</f>
        <v>1242000000</v>
      </c>
      <c r="X17" s="38">
        <f>C14</f>
        <v>1040000000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GALP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28396700</v>
      </c>
      <c r="V18" s="40">
        <f t="shared" si="2"/>
        <v>1753875346.6017079</v>
      </c>
      <c r="W18" s="40">
        <f t="shared" si="2"/>
        <v>1372728333.6656575</v>
      </c>
      <c r="X18" s="40">
        <f t="shared" si="2"/>
        <v>1088452675.1275773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GALP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7.0991749999999998</v>
      </c>
      <c r="V19" s="41">
        <f t="shared" si="3"/>
        <v>1.1890680315943782</v>
      </c>
      <c r="W19" s="41">
        <f t="shared" si="3"/>
        <v>1.1052563072992412</v>
      </c>
      <c r="X19" s="41">
        <f t="shared" si="3"/>
        <v>1.0465891106995935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GALP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3052000000</v>
      </c>
      <c r="V22" s="28">
        <f>+B12</f>
        <v>4161000000</v>
      </c>
      <c r="W22" s="28">
        <f>+B13</f>
        <v>4409000000</v>
      </c>
      <c r="X22" s="28">
        <f>+B14</f>
        <v>4689000000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GALP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3095776900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4772896659.1417093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5388906249.6076441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5874151015.6660795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GALP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6135807471.59445</v>
      </c>
      <c r="V24" s="28">
        <f>+K12</f>
        <v>8553972289.8048697</v>
      </c>
      <c r="W24" s="28">
        <f>+K13</f>
        <v>10440197049.8521</v>
      </c>
      <c r="X24" s="28">
        <f>+K14</f>
        <v>11557755775.478201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GALP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1.9819927823592358</v>
      </c>
      <c r="V25" s="26">
        <f t="shared" si="4"/>
        <v>1.7921972547679454</v>
      </c>
      <c r="W25" s="26">
        <f t="shared" si="4"/>
        <v>1.937349912259511</v>
      </c>
      <c r="X25" s="26">
        <f t="shared" si="4"/>
        <v>1.967561907185263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0</v>
      </c>
      <c r="Q48" s="33">
        <v>1.5625000268</v>
      </c>
      <c r="R48" s="33">
        <v>3.8669998805999999</v>
      </c>
      <c r="S48" s="33">
        <v>4.7053537392000004</v>
      </c>
      <c r="T48" s="33">
        <v>4.2731994562000004</v>
      </c>
      <c r="U48" s="33">
        <v>2.8593654179999999</v>
      </c>
      <c r="V48" s="33">
        <v>7.0036969271</v>
      </c>
      <c r="W48" s="33">
        <v>3.4214583332999999</v>
      </c>
      <c r="X48" s="33">
        <v>4.8197907691999999</v>
      </c>
      <c r="Y48" s="33">
        <v>2.5879146919</v>
      </c>
      <c r="Z48" s="33">
        <v>7.529859375</v>
      </c>
      <c r="AA48" s="33">
        <v>2.7485017548999999</v>
      </c>
      <c r="AB48" s="33">
        <v>7.7500052624000002</v>
      </c>
      <c r="AC48" s="33">
        <v>4.8026335008999999</v>
      </c>
      <c r="AD48" s="33">
        <v>5.8970946989000002</v>
      </c>
      <c r="AE48" s="33">
        <v>7.9577696849999997</v>
      </c>
      <c r="AF48" s="33">
        <v>6.3424473266000003</v>
      </c>
      <c r="AG48" s="33">
        <v>9.7291411265000001</v>
      </c>
      <c r="AH48" s="33">
        <v>6.9810601798</v>
      </c>
      <c r="AI48" s="33">
        <v>13.986676435</v>
      </c>
      <c r="AJ48" s="33">
        <v>3.2497850968000002</v>
      </c>
      <c r="AK48" s="33">
        <v>2.9708257438999999</v>
      </c>
      <c r="AL48" s="33">
        <v>3.2593844481000001</v>
      </c>
      <c r="AM48" s="33">
        <v>4.8321829575999997</v>
      </c>
      <c r="AN48" s="33">
        <v>3.8051984309</v>
      </c>
      <c r="AO48" s="33">
        <v>7.8531088543000003</v>
      </c>
      <c r="AP48" s="33">
        <v>11.99389148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9" width="14.28515625" customWidth="1"/>
    <col min="20" max="29" width="15.28515625" customWidth="1"/>
    <col min="30" max="30" width="16.28515625" customWidth="1"/>
    <col min="31" max="31" width="11.85546875" customWidth="1"/>
    <col min="32" max="42" width="16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5.21E-2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IBS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30661218.865198623</v>
      </c>
      <c r="W7" s="17">
        <f>((D12+E12+V7+U7+T7+S7+R7+Q7+P7+SUM($P$8:V8))*W5)</f>
        <v>11848706.755996671</v>
      </c>
      <c r="X7" s="17">
        <f>((D13+E13+W7+V7+U7+T7+S7+R7+Q7+P7+SUM($P$8:W8))*X5)</f>
        <v>10121294.607348546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2470883.8314</v>
      </c>
      <c r="V8" s="17">
        <f>((D12+E12)-(D11+E11))*(V5^1/2)</f>
        <v>-5550874.998300001</v>
      </c>
      <c r="W8" s="17">
        <f>((D13+E13)-(D12+E12))*(W5^1/2)</f>
        <v>2773508.8989499998</v>
      </c>
      <c r="X8" s="17">
        <f>((D14+E14)-(D13+E13))*(X5^1/2)</f>
        <v>1091577.8566000012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18090743.933998622</v>
      </c>
      <c r="W9" s="17">
        <f>+(B12+V9+U9+T9+S9+R9+Q9+P9+P10+Q10+R10+S10+T10+U10+V10+P14+Q14+R14+S14+T14+U14+V14)*W5</f>
        <v>17723482.605066642</v>
      </c>
      <c r="X9" s="17">
        <f>+(B13+W9+V9+U9+T9+S9+R9+Q9+P9+P10+Q10+R10+S10+T10+U10+V10+W10+P14+Q14+R14+S14+T14+U14+V14+W14)*X5</f>
        <v>9569837.8099268042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1451439.1850000001</v>
      </c>
      <c r="V10" s="19">
        <f>((B12-B11)*(V5^1/2))</f>
        <v>6076165.3078500004</v>
      </c>
      <c r="W10" s="19">
        <f>((B13-B12)*(W5/2))</f>
        <v>-622420.80579999997</v>
      </c>
      <c r="X10" s="19">
        <f>((B14-B13)*(X5/2))</f>
        <v>-149128.96680000017</v>
      </c>
    </row>
    <row r="11" spans="1:24" ht="15" customHeight="1" x14ac:dyDescent="0.25">
      <c r="A11" s="8" t="s">
        <v>21</v>
      </c>
      <c r="B11" s="65">
        <v>228573100</v>
      </c>
      <c r="C11" s="65">
        <v>31379907</v>
      </c>
      <c r="D11" s="65">
        <v>353244862</v>
      </c>
      <c r="E11" s="65">
        <v>35870702</v>
      </c>
      <c r="F11" s="65"/>
      <c r="G11" s="65"/>
      <c r="H11" s="65"/>
      <c r="I11" s="65"/>
      <c r="J11" s="65"/>
      <c r="K11" s="65">
        <v>148938993.76616499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383775279</v>
      </c>
      <c r="C12" s="65">
        <v>159875149</v>
      </c>
      <c r="D12" s="65">
        <v>220467979</v>
      </c>
      <c r="E12" s="65">
        <v>26862783</v>
      </c>
      <c r="F12" s="65"/>
      <c r="G12" s="65"/>
      <c r="H12" s="65"/>
      <c r="I12" s="65"/>
      <c r="J12" s="65"/>
      <c r="K12" s="65">
        <v>198891484.832764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-128733.04761594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-1447061.7607096864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-2271247.5582189951</v>
      </c>
    </row>
    <row r="13" spans="1:24" ht="15" customHeight="1" x14ac:dyDescent="0.25">
      <c r="A13" s="8" t="s">
        <v>25</v>
      </c>
      <c r="B13" s="65">
        <v>354892643</v>
      </c>
      <c r="C13" s="65">
        <v>15537446</v>
      </c>
      <c r="D13" s="65">
        <v>349526939</v>
      </c>
      <c r="E13" s="65">
        <v>26504932</v>
      </c>
      <c r="F13" s="65"/>
      <c r="G13" s="65"/>
      <c r="H13" s="65"/>
      <c r="I13" s="65"/>
      <c r="J13" s="65"/>
      <c r="K13" s="65">
        <v>243391535.19468299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-10079.797628328102</v>
      </c>
      <c r="W13" s="20">
        <f t="shared" si="0"/>
        <v>-62368.361886587481</v>
      </c>
      <c r="X13" s="20">
        <f t="shared" si="0"/>
        <v>-54964.190908899742</v>
      </c>
    </row>
    <row r="14" spans="1:24" ht="15" customHeight="1" x14ac:dyDescent="0.25">
      <c r="A14" s="8" t="s">
        <v>27</v>
      </c>
      <c r="B14" s="65">
        <v>342567935</v>
      </c>
      <c r="C14" s="65">
        <v>13851797</v>
      </c>
      <c r="D14" s="65">
        <v>425317553</v>
      </c>
      <c r="E14" s="65">
        <v>40927364</v>
      </c>
      <c r="F14" s="65"/>
      <c r="G14" s="65"/>
      <c r="H14" s="65"/>
      <c r="I14" s="65"/>
      <c r="J14" s="65"/>
      <c r="K14" s="65">
        <v>290483445.38450199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1019444.6464</v>
      </c>
      <c r="V14" s="36">
        <f t="shared" si="1"/>
        <v>804621.77980573277</v>
      </c>
      <c r="W14" s="36">
        <f t="shared" si="1"/>
        <v>-3988276.2669162476</v>
      </c>
      <c r="X14" s="36">
        <f t="shared" si="1"/>
        <v>-534048.12830615067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48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31379907</v>
      </c>
      <c r="V17" s="38">
        <f>C12</f>
        <v>159875149</v>
      </c>
      <c r="W17" s="38">
        <f>C13</f>
        <v>15537446</v>
      </c>
      <c r="X17" s="38">
        <f>C14</f>
        <v>13851797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IBS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32399351.646400001</v>
      </c>
      <c r="V18" s="40">
        <f t="shared" si="2"/>
        <v>160679770.77980572</v>
      </c>
      <c r="W18" s="40">
        <f t="shared" si="2"/>
        <v>11549169.733083753</v>
      </c>
      <c r="X18" s="40">
        <f t="shared" si="2"/>
        <v>13317748.87169385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IBS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1.0324871787032384</v>
      </c>
      <c r="V19" s="41">
        <f t="shared" si="3"/>
        <v>1.0050328133223865</v>
      </c>
      <c r="W19" s="41">
        <f t="shared" si="3"/>
        <v>0.74331197888531697</v>
      </c>
      <c r="X19" s="41">
        <f t="shared" si="3"/>
        <v>0.96144557068616077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IBS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228573100</v>
      </c>
      <c r="V22" s="28">
        <f>+B12</f>
        <v>383775279</v>
      </c>
      <c r="W22" s="28">
        <f>+B13</f>
        <v>354892643</v>
      </c>
      <c r="X22" s="28">
        <f>+B14</f>
        <v>342567935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IBS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231043983.83140001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411411164.05705297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396832420.23536235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394409315.55927885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IBS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148938993.76616499</v>
      </c>
      <c r="V24" s="28">
        <f>+K12</f>
        <v>198891484.832764</v>
      </c>
      <c r="W24" s="28">
        <f>+K13</f>
        <v>243391535.19468299</v>
      </c>
      <c r="X24" s="28">
        <f>+K14</f>
        <v>290483445.38450199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IBS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0.64463480630965231</v>
      </c>
      <c r="V25" s="26">
        <f t="shared" si="4"/>
        <v>0.48343725744200383</v>
      </c>
      <c r="W25" s="26">
        <f t="shared" si="4"/>
        <v>0.61333581326426612</v>
      </c>
      <c r="X25" s="26">
        <f t="shared" si="4"/>
        <v>0.73650249607464702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11.124999557000001</v>
      </c>
      <c r="Q48" s="33">
        <v>2.1535395904999999</v>
      </c>
      <c r="R48" s="33">
        <v>3.0130756342999998</v>
      </c>
      <c r="S48" s="33">
        <v>2.5507234310000002</v>
      </c>
      <c r="T48" s="33">
        <v>2.1166170266000002</v>
      </c>
      <c r="U48" s="33">
        <v>0.78703402222999996</v>
      </c>
      <c r="V48" s="33">
        <v>1.8540795552</v>
      </c>
      <c r="W48" s="33">
        <v>4.1353385827000002</v>
      </c>
      <c r="X48" s="33">
        <v>0.94031432747999999</v>
      </c>
      <c r="Y48" s="33">
        <v>4.4082446808000002</v>
      </c>
      <c r="Z48" s="33">
        <v>2.8260869565000002</v>
      </c>
      <c r="AA48" s="33">
        <v>2.4472</v>
      </c>
      <c r="AB48" s="33">
        <v>5.401580375</v>
      </c>
      <c r="AC48" s="33">
        <v>3.7491525424000001</v>
      </c>
      <c r="AD48" s="33">
        <v>3.5668202765000001</v>
      </c>
      <c r="AE48" s="33">
        <v>3.0622710622999998</v>
      </c>
      <c r="AF48" s="33">
        <v>3.1230585423999999</v>
      </c>
      <c r="AG48" s="33">
        <v>1.4988452656</v>
      </c>
      <c r="AH48" s="33">
        <v>4.7102342786999998</v>
      </c>
      <c r="AI48" s="33">
        <v>4.0112044818000001</v>
      </c>
      <c r="AJ48" s="33">
        <v>3.9024390244</v>
      </c>
      <c r="AK48" s="33">
        <v>2.537593985</v>
      </c>
      <c r="AL48" s="33">
        <v>3.5760728218</v>
      </c>
      <c r="AM48" s="33">
        <v>2.6277450455000002</v>
      </c>
      <c r="AN48" s="33">
        <v>2.6434504792000002</v>
      </c>
      <c r="AO48" s="33">
        <v>4.4118028534000002</v>
      </c>
      <c r="AP48" s="33">
        <v>5.25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23" width="9" customWidth="1"/>
    <col min="24" max="24" width="12.5703125" customWidth="1"/>
    <col min="25" max="30" width="14.28515625" customWidth="1"/>
    <col min="31" max="31" width="10" customWidth="1"/>
    <col min="32" max="36" width="14.28515625" customWidth="1"/>
    <col min="37" max="42" width="15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2.47E-2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JMT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13" t="s">
        <v>12</v>
      </c>
      <c r="N6" s="13"/>
      <c r="O6" s="14"/>
    </row>
    <row r="7" spans="1:24" ht="15" customHeight="1" x14ac:dyDescent="0.25">
      <c r="A7" s="8" t="s">
        <v>13</v>
      </c>
      <c r="B7" s="66"/>
      <c r="C7" s="66"/>
      <c r="D7" s="66"/>
      <c r="E7" s="66"/>
      <c r="F7" s="66"/>
      <c r="G7" s="66"/>
      <c r="H7" s="66"/>
      <c r="I7" s="66"/>
      <c r="J7" s="66"/>
      <c r="K7" s="66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502804965.10500008</v>
      </c>
      <c r="W7" s="17">
        <f>((D12+E12+V7+U7+T7+S7+R7+Q7+P7+SUM($P$8:V8))*W5)</f>
        <v>326520055.83602554</v>
      </c>
      <c r="X7" s="17">
        <f>((D13+E13+W7+V7+U7+T7+S7+R7+Q7+P7+SUM($P$8:W8))*X5)</f>
        <v>230742845.36677307</v>
      </c>
    </row>
    <row r="8" spans="1:24" ht="15" customHeight="1" x14ac:dyDescent="0.25">
      <c r="A8" s="8" t="s">
        <v>15</v>
      </c>
      <c r="B8" s="66"/>
      <c r="C8" s="66"/>
      <c r="D8" s="66"/>
      <c r="E8" s="66"/>
      <c r="F8" s="66"/>
      <c r="G8" s="66"/>
      <c r="H8" s="66"/>
      <c r="I8" s="66"/>
      <c r="J8" s="66"/>
      <c r="K8" s="66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40519350</v>
      </c>
      <c r="V8" s="17">
        <f>((D12+E12)-(D11+E11))*(V5^1/2)</f>
        <v>24547050.000000004</v>
      </c>
      <c r="W8" s="17">
        <f>((D13+E13)-(D12+E12))*(W5^1/2)</f>
        <v>34436900</v>
      </c>
      <c r="X8" s="17">
        <f>((D14+E14)-(D13+E13))*(X5^1/2)</f>
        <v>9849400.0000000112</v>
      </c>
    </row>
    <row r="9" spans="1:24" ht="15" customHeight="1" x14ac:dyDescent="0.25">
      <c r="A9" s="8" t="s">
        <v>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181540065.10500002</v>
      </c>
      <c r="W9" s="17">
        <f>+(B12+V9+U9+T9+S9+R9+Q9+P9+P10+Q10+R10+S10+T10+U10+V10+P14+Q14+R14+S14+T14+U14+V14)*W5</f>
        <v>124894842.62750515</v>
      </c>
      <c r="X9" s="17">
        <f>+(B13+W9+V9+U9+T9+S9+R9+Q9+P9+P10+Q10+R10+S10+T10+U10+V10+W10+P14+Q14+R14+S14+T14+U14+V14+W14)*X5</f>
        <v>90194281.467539907</v>
      </c>
    </row>
    <row r="10" spans="1:24" ht="15" customHeight="1" x14ac:dyDescent="0.25">
      <c r="A10" s="8" t="s">
        <v>19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14465300</v>
      </c>
      <c r="V10" s="19">
        <f>((B12-B11)*(V5^1/2))</f>
        <v>2074950.0000000002</v>
      </c>
      <c r="W10" s="19"/>
      <c r="X10" s="19">
        <f>((B14-B13)*(X5/2))</f>
        <v>2323200.0000000028</v>
      </c>
    </row>
    <row r="11" spans="1:24" ht="15" customHeight="1" x14ac:dyDescent="0.25">
      <c r="A11" s="8" t="s">
        <v>21</v>
      </c>
      <c r="B11" s="66">
        <v>2278000000</v>
      </c>
      <c r="C11" s="66">
        <v>463000000</v>
      </c>
      <c r="D11" s="66">
        <v>6242000000</v>
      </c>
      <c r="E11" s="66">
        <v>139000000</v>
      </c>
      <c r="F11" s="66"/>
      <c r="G11" s="66"/>
      <c r="H11" s="66"/>
      <c r="I11" s="66"/>
      <c r="J11" s="66"/>
      <c r="K11" s="66">
        <v>11147332762.036501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6">
        <v>2331000000</v>
      </c>
      <c r="C12" s="66">
        <v>590000000</v>
      </c>
      <c r="D12" s="66">
        <v>6866000000</v>
      </c>
      <c r="E12" s="66">
        <v>142000000</v>
      </c>
      <c r="F12" s="66"/>
      <c r="G12" s="66"/>
      <c r="H12" s="66"/>
      <c r="I12" s="66"/>
      <c r="J12" s="66"/>
      <c r="K12" s="66">
        <v>11664672944.654301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-1000827.9449999999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-14104787.546187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-23628340.698577486</v>
      </c>
    </row>
    <row r="13" spans="1:24" ht="15" customHeight="1" x14ac:dyDescent="0.25">
      <c r="A13" s="8" t="s">
        <v>25</v>
      </c>
      <c r="B13" s="66">
        <v>2814000000</v>
      </c>
      <c r="C13" s="66">
        <v>756000000</v>
      </c>
      <c r="D13" s="66">
        <v>8451000000</v>
      </c>
      <c r="E13" s="66">
        <v>155000000</v>
      </c>
      <c r="F13" s="66"/>
      <c r="G13" s="66"/>
      <c r="H13" s="66"/>
      <c r="I13" s="66"/>
      <c r="J13" s="66"/>
      <c r="K13" s="66">
        <v>13642668333.945801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-78364.828093500008</v>
      </c>
      <c r="W13" s="20">
        <f t="shared" si="0"/>
        <v>-607916.34324065968</v>
      </c>
      <c r="X13" s="20">
        <f t="shared" si="0"/>
        <v>-571805.84490557585</v>
      </c>
    </row>
    <row r="14" spans="1:24" ht="15" customHeight="1" x14ac:dyDescent="0.25">
      <c r="A14" s="8" t="s">
        <v>27</v>
      </c>
      <c r="B14" s="66">
        <v>3006000000</v>
      </c>
      <c r="C14" s="66">
        <v>599000000</v>
      </c>
      <c r="D14" s="66">
        <v>9264000000</v>
      </c>
      <c r="E14" s="66">
        <v>156000000</v>
      </c>
      <c r="F14" s="66"/>
      <c r="G14" s="66"/>
      <c r="H14" s="66"/>
      <c r="I14" s="66"/>
      <c r="J14" s="66"/>
      <c r="K14" s="66">
        <v>11189656178.2178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26054050</v>
      </c>
      <c r="V14" s="36">
        <f t="shared" si="1"/>
        <v>342657807.22690654</v>
      </c>
      <c r="W14" s="36">
        <f t="shared" si="1"/>
        <v>221349409.31909272</v>
      </c>
      <c r="X14" s="36">
        <f t="shared" si="1"/>
        <v>123874617.3557501</v>
      </c>
    </row>
    <row r="15" spans="1:24" ht="15" customHeight="1" x14ac:dyDescent="0.25">
      <c r="A15" s="8"/>
      <c r="B15" s="47"/>
      <c r="C15" s="47"/>
      <c r="D15" s="47"/>
      <c r="E15" s="47"/>
      <c r="F15" s="47"/>
      <c r="G15" s="47"/>
      <c r="H15" s="47"/>
      <c r="I15" s="47"/>
      <c r="J15" s="47"/>
      <c r="K15" s="47"/>
      <c r="Q15" s="69"/>
      <c r="R15" s="69"/>
      <c r="S15" s="69"/>
      <c r="T15" s="69"/>
    </row>
    <row r="16" spans="1:24" ht="15" customHeight="1" x14ac:dyDescent="0.25">
      <c r="A16" s="8"/>
      <c r="B16" s="47"/>
      <c r="C16" s="47"/>
      <c r="D16" s="47"/>
      <c r="E16" s="47"/>
      <c r="F16" s="47"/>
      <c r="G16" s="47"/>
      <c r="H16" s="47"/>
      <c r="I16" s="47"/>
      <c r="J16" s="47"/>
      <c r="K16" s="47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37" t="s">
        <v>49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463000000</v>
      </c>
      <c r="V17" s="38"/>
      <c r="W17" s="38"/>
      <c r="X17" s="38">
        <f>C14</f>
        <v>599000000</v>
      </c>
    </row>
    <row r="18" spans="1:24" ht="15" customHeight="1" x14ac:dyDescent="0.25">
      <c r="A18" s="8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39" t="str">
        <f>+L17</f>
        <v>JMT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V18" si="2">U14+U17</f>
        <v>489054050</v>
      </c>
      <c r="V18" s="40">
        <f t="shared" si="2"/>
        <v>342657807.22690654</v>
      </c>
      <c r="W18" s="40"/>
      <c r="X18" s="40">
        <f>X14+X17</f>
        <v>722874617.35575008</v>
      </c>
    </row>
    <row r="19" spans="1:24" ht="15" customHeight="1" x14ac:dyDescent="0.25">
      <c r="A19" s="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0" t="str">
        <f>+L18</f>
        <v>JMT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/>
      <c r="V19" s="41"/>
      <c r="W19" s="41"/>
      <c r="X19" s="41">
        <f>X18/X17</f>
        <v>1.2068023662032556</v>
      </c>
    </row>
    <row r="20" spans="1:24" ht="15" customHeight="1" x14ac:dyDescent="0.25">
      <c r="A20" s="8"/>
      <c r="B20" s="47"/>
      <c r="C20" s="47"/>
      <c r="D20" s="47"/>
      <c r="E20" s="47"/>
      <c r="F20" s="47"/>
      <c r="G20" s="47"/>
      <c r="H20" s="47"/>
      <c r="I20" s="47"/>
      <c r="J20" s="47"/>
      <c r="K20" s="47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47"/>
      <c r="C21" s="47"/>
      <c r="D21" s="47"/>
      <c r="E21" s="47"/>
      <c r="F21" s="47"/>
      <c r="G21" s="47"/>
      <c r="H21" s="47"/>
      <c r="I21" s="47"/>
      <c r="J21" s="47"/>
      <c r="K21" s="47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3" t="str">
        <f>+L19</f>
        <v>JMT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2278000000</v>
      </c>
      <c r="V22" s="28">
        <f>+B12</f>
        <v>2331000000</v>
      </c>
      <c r="W22" s="28">
        <f>+B13</f>
        <v>2814000000</v>
      </c>
      <c r="X22" s="28">
        <f>+B14</f>
        <v>3006000000</v>
      </c>
    </row>
    <row r="23" spans="1:24" ht="15" customHeight="1" x14ac:dyDescent="0.25">
      <c r="A23" s="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3" t="str">
        <f>+L22</f>
        <v>JMT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2318519350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2900964837.4369063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3754774573.8770356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4185933417.3881493</v>
      </c>
    </row>
    <row r="24" spans="1:24" ht="15" customHeight="1" x14ac:dyDescent="0.25">
      <c r="A24" s="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3" t="str">
        <f>+L23</f>
        <v>JMT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11147332762.036501</v>
      </c>
      <c r="V24" s="28">
        <f>+K12</f>
        <v>11664672944.654301</v>
      </c>
      <c r="W24" s="28">
        <f>+K13</f>
        <v>13642668333.945801</v>
      </c>
      <c r="X24" s="28">
        <f>+K14</f>
        <v>11189656178.2178</v>
      </c>
    </row>
    <row r="25" spans="1:24" ht="15" customHeight="1" x14ac:dyDescent="0.25">
      <c r="A25" s="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35" t="str">
        <f>+L24</f>
        <v>JMT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S25:X25" si="3">U24/U23</f>
        <v>4.8079533009015005</v>
      </c>
      <c r="V25" s="26">
        <f t="shared" si="3"/>
        <v>4.0209632306196461</v>
      </c>
      <c r="W25" s="26">
        <f t="shared" si="3"/>
        <v>3.6334187487210201</v>
      </c>
      <c r="X25" s="26">
        <f t="shared" si="3"/>
        <v>2.6731567520249011</v>
      </c>
    </row>
    <row r="26" spans="1:24" ht="15" customHeight="1" x14ac:dyDescent="0.25">
      <c r="A26" s="8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4" ht="15" customHeight="1" x14ac:dyDescent="0.25">
      <c r="A27" s="8"/>
      <c r="B27" s="47"/>
      <c r="C27" s="47"/>
      <c r="D27" s="47"/>
      <c r="E27" s="47"/>
      <c r="F27" s="47"/>
      <c r="G27" s="47"/>
      <c r="H27" s="47"/>
      <c r="I27" s="47"/>
      <c r="J27" s="47"/>
      <c r="K27" s="47"/>
      <c r="S27" s="62"/>
    </row>
    <row r="28" spans="1:24" ht="15" customHeight="1" x14ac:dyDescent="0.25">
      <c r="A28" s="8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24" ht="15" customHeight="1" x14ac:dyDescent="0.25">
      <c r="A29" s="8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4" ht="15" customHeight="1" x14ac:dyDescent="0.25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4" ht="15" customHeight="1" x14ac:dyDescent="0.25">
      <c r="A31" s="8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24" ht="15" customHeight="1" x14ac:dyDescent="0.25">
      <c r="A32" s="8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42" ht="15" customHeight="1" x14ac:dyDescent="0.25">
      <c r="A33" s="8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42" ht="15" customHeight="1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42" ht="15" customHeight="1" x14ac:dyDescent="0.25"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46" spans="1:42" ht="15" customHeight="1" x14ac:dyDescent="0.25">
      <c r="M46" s="42" t="s">
        <v>36</v>
      </c>
      <c r="N46" s="15"/>
      <c r="O46" s="15"/>
      <c r="P46" s="31"/>
      <c r="Q46" s="31"/>
      <c r="R46" s="31"/>
      <c r="S46" s="31"/>
      <c r="T46" s="31"/>
      <c r="U46" s="31"/>
      <c r="V46" s="31"/>
      <c r="W46" s="31"/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/>
      <c r="Q47" s="32"/>
      <c r="R47" s="32"/>
      <c r="S47" s="32"/>
      <c r="T47" s="32"/>
      <c r="U47" s="32">
        <f>-G11/U18</f>
        <v>0</v>
      </c>
      <c r="V47" s="32"/>
      <c r="W47" s="32"/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33">
        <v>0.95451593391</v>
      </c>
      <c r="AA48" s="33">
        <v>6.1050714664000001</v>
      </c>
      <c r="AB48" s="33">
        <v>3.9737735634</v>
      </c>
      <c r="AC48" s="33">
        <v>0.80867739130000005</v>
      </c>
      <c r="AD48" s="33">
        <v>0.6594428188</v>
      </c>
      <c r="AE48" s="33">
        <v>1.5797246992</v>
      </c>
      <c r="AF48" s="33">
        <v>1.1505564999</v>
      </c>
      <c r="AG48" s="33">
        <v>4.5692213580000001</v>
      </c>
      <c r="AH48" s="33">
        <v>1.3519074058</v>
      </c>
      <c r="AI48" s="33">
        <v>2.7084015374999999</v>
      </c>
      <c r="AJ48" s="33">
        <v>2.6111798334</v>
      </c>
      <c r="AK48" s="33">
        <v>1.12092514</v>
      </c>
      <c r="AL48" s="33">
        <v>0.90900152269000001</v>
      </c>
      <c r="AM48" s="33">
        <v>0.83343516237000004</v>
      </c>
      <c r="AN48" s="33">
        <v>0.50395291950999999</v>
      </c>
      <c r="AO48" s="33">
        <v>0.83673545094000001</v>
      </c>
      <c r="AP48" s="33">
        <v>2.4752360337999999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22" width="14.28515625" customWidth="1"/>
    <col min="23" max="30" width="15.28515625" customWidth="1"/>
    <col min="31" max="31" width="11" customWidth="1"/>
    <col min="32" max="37" width="15.28515625" customWidth="1"/>
    <col min="38" max="40" width="16.28515625" customWidth="1"/>
    <col min="41" max="42" width="15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1.9800000000000002E-2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NBA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568285.44246000005</v>
      </c>
      <c r="W7" s="17">
        <f>((D12+E12+V7+U7+T7+S7+R7+Q7+P7+SUM($P$8:V8))*W5)</f>
        <v>265330.82323502604</v>
      </c>
      <c r="X7" s="17">
        <f>((D13+E13+W7+V7+U7+T7+S7+R7+Q7+P7+SUM($P$8:W8))*X5)</f>
        <v>361206.83240982005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45796.2</v>
      </c>
      <c r="V8" s="17">
        <f>((D12+E12)-(D11+E11))*(V5^1/2)</f>
        <v>-62914.05000000001</v>
      </c>
      <c r="W8" s="17">
        <f>((D13+E13)-(D12+E12))*(W5^1/2)</f>
        <v>179403.75</v>
      </c>
      <c r="X8" s="17">
        <f>((D14+E14)-(D13+E13))*(X5^1/2)</f>
        <v>-3702.600000000004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5139126.2424600003</v>
      </c>
      <c r="W9" s="17">
        <f>+(B12+V9+U9+T9+S9+R9+Q9+P9+P10+Q10+R10+S10+T10+U10+V10+P14+Q14+R14+S14+T14+U14+V14)*W5</f>
        <v>2454553.1815876309</v>
      </c>
      <c r="X9" s="17">
        <f>+(B13+W9+V9+U9+T9+S9+R9+Q9+P9+P10+Q10+R10+S10+T10+U10+V10+W10+P14+Q14+R14+S14+T14+U14+V14+W14)*X5</f>
        <v>1851117.6981997122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416483.8</v>
      </c>
      <c r="V10" s="19">
        <f>((B12-B11)*(V5^1/2))</f>
        <v>-359710.2</v>
      </c>
      <c r="W10" s="19">
        <f>((B13-B12)*(W5/2))</f>
        <v>411798.95</v>
      </c>
      <c r="X10" s="19">
        <f>((B14-B13)*(X5/2))</f>
        <v>-18972.800000000021</v>
      </c>
    </row>
    <row r="11" spans="1:24" ht="15" customHeight="1" x14ac:dyDescent="0.25">
      <c r="A11" s="8" t="s">
        <v>21</v>
      </c>
      <c r="B11" s="65">
        <v>65588000</v>
      </c>
      <c r="C11" s="65">
        <v>8706000</v>
      </c>
      <c r="D11" s="65">
        <v>6840000</v>
      </c>
      <c r="E11" s="65">
        <v>372000</v>
      </c>
      <c r="F11" s="65"/>
      <c r="G11" s="65"/>
      <c r="H11" s="65"/>
      <c r="I11" s="65"/>
      <c r="J11" s="65"/>
      <c r="K11" s="65">
        <v>99856075.616741195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56400000</v>
      </c>
      <c r="C12" s="65">
        <v>8917000</v>
      </c>
      <c r="D12" s="65">
        <v>5171000</v>
      </c>
      <c r="E12" s="65">
        <v>434000</v>
      </c>
      <c r="F12" s="65"/>
      <c r="G12" s="65"/>
      <c r="H12" s="65"/>
      <c r="I12" s="65"/>
      <c r="J12" s="65"/>
      <c r="K12" s="65">
        <v>85168418.809294701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-906.76476000000002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-10984.118011416002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-20263.278047761549</v>
      </c>
    </row>
    <row r="13" spans="1:24" ht="15" customHeight="1" x14ac:dyDescent="0.25">
      <c r="A13" s="8" t="s">
        <v>25</v>
      </c>
      <c r="B13" s="65">
        <v>75509000</v>
      </c>
      <c r="C13" s="65">
        <v>47058000</v>
      </c>
      <c r="D13" s="65">
        <v>12781000</v>
      </c>
      <c r="E13" s="65">
        <v>1149000</v>
      </c>
      <c r="F13" s="65"/>
      <c r="G13" s="65"/>
      <c r="H13" s="65"/>
      <c r="I13" s="65"/>
      <c r="J13" s="65"/>
      <c r="K13" s="65">
        <v>91587306.465530396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-70.999680708000014</v>
      </c>
      <c r="W13" s="20">
        <f t="shared" si="0"/>
        <v>-473.41548629202964</v>
      </c>
      <c r="X13" s="20">
        <f t="shared" si="0"/>
        <v>-490.37132875583001</v>
      </c>
    </row>
    <row r="14" spans="1:24" ht="15" customHeight="1" x14ac:dyDescent="0.25">
      <c r="A14" s="8" t="s">
        <v>27</v>
      </c>
      <c r="B14" s="65">
        <v>73941000</v>
      </c>
      <c r="C14" s="65">
        <v>6420000</v>
      </c>
      <c r="D14" s="65">
        <v>11137000</v>
      </c>
      <c r="E14" s="65">
        <v>2487000</v>
      </c>
      <c r="F14" s="65"/>
      <c r="G14" s="65"/>
      <c r="H14" s="65"/>
      <c r="I14" s="65"/>
      <c r="J14" s="65"/>
      <c r="K14" s="65">
        <v>176374707.65075701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-370687.6</v>
      </c>
      <c r="V14" s="36">
        <f t="shared" si="1"/>
        <v>-4275022.4144407082</v>
      </c>
      <c r="W14" s="36">
        <f t="shared" si="1"/>
        <v>-2433075.0918503129</v>
      </c>
      <c r="X14" s="36">
        <f t="shared" si="1"/>
        <v>-1495394.3151664094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50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8706000</v>
      </c>
      <c r="V17" s="38">
        <f>C12</f>
        <v>8917000</v>
      </c>
      <c r="W17" s="38">
        <f>C13</f>
        <v>47058000</v>
      </c>
      <c r="X17" s="38">
        <f>C14</f>
        <v>6420000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NBA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8335312.4000000004</v>
      </c>
      <c r="V18" s="40">
        <f t="shared" si="2"/>
        <v>4641977.5855592918</v>
      </c>
      <c r="W18" s="40">
        <f t="shared" si="2"/>
        <v>44624924.908149689</v>
      </c>
      <c r="X18" s="40">
        <f t="shared" si="2"/>
        <v>4924605.6848335909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NBA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0.95742159430277973</v>
      </c>
      <c r="V19" s="41">
        <f t="shared" si="3"/>
        <v>0.52057615628118104</v>
      </c>
      <c r="W19" s="41">
        <f t="shared" si="3"/>
        <v>0.94829624948254687</v>
      </c>
      <c r="X19" s="41">
        <f t="shared" si="3"/>
        <v>0.76707253657844099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NBA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65588000</v>
      </c>
      <c r="V22" s="28">
        <f>+B12</f>
        <v>56400000</v>
      </c>
      <c r="W22" s="28">
        <f>+B13</f>
        <v>75509000</v>
      </c>
      <c r="X22" s="28">
        <f>+B14</f>
        <v>73941000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NBA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65633796.199999996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56953775.67047929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76519920.441614285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75313135.299334645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NBA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99856075.616741195</v>
      </c>
      <c r="V24" s="28">
        <f>+K12</f>
        <v>85168418.809294701</v>
      </c>
      <c r="W24" s="28">
        <f>+K13</f>
        <v>91587306.465530396</v>
      </c>
      <c r="X24" s="28">
        <f>+K14</f>
        <v>176374707.65075701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NBA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1.5214124642807298</v>
      </c>
      <c r="V25" s="26">
        <f t="shared" si="4"/>
        <v>1.4953954818036732</v>
      </c>
      <c r="W25" s="26">
        <f t="shared" si="4"/>
        <v>1.1969080199895494</v>
      </c>
      <c r="X25" s="26">
        <f t="shared" si="4"/>
        <v>2.3418850768826669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2.3730770100999998</v>
      </c>
      <c r="Q48" s="33">
        <v>2.6839080313000001</v>
      </c>
      <c r="R48" s="33">
        <v>13.267163847999999</v>
      </c>
      <c r="S48" s="33">
        <v>4.5711229830000004</v>
      </c>
      <c r="T48" s="33">
        <v>4.2658032247</v>
      </c>
      <c r="U48" s="33">
        <v>2.8231866707000002</v>
      </c>
      <c r="V48" s="33">
        <v>9.5563830030000005</v>
      </c>
      <c r="W48" s="33">
        <v>6.5642228739000004</v>
      </c>
      <c r="X48" s="33">
        <v>4.4447826086999997</v>
      </c>
      <c r="Y48" s="33">
        <v>3.68</v>
      </c>
      <c r="Z48" s="33">
        <v>2.2985347985</v>
      </c>
      <c r="AA48" s="33">
        <v>2.4659961314999999</v>
      </c>
      <c r="AB48" s="33">
        <v>4.1539109291000003</v>
      </c>
      <c r="AC48" s="33">
        <v>3.2964259608000002</v>
      </c>
      <c r="AD48" s="33">
        <v>2.6238686454</v>
      </c>
      <c r="AE48" s="33">
        <v>4.6125886525000004</v>
      </c>
      <c r="AF48" s="33">
        <v>4.1176470588000003</v>
      </c>
      <c r="AG48" s="33">
        <v>3.7078651685000001</v>
      </c>
      <c r="AH48" s="33">
        <v>3.5866008325999998</v>
      </c>
      <c r="AI48" s="33">
        <v>7.3779069768000003</v>
      </c>
      <c r="AJ48" s="33">
        <v>6.9916556872999998</v>
      </c>
      <c r="AK48" s="33">
        <v>4.3887245841000002</v>
      </c>
      <c r="AL48" s="33">
        <v>7.3588199879999996</v>
      </c>
      <c r="AM48" s="33">
        <v>8.4510290986999994</v>
      </c>
      <c r="AN48" s="33">
        <v>5.4991474851</v>
      </c>
      <c r="AO48" s="33">
        <v>4.2037540660000001</v>
      </c>
      <c r="AP48" s="33">
        <v>6.8378960581000001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7109375" customWidth="1"/>
    <col min="17" max="20" width="12.5703125" customWidth="1"/>
    <col min="21" max="26" width="14.28515625" customWidth="1"/>
    <col min="27" max="27" width="15.28515625" customWidth="1"/>
    <col min="28" max="28" width="14.28515625" customWidth="1"/>
    <col min="29" max="30" width="15.28515625" customWidth="1"/>
    <col min="31" max="31" width="11" customWidth="1"/>
    <col min="32" max="39" width="15.28515625" customWidth="1"/>
    <col min="40" max="42" width="16.28515625" customWidth="1"/>
    <col min="43" max="43" width="13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4.5600000000000002E-2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NOS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145049500.97797501</v>
      </c>
      <c r="W7" s="17">
        <f>((D12+E12+V7+U7+T7+S7+R7+Q7+P7+SUM($P$8:V8))*W5)</f>
        <v>92011808.808095723</v>
      </c>
      <c r="X7" s="17">
        <f>((D13+E13+W7+V7+U7+T7+S7+R7+Q7+P7+SUM($P$8:W8))*X5)</f>
        <v>53748694.783182979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11689048.25</v>
      </c>
      <c r="V8" s="17">
        <f>((D12+E12)-(D11+E11))*(V5^1/2)</f>
        <v>5173202.7</v>
      </c>
      <c r="W8" s="17">
        <f>((D13+E13)-(D12+E12))*(W5^1/2)</f>
        <v>-123115.15</v>
      </c>
      <c r="X8" s="17">
        <f>((D14+E14)-(D13+E13))*(X5^1/2)</f>
        <v>-769172.80000000086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75818676.777975008</v>
      </c>
      <c r="W9" s="17">
        <f>+(B12+V9+U9+T9+S9+R9+Q9+P9+P10+Q10+R10+S10+T10+U10+V10+P14+Q14+R14+S14+T14+U14+V14)*W5</f>
        <v>52040189.719616994</v>
      </c>
      <c r="X9" s="17">
        <f>+(B13+W9+V9+U9+T9+S9+R9+Q9+P9+P10+Q10+R10+S10+T10+U10+V10+W10+P14+Q14+R14+S14+T14+U14+V14+W14)*X5</f>
        <v>29852702.898252178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6074543.3499999996</v>
      </c>
      <c r="V10" s="19">
        <f>((B12-B11)*(V5^1/2))</f>
        <v>3502789.6500000004</v>
      </c>
      <c r="W10" s="19">
        <f>((B13-B12)*(W5/2))</f>
        <v>-1249684.5</v>
      </c>
      <c r="X10" s="19">
        <f>((B14-B13)*(X5/2))</f>
        <v>1106895.9000000013</v>
      </c>
    </row>
    <row r="11" spans="1:24" ht="15" customHeight="1" x14ac:dyDescent="0.25">
      <c r="A11" s="8" t="s">
        <v>21</v>
      </c>
      <c r="B11" s="65">
        <v>956621000</v>
      </c>
      <c r="C11" s="65">
        <v>144159000</v>
      </c>
      <c r="D11" s="65">
        <v>1277164000</v>
      </c>
      <c r="E11" s="65">
        <v>563631000</v>
      </c>
      <c r="F11" s="65"/>
      <c r="G11" s="65"/>
      <c r="H11" s="65"/>
      <c r="I11" s="65"/>
      <c r="J11" s="65"/>
      <c r="K11" s="65">
        <v>1197619989.3297801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1046092000</v>
      </c>
      <c r="C12" s="65">
        <v>224574000</v>
      </c>
      <c r="D12" s="65">
        <v>1404775000</v>
      </c>
      <c r="E12" s="65">
        <v>568158000</v>
      </c>
      <c r="F12" s="65"/>
      <c r="G12" s="65"/>
      <c r="H12" s="65"/>
      <c r="I12" s="65"/>
      <c r="J12" s="65"/>
      <c r="K12" s="65">
        <v>1422988223.38498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-533020.60019999999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-7424911.4009113209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-11935049.513099762</v>
      </c>
    </row>
    <row r="13" spans="1:24" ht="15" customHeight="1" x14ac:dyDescent="0.25">
      <c r="A13" s="8" t="s">
        <v>25</v>
      </c>
      <c r="B13" s="65">
        <v>988102000</v>
      </c>
      <c r="C13" s="65">
        <v>180995000</v>
      </c>
      <c r="D13" s="65">
        <v>1400674000</v>
      </c>
      <c r="E13" s="65">
        <v>566546000</v>
      </c>
      <c r="F13" s="65"/>
      <c r="G13" s="65"/>
      <c r="H13" s="65"/>
      <c r="I13" s="65"/>
      <c r="J13" s="65"/>
      <c r="K13" s="65">
        <v>1342169357.8721499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-41735.512995660007</v>
      </c>
      <c r="W13" s="20">
        <f t="shared" si="0"/>
        <v>-320013.6813792779</v>
      </c>
      <c r="X13" s="20">
        <f t="shared" si="0"/>
        <v>-288828.19821701455</v>
      </c>
    </row>
    <row r="14" spans="1:24" ht="15" customHeight="1" x14ac:dyDescent="0.25">
      <c r="A14" s="8" t="s">
        <v>27</v>
      </c>
      <c r="B14" s="65">
        <v>1079581000</v>
      </c>
      <c r="C14" s="65">
        <v>272259000</v>
      </c>
      <c r="D14" s="65">
        <v>1399440000</v>
      </c>
      <c r="E14" s="65">
        <v>504212000</v>
      </c>
      <c r="F14" s="65"/>
      <c r="G14" s="65"/>
      <c r="H14" s="65"/>
      <c r="I14" s="65"/>
      <c r="J14" s="65"/>
      <c r="K14" s="65">
        <v>1537172446.3443799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5614504.9000000004</v>
      </c>
      <c r="V14" s="36">
        <f t="shared" si="1"/>
        <v>70326481.136804327</v>
      </c>
      <c r="W14" s="36">
        <f t="shared" si="1"/>
        <v>33353263.356188122</v>
      </c>
      <c r="X14" s="36">
        <f t="shared" si="1"/>
        <v>9796045.4736140184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51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144159000</v>
      </c>
      <c r="V17" s="38">
        <f>C12</f>
        <v>224574000</v>
      </c>
      <c r="W17" s="38">
        <f>C13</f>
        <v>180995000</v>
      </c>
      <c r="X17" s="38">
        <f>C14</f>
        <v>272259000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NOS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149773504.90000001</v>
      </c>
      <c r="V18" s="40">
        <f t="shared" si="2"/>
        <v>294900481.13680434</v>
      </c>
      <c r="W18" s="40">
        <f t="shared" si="2"/>
        <v>214348263.35618812</v>
      </c>
      <c r="X18" s="40">
        <f t="shared" si="2"/>
        <v>282055045.47361404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NOS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1.0389466138083645</v>
      </c>
      <c r="V19" s="41">
        <f t="shared" si="3"/>
        <v>1.3131550452715111</v>
      </c>
      <c r="W19" s="41">
        <f t="shared" si="3"/>
        <v>1.1842772637707568</v>
      </c>
      <c r="X19" s="41">
        <f t="shared" si="3"/>
        <v>1.0359806121142516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NOS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956621000</v>
      </c>
      <c r="V22" s="28">
        <f>+B12</f>
        <v>1046092000</v>
      </c>
      <c r="W22" s="28">
        <f>+B13</f>
        <v>988102000</v>
      </c>
      <c r="X22" s="28">
        <f>+B14</f>
        <v>1079581000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NOS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968310048.25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1208344248.2927544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1241491088.7699771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1379857748.990077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NOS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1197619989.3297801</v>
      </c>
      <c r="V24" s="28">
        <f>+K12</f>
        <v>1422988223.38498</v>
      </c>
      <c r="W24" s="28">
        <f>+K13</f>
        <v>1342169357.8721499</v>
      </c>
      <c r="X24" s="28">
        <f>+K14</f>
        <v>1537172446.3443799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NOS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1.2368145838145599</v>
      </c>
      <c r="V25" s="26">
        <f t="shared" si="4"/>
        <v>1.1776347885923169</v>
      </c>
      <c r="W25" s="26">
        <f t="shared" si="4"/>
        <v>1.0810946369352687</v>
      </c>
      <c r="X25" s="26">
        <f t="shared" si="4"/>
        <v>1.1140079094888167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33">
        <v>1.8061224490000001</v>
      </c>
      <c r="Q48" s="33">
        <v>7.1570370371000003</v>
      </c>
      <c r="R48" s="33">
        <v>9.2896184531999992</v>
      </c>
      <c r="S48" s="33">
        <v>5.7444014412</v>
      </c>
      <c r="T48" s="33">
        <v>5.6352465878000002</v>
      </c>
      <c r="U48" s="33">
        <v>8.8139417236999993</v>
      </c>
      <c r="V48" s="33">
        <v>2.1186440678</v>
      </c>
      <c r="W48" s="33">
        <v>3.6911767599999998</v>
      </c>
      <c r="X48" s="33">
        <v>3.4953400537000001</v>
      </c>
      <c r="Y48" s="33">
        <v>2.0201143037999998</v>
      </c>
      <c r="Z48" s="33">
        <v>2.4977355095</v>
      </c>
      <c r="AA48" s="33">
        <v>2.0627917817000001</v>
      </c>
      <c r="AB48" s="33">
        <v>3.804235104</v>
      </c>
      <c r="AC48" s="33">
        <v>2.2864450163000001</v>
      </c>
      <c r="AD48" s="33">
        <v>2.4565569358000001</v>
      </c>
      <c r="AE48" s="33">
        <v>3.032011491</v>
      </c>
      <c r="AF48" s="33">
        <v>1.9956427037</v>
      </c>
      <c r="AG48" s="33">
        <v>2.2062599166000001</v>
      </c>
      <c r="AH48" s="33">
        <v>2.0940264037</v>
      </c>
      <c r="AI48" s="33">
        <v>2.6110501572000002</v>
      </c>
      <c r="AJ48" s="33">
        <v>2.4264150838999998</v>
      </c>
      <c r="AK48" s="33">
        <v>1.4838287557000001</v>
      </c>
      <c r="AL48" s="33">
        <v>1.8004805179000001</v>
      </c>
      <c r="AM48" s="33">
        <v>0.98216936525999998</v>
      </c>
      <c r="AN48" s="33">
        <v>0.57352327700000005</v>
      </c>
      <c r="AO48" s="33">
        <v>1.2825982717</v>
      </c>
      <c r="AP48" s="33">
        <v>1.3390835887000001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85546875" customWidth="1"/>
    <col min="17" max="25" width="9.140625" customWidth="1"/>
    <col min="26" max="29" width="11.28515625" customWidth="1"/>
    <col min="30" max="30" width="14.42578125" customWidth="1"/>
    <col min="31" max="31" width="10" customWidth="1"/>
    <col min="32" max="39" width="15.42578125" customWidth="1"/>
    <col min="40" max="42" width="16.42578125" customWidth="1"/>
    <col min="43" max="43" width="13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4.7100000000000003E-2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NVG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39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13" t="s">
        <v>12</v>
      </c>
      <c r="N6" s="13"/>
      <c r="O6" s="14"/>
    </row>
    <row r="7" spans="1:24" ht="15" customHeight="1" x14ac:dyDescent="0.25">
      <c r="A7" s="8" t="s">
        <v>13</v>
      </c>
      <c r="B7" s="66"/>
      <c r="C7" s="66"/>
      <c r="D7" s="66"/>
      <c r="E7" s="66"/>
      <c r="F7" s="66"/>
      <c r="G7" s="66"/>
      <c r="H7" s="66"/>
      <c r="I7" s="66"/>
      <c r="J7" s="66"/>
      <c r="K7" s="66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96226358.616355598</v>
      </c>
      <c r="W7" s="17">
        <f>((D12+E12+V7+U7+T7+S7+R7+Q7+P7+SUM($P$8:V8))*W5)</f>
        <v>56274984.171414025</v>
      </c>
      <c r="X7" s="17">
        <f>((D13+E13+W7+V7+U7+T7+S7+R7+Q7+P7+SUM($P$8:W8))*X5)</f>
        <v>36470584.512392327</v>
      </c>
    </row>
    <row r="8" spans="1:24" ht="15" customHeight="1" x14ac:dyDescent="0.25">
      <c r="A8" s="8" t="s">
        <v>15</v>
      </c>
      <c r="B8" s="66"/>
      <c r="C8" s="66"/>
      <c r="D8" s="66"/>
      <c r="E8" s="66"/>
      <c r="F8" s="66"/>
      <c r="G8" s="66"/>
      <c r="H8" s="66"/>
      <c r="I8" s="66"/>
      <c r="J8" s="66"/>
      <c r="K8" s="66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7754556.4872999992</v>
      </c>
      <c r="V8" s="17">
        <f>((D12+E12)-(D11+E11))*(V5^1/2)</f>
        <v>-734166.59985000012</v>
      </c>
      <c r="W8" s="17">
        <f>((D13+E13)-(D12+E12))*(W5^1/2)</f>
        <v>3060728.11785</v>
      </c>
      <c r="X8" s="17">
        <f>((D14+E14)-(D13+E13))*(X5^1/2)</f>
        <v>3505738.4692000039</v>
      </c>
    </row>
    <row r="9" spans="1:24" ht="15" customHeight="1" x14ac:dyDescent="0.25">
      <c r="A9" s="8" t="s">
        <v>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82417150.280155599</v>
      </c>
      <c r="W9" s="17">
        <f>+(B12+V9+U9+T9+S9+R9+Q9+P9+P10+Q10+R10+S10+T10+U10+V10+P14+Q14+R14+S14+T14+U14+V14)*W5</f>
        <v>58713511.492928326</v>
      </c>
      <c r="X9" s="17">
        <f>+(B13+W9+V9+U9+T9+S9+R9+Q9+P9+P10+Q10+R10+S10+T10+U10+V10+W10+P14+Q14+R14+S14+T14+U14+V14+W14)*X5</f>
        <v>35630436.657569036</v>
      </c>
    </row>
    <row r="10" spans="1:24" ht="15" customHeight="1" x14ac:dyDescent="0.25">
      <c r="A10" s="8" t="s">
        <v>19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6634652.6184</v>
      </c>
      <c r="V10" s="19">
        <f>((B12-B11)*(V5^1/2))</f>
        <v>8400899.1199500002</v>
      </c>
      <c r="W10" s="19"/>
      <c r="X10" s="19"/>
    </row>
    <row r="11" spans="1:24" ht="15" customHeight="1" x14ac:dyDescent="0.25">
      <c r="A11" s="8" t="s">
        <v>21</v>
      </c>
      <c r="B11" s="66">
        <v>1044827184</v>
      </c>
      <c r="C11" s="66">
        <v>171411455</v>
      </c>
      <c r="D11" s="66">
        <v>1195778619</v>
      </c>
      <c r="E11" s="66">
        <v>25411379</v>
      </c>
      <c r="F11" s="66"/>
      <c r="G11" s="66"/>
      <c r="H11" s="66"/>
      <c r="I11" s="66"/>
      <c r="J11" s="66"/>
      <c r="K11" s="66">
        <v>1757880270.1472199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6">
        <v>1259409537</v>
      </c>
      <c r="C12" s="66">
        <v>392537070</v>
      </c>
      <c r="D12" s="66">
        <v>1157181212</v>
      </c>
      <c r="E12" s="66">
        <v>45256127</v>
      </c>
      <c r="F12" s="66"/>
      <c r="G12" s="66"/>
      <c r="H12" s="66"/>
      <c r="I12" s="66"/>
      <c r="J12" s="66"/>
      <c r="K12" s="66">
        <v>1985409433.25336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-365239.61055182997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-4891520.1160354521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-7897056.6818609145</v>
      </c>
    </row>
    <row r="13" spans="1:24" ht="15" customHeight="1" x14ac:dyDescent="0.25">
      <c r="A13" s="8" t="s">
        <v>25</v>
      </c>
      <c r="B13" s="66">
        <v>1315245815</v>
      </c>
      <c r="C13" s="66">
        <v>274923820</v>
      </c>
      <c r="D13" s="66">
        <v>1298175645</v>
      </c>
      <c r="E13" s="66">
        <v>46290841</v>
      </c>
      <c r="F13" s="66"/>
      <c r="G13" s="66"/>
      <c r="H13" s="66"/>
      <c r="I13" s="66"/>
      <c r="J13" s="66"/>
      <c r="K13" s="66">
        <v>2249719935.2188101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-28598.261506208291</v>
      </c>
      <c r="W13" s="20">
        <f t="shared" si="0"/>
        <v>-210824.51700112797</v>
      </c>
      <c r="X13" s="20">
        <f t="shared" si="0"/>
        <v>-191108.77170103433</v>
      </c>
    </row>
    <row r="14" spans="1:24" ht="15" customHeight="1" x14ac:dyDescent="0.25">
      <c r="A14" s="8" t="s">
        <v>27</v>
      </c>
      <c r="B14" s="66">
        <v>1355728837</v>
      </c>
      <c r="C14" s="66">
        <v>286948195</v>
      </c>
      <c r="D14" s="66">
        <v>1514589024</v>
      </c>
      <c r="E14" s="66">
        <v>119607914</v>
      </c>
      <c r="F14" s="66"/>
      <c r="G14" s="66"/>
      <c r="H14" s="66"/>
      <c r="I14" s="66"/>
      <c r="J14" s="66"/>
      <c r="K14" s="66">
        <v>2354438660.1561599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1119903.8688999992</v>
      </c>
      <c r="V14" s="36">
        <f t="shared" si="1"/>
        <v>4280304.7443419648</v>
      </c>
      <c r="W14" s="36">
        <f t="shared" si="1"/>
        <v>-4480143.8367008828</v>
      </c>
      <c r="X14" s="36">
        <f t="shared" si="1"/>
        <v>-3742279.1295386571</v>
      </c>
    </row>
    <row r="15" spans="1:24" ht="15" customHeight="1" x14ac:dyDescent="0.25">
      <c r="A15" s="8"/>
      <c r="B15" s="47"/>
      <c r="C15" s="47"/>
      <c r="D15" s="47"/>
      <c r="E15" s="47"/>
      <c r="F15" s="47"/>
      <c r="G15" s="47"/>
      <c r="H15" s="47"/>
      <c r="I15" s="47"/>
      <c r="J15" s="47"/>
      <c r="K15" s="47"/>
      <c r="Q15" s="69"/>
      <c r="R15" s="69"/>
      <c r="S15" s="69"/>
      <c r="T15" s="69"/>
    </row>
    <row r="16" spans="1:24" ht="15" customHeight="1" x14ac:dyDescent="0.25">
      <c r="A16" s="8"/>
      <c r="B16" s="47"/>
      <c r="C16" s="47"/>
      <c r="D16" s="47"/>
      <c r="E16" s="47"/>
      <c r="F16" s="47"/>
      <c r="G16" s="47"/>
      <c r="H16" s="47"/>
      <c r="I16" s="47"/>
      <c r="J16" s="47"/>
      <c r="K16" s="47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37" t="s">
        <v>52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171411455</v>
      </c>
      <c r="V17" s="38"/>
      <c r="W17" s="38"/>
      <c r="X17" s="38"/>
    </row>
    <row r="18" spans="1:24" ht="15" customHeight="1" x14ac:dyDescent="0.25">
      <c r="A18" s="8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39" t="str">
        <f>+L17</f>
        <v>NVG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V18" si="2">U14+U17</f>
        <v>172531358.8689</v>
      </c>
      <c r="V18" s="40">
        <f t="shared" si="2"/>
        <v>4280304.7443419648</v>
      </c>
      <c r="W18" s="40"/>
      <c r="X18" s="40">
        <f>X14+X17</f>
        <v>-3742279.1295386571</v>
      </c>
    </row>
    <row r="19" spans="1:24" ht="15" customHeight="1" x14ac:dyDescent="0.25">
      <c r="A19" s="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0" t="str">
        <f>+L18</f>
        <v>NVG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/>
      <c r="V19" s="41"/>
      <c r="W19" s="41"/>
      <c r="X19" s="41"/>
    </row>
    <row r="20" spans="1:24" ht="15" customHeight="1" x14ac:dyDescent="0.25">
      <c r="A20" s="8"/>
      <c r="B20" s="47"/>
      <c r="C20" s="47"/>
      <c r="D20" s="47"/>
      <c r="E20" s="47"/>
      <c r="F20" s="47"/>
      <c r="G20" s="47"/>
      <c r="H20" s="47"/>
      <c r="I20" s="47"/>
      <c r="J20" s="47"/>
      <c r="K20" s="47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47"/>
      <c r="C21" s="47"/>
      <c r="D21" s="47"/>
      <c r="E21" s="47"/>
      <c r="F21" s="47"/>
      <c r="G21" s="47"/>
      <c r="H21" s="47"/>
      <c r="I21" s="47"/>
      <c r="J21" s="47"/>
      <c r="K21" s="47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3" t="str">
        <f>+L19</f>
        <v>NVG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1044827184</v>
      </c>
      <c r="V22" s="28">
        <f>+B12</f>
        <v>1259409537</v>
      </c>
      <c r="W22" s="28">
        <f>+B13</f>
        <v>1315245815</v>
      </c>
      <c r="X22" s="28">
        <f>+B14</f>
        <v>1355728837</v>
      </c>
    </row>
    <row r="23" spans="1:24" ht="15" customHeight="1" x14ac:dyDescent="0.25">
      <c r="A23" s="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3" t="str">
        <f>+L22</f>
        <v>NVG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1052581740.4872999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1362869629.4047031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1477398405.0435731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1553693677.250658</v>
      </c>
    </row>
    <row r="24" spans="1:24" ht="15" customHeight="1" x14ac:dyDescent="0.25">
      <c r="A24" s="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3" t="str">
        <f>+L23</f>
        <v>NVG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1757880270.1472199</v>
      </c>
      <c r="V24" s="28">
        <f>+K12</f>
        <v>1985409433.25336</v>
      </c>
      <c r="W24" s="28">
        <f>+K13</f>
        <v>2249719935.2188101</v>
      </c>
      <c r="X24" s="28">
        <f>+K14</f>
        <v>2354438660.1561599</v>
      </c>
    </row>
    <row r="25" spans="1:24" ht="15" customHeight="1" x14ac:dyDescent="0.25">
      <c r="A25" s="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35" t="str">
        <f>+L24</f>
        <v>NVG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/>
      <c r="V25" s="26"/>
      <c r="W25" s="26"/>
      <c r="X25" s="26"/>
    </row>
    <row r="26" spans="1:24" ht="15" customHeight="1" x14ac:dyDescent="0.25">
      <c r="A26" s="8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4" ht="15" customHeight="1" x14ac:dyDescent="0.25">
      <c r="A27" s="8"/>
      <c r="B27" s="47"/>
      <c r="C27" s="47"/>
      <c r="D27" s="47"/>
      <c r="E27" s="47"/>
      <c r="F27" s="47"/>
      <c r="G27" s="47"/>
      <c r="H27" s="47"/>
      <c r="I27" s="47"/>
      <c r="J27" s="47"/>
      <c r="K27" s="47"/>
      <c r="S27" s="62"/>
    </row>
    <row r="28" spans="1:24" ht="15" customHeight="1" x14ac:dyDescent="0.25">
      <c r="A28" s="8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24" ht="15" customHeight="1" x14ac:dyDescent="0.25">
      <c r="A29" s="8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4" ht="15" customHeight="1" x14ac:dyDescent="0.25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4" ht="15" customHeight="1" x14ac:dyDescent="0.25">
      <c r="A31" s="8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24" ht="15" customHeight="1" x14ac:dyDescent="0.25">
      <c r="A32" s="8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42" ht="15" customHeight="1" x14ac:dyDescent="0.25">
      <c r="A33" s="8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42" ht="15" customHeight="1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42" ht="15" customHeight="1" x14ac:dyDescent="0.25"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46" spans="1:42" ht="15" customHeight="1" x14ac:dyDescent="0.25">
      <c r="M46" s="42" t="s">
        <v>36</v>
      </c>
      <c r="N46" s="15"/>
      <c r="O46" s="15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>
        <v>0</v>
      </c>
      <c r="AL48" s="33">
        <v>5.7695980254999997</v>
      </c>
      <c r="AM48" s="33">
        <v>1.8490317746</v>
      </c>
      <c r="AN48" s="33">
        <v>1.2870940277</v>
      </c>
      <c r="AO48" s="33">
        <v>1.8731027713999999</v>
      </c>
      <c r="AP48" s="33">
        <v>2.7427761779000002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3.85546875" customWidth="1"/>
    <col min="17" max="23" width="9.140625" customWidth="1"/>
    <col min="24" max="24" width="10.140625" customWidth="1"/>
    <col min="25" max="25" width="12.7109375" customWidth="1"/>
    <col min="26" max="30" width="14.42578125" customWidth="1"/>
    <col min="31" max="31" width="10" customWidth="1"/>
    <col min="32" max="35" width="14.42578125" customWidth="1"/>
    <col min="36" max="42" width="15.425781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3.0200000000000001E-2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RENE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13" t="s">
        <v>12</v>
      </c>
      <c r="N6" s="13"/>
      <c r="O6" s="14"/>
    </row>
    <row r="7" spans="1:24" ht="15" customHeight="1" x14ac:dyDescent="0.25">
      <c r="A7" s="8" t="s">
        <v>13</v>
      </c>
      <c r="B7" s="66"/>
      <c r="C7" s="66"/>
      <c r="D7" s="66"/>
      <c r="E7" s="66"/>
      <c r="F7" s="66"/>
      <c r="G7" s="66"/>
      <c r="H7" s="66"/>
      <c r="I7" s="66"/>
      <c r="J7" s="66"/>
      <c r="K7" s="66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334306519.07989502</v>
      </c>
      <c r="W7" s="17">
        <f>((D12+E12+V7+U7+T7+S7+R7+Q7+P7+SUM($P$8:V8))*W5)</f>
        <v>196754808.29263845</v>
      </c>
      <c r="X7" s="17">
        <f>((D13+E13+W7+V7+U7+T7+S7+R7+Q7+P7+SUM($P$8:W8))*X5)</f>
        <v>116137126.29848546</v>
      </c>
    </row>
    <row r="8" spans="1:24" ht="15" customHeight="1" x14ac:dyDescent="0.25">
      <c r="A8" s="8" t="s">
        <v>15</v>
      </c>
      <c r="B8" s="66"/>
      <c r="C8" s="66"/>
      <c r="D8" s="66"/>
      <c r="E8" s="66"/>
      <c r="F8" s="66"/>
      <c r="G8" s="66"/>
      <c r="H8" s="66"/>
      <c r="I8" s="66"/>
      <c r="J8" s="66"/>
      <c r="K8" s="66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26940630.649999999</v>
      </c>
      <c r="V8" s="17">
        <f>((D12+E12)-(D11+E11))*(V5^1/2)</f>
        <v>-1461391.2000000002</v>
      </c>
      <c r="W8" s="17">
        <f>((D13+E13)-(D12+E12))*(W5^1/2)</f>
        <v>785238.9</v>
      </c>
      <c r="X8" s="17">
        <f>((D14+E14)-(D13+E13))*(X5^1/2)</f>
        <v>1240116.9000000013</v>
      </c>
    </row>
    <row r="9" spans="1:24" ht="15" customHeight="1" x14ac:dyDescent="0.25">
      <c r="A9" s="8" t="s">
        <v>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112499140.37989502</v>
      </c>
      <c r="W9" s="17">
        <f>+(B12+V9+U9+T9+S9+R9+Q9+P9+P10+Q10+R10+S10+T10+U10+V10+P14+Q14+R14+S14+T14+U14+V14)*W5</f>
        <v>80874669.424866721</v>
      </c>
      <c r="X9" s="17">
        <f>+(B13+W9+V9+U9+T9+S9+R9+Q9+P9+P10+Q10+R10+S10+T10+U10+V10+W10+P14+Q14+R14+S14+T14+U14+V14+W14)*X5</f>
        <v>49783373.830280595</v>
      </c>
    </row>
    <row r="10" spans="1:24" ht="15" customHeight="1" x14ac:dyDescent="0.25">
      <c r="A10" s="8" t="s">
        <v>19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8952420.5</v>
      </c>
      <c r="V10" s="19">
        <f>((B12-B11)*(V5^1/2))</f>
        <v>4216611.6000000006</v>
      </c>
      <c r="W10" s="19"/>
      <c r="X10" s="19"/>
    </row>
    <row r="11" spans="1:24" ht="15" customHeight="1" x14ac:dyDescent="0.25">
      <c r="A11" s="8" t="s">
        <v>21</v>
      </c>
      <c r="B11" s="66">
        <v>1409830000</v>
      </c>
      <c r="C11" s="66">
        <v>97153000</v>
      </c>
      <c r="D11" s="66">
        <v>119551000</v>
      </c>
      <c r="E11" s="66">
        <v>4123068000</v>
      </c>
      <c r="F11" s="66"/>
      <c r="G11" s="66"/>
      <c r="H11" s="66"/>
      <c r="I11" s="66"/>
      <c r="J11" s="66"/>
      <c r="K11" s="66">
        <v>1328578188.7330599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6">
        <v>1517534000</v>
      </c>
      <c r="C12" s="66">
        <v>111771000</v>
      </c>
      <c r="D12" s="66">
        <v>127819000</v>
      </c>
      <c r="E12" s="66">
        <v>4077472000</v>
      </c>
      <c r="F12" s="66"/>
      <c r="G12" s="66"/>
      <c r="H12" s="66"/>
      <c r="I12" s="66"/>
      <c r="J12" s="66"/>
      <c r="K12" s="66">
        <v>1423210359.0631599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-813607.04562999995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-10929235.33927566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-17365994.807616122</v>
      </c>
    </row>
    <row r="13" spans="1:24" ht="15" customHeight="1" x14ac:dyDescent="0.25">
      <c r="A13" s="8" t="s">
        <v>25</v>
      </c>
      <c r="B13" s="66">
        <v>1512116000</v>
      </c>
      <c r="C13" s="66">
        <v>149236000</v>
      </c>
      <c r="D13" s="66">
        <v>121112000</v>
      </c>
      <c r="E13" s="66">
        <v>4120617000</v>
      </c>
      <c r="F13" s="66"/>
      <c r="G13" s="66"/>
      <c r="H13" s="66"/>
      <c r="I13" s="66"/>
      <c r="J13" s="66"/>
      <c r="K13" s="66">
        <v>1406551357.19366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-63705.431672829</v>
      </c>
      <c r="W13" s="20">
        <f t="shared" si="0"/>
        <v>-471050.04312278092</v>
      </c>
      <c r="X13" s="20">
        <f t="shared" si="0"/>
        <v>-420257.07434431062</v>
      </c>
    </row>
    <row r="14" spans="1:24" ht="15" customHeight="1" x14ac:dyDescent="0.25">
      <c r="A14" s="8" t="s">
        <v>27</v>
      </c>
      <c r="B14" s="66">
        <v>1551891000</v>
      </c>
      <c r="C14" s="66">
        <v>152512000</v>
      </c>
      <c r="D14" s="66">
        <v>123586000</v>
      </c>
      <c r="E14" s="66">
        <v>4220632000</v>
      </c>
      <c r="F14" s="66"/>
      <c r="G14" s="66"/>
      <c r="H14" s="66"/>
      <c r="I14" s="66"/>
      <c r="J14" s="66"/>
      <c r="K14" s="66">
        <v>1453112180.96382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17988210.149999999</v>
      </c>
      <c r="V14" s="36">
        <f t="shared" si="1"/>
        <v>215252063.42269719</v>
      </c>
      <c r="W14" s="36">
        <f t="shared" si="1"/>
        <v>105265092.38537329</v>
      </c>
      <c r="X14" s="36">
        <f t="shared" si="1"/>
        <v>49807617.486244433</v>
      </c>
    </row>
    <row r="15" spans="1:24" ht="15" customHeight="1" x14ac:dyDescent="0.25">
      <c r="A15" s="8"/>
      <c r="B15" s="47"/>
      <c r="C15" s="47"/>
      <c r="D15" s="47"/>
      <c r="E15" s="47"/>
      <c r="F15" s="47"/>
      <c r="G15" s="47"/>
      <c r="H15" s="47"/>
      <c r="I15" s="47"/>
      <c r="J15" s="47"/>
      <c r="K15" s="47"/>
      <c r="Q15" s="69"/>
      <c r="R15" s="69"/>
      <c r="S15" s="69"/>
      <c r="T15" s="69"/>
    </row>
    <row r="16" spans="1:24" ht="15" customHeight="1" x14ac:dyDescent="0.25">
      <c r="A16" s="8"/>
      <c r="B16" s="47"/>
      <c r="C16" s="47"/>
      <c r="D16" s="47"/>
      <c r="E16" s="47"/>
      <c r="F16" s="47"/>
      <c r="G16" s="47"/>
      <c r="H16" s="47"/>
      <c r="I16" s="47"/>
      <c r="J16" s="47"/>
      <c r="K16" s="47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37" t="s">
        <v>53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97153000</v>
      </c>
      <c r="V17" s="38"/>
      <c r="W17" s="38"/>
      <c r="X17" s="38"/>
    </row>
    <row r="18" spans="1:24" ht="15" customHeight="1" x14ac:dyDescent="0.25">
      <c r="A18" s="8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39" t="str">
        <f>+L17</f>
        <v>RENE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V18" si="2">U14+U17</f>
        <v>115141210.15000001</v>
      </c>
      <c r="V18" s="40">
        <f t="shared" si="2"/>
        <v>215252063.42269719</v>
      </c>
      <c r="W18" s="40"/>
      <c r="X18" s="40">
        <f>X14+X17</f>
        <v>49807617.486244433</v>
      </c>
    </row>
    <row r="19" spans="1:24" ht="15" customHeight="1" x14ac:dyDescent="0.25">
      <c r="A19" s="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0" t="str">
        <f>+L18</f>
        <v>RENE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/>
      <c r="V19" s="41"/>
      <c r="W19" s="41"/>
      <c r="X19" s="41"/>
    </row>
    <row r="20" spans="1:24" ht="15" customHeight="1" x14ac:dyDescent="0.25">
      <c r="A20" s="8"/>
      <c r="B20" s="47"/>
      <c r="C20" s="47"/>
      <c r="D20" s="47"/>
      <c r="E20" s="47"/>
      <c r="F20" s="47"/>
      <c r="G20" s="47"/>
      <c r="H20" s="47"/>
      <c r="I20" s="47"/>
      <c r="J20" s="47"/>
      <c r="K20" s="47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47"/>
      <c r="C21" s="47"/>
      <c r="D21" s="47"/>
      <c r="E21" s="47"/>
      <c r="F21" s="47"/>
      <c r="G21" s="47"/>
      <c r="H21" s="47"/>
      <c r="I21" s="47"/>
      <c r="J21" s="47"/>
      <c r="K21" s="47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3" t="str">
        <f>+L19</f>
        <v>RENE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1409830000</v>
      </c>
      <c r="V22" s="28">
        <f>+B12</f>
        <v>1517534000</v>
      </c>
      <c r="W22" s="28">
        <f>+B13</f>
        <v>1512116000</v>
      </c>
      <c r="X22" s="28">
        <f>+B14</f>
        <v>1551891000</v>
      </c>
    </row>
    <row r="23" spans="1:24" ht="15" customHeight="1" x14ac:dyDescent="0.25">
      <c r="A23" s="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3" t="str">
        <f>+L22</f>
        <v>RENE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1436770630.6500001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1878551897.4324872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2074833530.6220675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2227817286.1796465</v>
      </c>
    </row>
    <row r="24" spans="1:24" ht="15" customHeight="1" x14ac:dyDescent="0.25">
      <c r="A24" s="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3" t="str">
        <f>+L23</f>
        <v>RENE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1328578188.7330599</v>
      </c>
      <c r="V24" s="28">
        <f>+K12</f>
        <v>1423210359.0631599</v>
      </c>
      <c r="W24" s="28">
        <f>+K13</f>
        <v>1406551357.19366</v>
      </c>
      <c r="X24" s="28">
        <f>+K14</f>
        <v>1453112180.96382</v>
      </c>
    </row>
    <row r="25" spans="1:24" ht="15" customHeight="1" x14ac:dyDescent="0.25">
      <c r="A25" s="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35" t="str">
        <f>+L24</f>
        <v>RENE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/>
      <c r="V25" s="26"/>
      <c r="W25" s="26">
        <f>W24/W23</f>
        <v>0.67791046194050752</v>
      </c>
      <c r="X25" s="26">
        <f>X24/X23</f>
        <v>0.65225823947873074</v>
      </c>
    </row>
    <row r="26" spans="1:24" ht="15" customHeight="1" x14ac:dyDescent="0.25">
      <c r="A26" s="8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4" ht="15" customHeight="1" x14ac:dyDescent="0.25">
      <c r="A27" s="8"/>
      <c r="B27" s="47"/>
      <c r="C27" s="47"/>
      <c r="D27" s="47"/>
      <c r="E27" s="47"/>
      <c r="F27" s="47"/>
      <c r="G27" s="47"/>
      <c r="H27" s="47"/>
      <c r="I27" s="47"/>
      <c r="J27" s="47"/>
      <c r="K27" s="47"/>
      <c r="S27" s="62"/>
    </row>
    <row r="28" spans="1:24" ht="15" customHeight="1" x14ac:dyDescent="0.25">
      <c r="A28" s="8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24" ht="15" customHeight="1" x14ac:dyDescent="0.25">
      <c r="A29" s="8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4" ht="15" customHeight="1" x14ac:dyDescent="0.25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4" ht="15" customHeight="1" x14ac:dyDescent="0.25">
      <c r="A31" s="8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24" ht="15" customHeight="1" x14ac:dyDescent="0.25">
      <c r="A32" s="8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42" ht="15" customHeight="1" x14ac:dyDescent="0.25">
      <c r="A33" s="8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42" ht="15" customHeight="1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42" ht="15" customHeight="1" x14ac:dyDescent="0.25"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46" spans="1:42" ht="15" customHeight="1" x14ac:dyDescent="0.25">
      <c r="M46" s="42" t="s">
        <v>36</v>
      </c>
      <c r="N46" s="15"/>
      <c r="O46" s="15"/>
      <c r="P46" s="31"/>
      <c r="Q46" s="31"/>
      <c r="R46" s="31"/>
      <c r="S46" s="31"/>
      <c r="T46" s="31"/>
      <c r="U46" s="31"/>
      <c r="V46" s="31"/>
      <c r="W46" s="31"/>
      <c r="X46" s="31"/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/>
      <c r="Q47" s="32"/>
      <c r="R47" s="32"/>
      <c r="S47" s="32"/>
      <c r="T47" s="32"/>
      <c r="U47" s="32"/>
      <c r="V47" s="32"/>
      <c r="W47" s="32"/>
      <c r="X47" s="32"/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33">
        <v>14.613431491</v>
      </c>
      <c r="AD48" s="33">
        <v>3.5087719298</v>
      </c>
      <c r="AE48" s="33">
        <v>14.206787687</v>
      </c>
      <c r="AF48" s="33">
        <v>2.4559530165000001</v>
      </c>
      <c r="AG48" s="33">
        <v>0.73434125269999995</v>
      </c>
      <c r="AH48" s="33">
        <v>1.4079422383</v>
      </c>
      <c r="AI48" s="33">
        <v>2.4240654205999999</v>
      </c>
      <c r="AJ48" s="33">
        <v>1.7095588235000001</v>
      </c>
      <c r="AK48" s="33">
        <v>0.88347296267999997</v>
      </c>
      <c r="AL48" s="33">
        <v>1.6242415504000001</v>
      </c>
      <c r="AM48" s="33">
        <v>0.83369899078999998</v>
      </c>
      <c r="AN48" s="33">
        <v>1.3815556995</v>
      </c>
      <c r="AO48" s="33">
        <v>3.1844316674000002</v>
      </c>
      <c r="AP48" s="33">
        <v>2.3686158400999999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30" width="14.28515625" customWidth="1"/>
    <col min="31" max="31" width="11" customWidth="1"/>
    <col min="32" max="42" width="15.28515625" customWidth="1"/>
    <col min="43" max="43" width="14.5703125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3.5799999999999998E-2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SEM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5"/>
      <c r="C5" s="65"/>
      <c r="D5" s="65"/>
      <c r="E5" s="65"/>
      <c r="F5" s="65"/>
      <c r="G5" s="65"/>
      <c r="H5" s="65"/>
      <c r="I5" s="65"/>
      <c r="J5" s="65"/>
      <c r="K5" s="65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5"/>
      <c r="C6" s="65"/>
      <c r="D6" s="65"/>
      <c r="E6" s="65"/>
      <c r="F6" s="65"/>
      <c r="G6" s="65"/>
      <c r="H6" s="65"/>
      <c r="I6" s="65"/>
      <c r="J6" s="65"/>
      <c r="K6" s="65"/>
      <c r="M6" s="13" t="s">
        <v>12</v>
      </c>
      <c r="N6" s="13"/>
      <c r="O6" s="14"/>
    </row>
    <row r="7" spans="1:24" ht="15" customHeight="1" x14ac:dyDescent="0.25">
      <c r="A7" s="8" t="s">
        <v>13</v>
      </c>
      <c r="B7" s="65"/>
      <c r="C7" s="65"/>
      <c r="D7" s="65"/>
      <c r="E7" s="65"/>
      <c r="F7" s="65"/>
      <c r="G7" s="65"/>
      <c r="H7" s="65"/>
      <c r="I7" s="65"/>
      <c r="J7" s="65"/>
      <c r="K7" s="65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171399351.96804678</v>
      </c>
      <c r="W7" s="17">
        <f>((D12+E12+V7+U7+T7+S7+R7+Q7+P7+SUM($P$8:V8))*W5)</f>
        <v>104688938.36096945</v>
      </c>
      <c r="X7" s="17">
        <f>((D13+E13+W7+V7+U7+T7+S7+R7+Q7+P7+SUM($P$8:W8))*X5)</f>
        <v>68199776.628978521</v>
      </c>
    </row>
    <row r="8" spans="1:24" ht="15" customHeight="1" x14ac:dyDescent="0.25">
      <c r="A8" s="8" t="s">
        <v>15</v>
      </c>
      <c r="B8" s="65"/>
      <c r="C8" s="65"/>
      <c r="D8" s="65"/>
      <c r="E8" s="65"/>
      <c r="F8" s="65"/>
      <c r="G8" s="65"/>
      <c r="H8" s="65"/>
      <c r="I8" s="65"/>
      <c r="J8" s="65"/>
      <c r="K8" s="65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13812493.539549999</v>
      </c>
      <c r="V8" s="17">
        <f>((D12+E12)-(D11+E11))*(V5^1/2)</f>
        <v>2583376.6819500001</v>
      </c>
      <c r="W8" s="17">
        <f>((D13+E13)-(D12+E12))*(W5^1/2)</f>
        <v>6001765.4238</v>
      </c>
      <c r="X8" s="17">
        <f>((D14+E14)-(D13+E13))*(X5^1/2)</f>
        <v>3035399.9984000032</v>
      </c>
    </row>
    <row r="9" spans="1:24" ht="15" customHeight="1" x14ac:dyDescent="0.25">
      <c r="A9" s="8" t="s">
        <v>17</v>
      </c>
      <c r="B9" s="65"/>
      <c r="C9" s="65"/>
      <c r="D9" s="65"/>
      <c r="E9" s="65"/>
      <c r="F9" s="65"/>
      <c r="G9" s="65"/>
      <c r="H9" s="65"/>
      <c r="I9" s="65"/>
      <c r="J9" s="65"/>
      <c r="K9" s="65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86609670.227046773</v>
      </c>
      <c r="W9" s="17">
        <f>+(B12+V9+U9+T9+S9+R9+Q9+P9+P10+Q10+R10+S10+T10+U10+V10+P14+Q14+R14+S14+T14+U14+V14)*W5</f>
        <v>65108677.163567461</v>
      </c>
      <c r="X9" s="17">
        <f>+(B13+W9+V9+U9+T9+S9+R9+Q9+P9+P10+Q10+R10+S10+T10+U10+V10+W10+P14+Q14+R14+S14+T14+U14+V14+W14)*X5</f>
        <v>42648270.033889949</v>
      </c>
    </row>
    <row r="10" spans="1:24" ht="15" customHeight="1" x14ac:dyDescent="0.25">
      <c r="A10" s="8" t="s">
        <v>19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6936191.1250499999</v>
      </c>
      <c r="V10" s="19">
        <f>((B12-B11)*(V5^1/2))</f>
        <v>9046256.6853000019</v>
      </c>
      <c r="W10" s="19">
        <f>((B13-B12)*(W5/2))</f>
        <v>3190381.88265</v>
      </c>
      <c r="X10" s="19">
        <f>((B14-B13)*(X5/2))</f>
        <v>2036138.9466000022</v>
      </c>
    </row>
    <row r="11" spans="1:24" ht="15" customHeight="1" x14ac:dyDescent="0.25">
      <c r="A11" s="8" t="s">
        <v>21</v>
      </c>
      <c r="B11" s="65">
        <v>1092313563</v>
      </c>
      <c r="C11" s="65">
        <v>198128028</v>
      </c>
      <c r="D11" s="65">
        <v>1830127622</v>
      </c>
      <c r="E11" s="65">
        <v>345068211</v>
      </c>
      <c r="F11" s="65"/>
      <c r="G11" s="65"/>
      <c r="H11" s="65"/>
      <c r="I11" s="65"/>
      <c r="J11" s="65"/>
      <c r="K11" s="65">
        <v>708450709.18712604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5">
        <v>1323380145</v>
      </c>
      <c r="C12" s="65">
        <v>307089834</v>
      </c>
      <c r="D12" s="65">
        <v>1786118385</v>
      </c>
      <c r="E12" s="65">
        <v>455064081</v>
      </c>
      <c r="F12" s="65"/>
      <c r="G12" s="65"/>
      <c r="H12" s="65"/>
      <c r="I12" s="65"/>
      <c r="J12" s="65"/>
      <c r="K12" s="65">
        <v>851095268.78337896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-494487.26871588995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-6761787.3075262289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-11015947.535975356</v>
      </c>
    </row>
    <row r="13" spans="1:24" ht="15" customHeight="1" x14ac:dyDescent="0.25">
      <c r="A13" s="8" t="s">
        <v>25</v>
      </c>
      <c r="B13" s="65">
        <v>1471425708</v>
      </c>
      <c r="C13" s="65">
        <v>244507409</v>
      </c>
      <c r="D13" s="65">
        <v>1963185028</v>
      </c>
      <c r="E13" s="65">
        <v>556501634</v>
      </c>
      <c r="F13" s="65"/>
      <c r="G13" s="65"/>
      <c r="H13" s="65"/>
      <c r="I13" s="65"/>
      <c r="J13" s="65"/>
      <c r="K13" s="65">
        <v>991150473.71616399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-38718.353140454186</v>
      </c>
      <c r="W13" s="20">
        <f t="shared" si="0"/>
        <v>-291433.03295438044</v>
      </c>
      <c r="X13" s="20">
        <f t="shared" si="0"/>
        <v>-266585.93037060392</v>
      </c>
    </row>
    <row r="14" spans="1:24" ht="15" customHeight="1" x14ac:dyDescent="0.25">
      <c r="A14" s="8" t="s">
        <v>27</v>
      </c>
      <c r="B14" s="65">
        <v>1639701654</v>
      </c>
      <c r="C14" s="65">
        <v>232735949</v>
      </c>
      <c r="D14" s="65">
        <v>2170577183</v>
      </c>
      <c r="E14" s="65">
        <v>599968983</v>
      </c>
      <c r="F14" s="65"/>
      <c r="G14" s="65"/>
      <c r="H14" s="65"/>
      <c r="I14" s="65"/>
      <c r="J14" s="65"/>
      <c r="K14" s="65">
        <v>1083022013.7607601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6876302.414499999</v>
      </c>
      <c r="V14" s="36">
        <f t="shared" si="1"/>
        <v>77793596.11579366</v>
      </c>
      <c r="W14" s="36">
        <f t="shared" si="1"/>
        <v>35338424.398071393</v>
      </c>
      <c r="X14" s="36">
        <f t="shared" si="1"/>
        <v>15268234.180542609</v>
      </c>
    </row>
    <row r="15" spans="1:24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Q15" s="69"/>
      <c r="R15" s="69"/>
      <c r="S15" s="69"/>
      <c r="T15" s="69"/>
    </row>
    <row r="16" spans="1:24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54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198128028</v>
      </c>
      <c r="V17" s="38">
        <f>C12</f>
        <v>307089834</v>
      </c>
      <c r="W17" s="38">
        <f>C13</f>
        <v>244507409</v>
      </c>
      <c r="X17" s="38">
        <f>C14</f>
        <v>232735949</v>
      </c>
    </row>
    <row r="18" spans="1:24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39" t="str">
        <f>+L17</f>
        <v>SEM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X18" si="2">U14+U17</f>
        <v>205004330.4145</v>
      </c>
      <c r="V18" s="40">
        <f t="shared" si="2"/>
        <v>384883430.11579365</v>
      </c>
      <c r="W18" s="40">
        <f t="shared" si="2"/>
        <v>279845833.39807141</v>
      </c>
      <c r="X18" s="40">
        <f t="shared" si="2"/>
        <v>248004183.18054262</v>
      </c>
    </row>
    <row r="19" spans="1:24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 t="str">
        <f>+L18</f>
        <v>SEM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>
        <f t="shared" ref="P19:X19" si="3">U18/U17</f>
        <v>1.034706358731335</v>
      </c>
      <c r="V19" s="41">
        <f t="shared" si="3"/>
        <v>1.2533252081402135</v>
      </c>
      <c r="W19" s="41">
        <f t="shared" si="3"/>
        <v>1.1445290535063966</v>
      </c>
      <c r="X19" s="41">
        <f t="shared" si="3"/>
        <v>1.0656032479990558</v>
      </c>
    </row>
    <row r="20" spans="1:24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43" t="str">
        <f>+L19</f>
        <v>SEM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1092313563</v>
      </c>
      <c r="V22" s="28">
        <f>+B12</f>
        <v>1323380145</v>
      </c>
      <c r="W22" s="28">
        <f>+B13</f>
        <v>1471425708</v>
      </c>
      <c r="X22" s="28">
        <f>+B14</f>
        <v>1639701654</v>
      </c>
    </row>
    <row r="23" spans="1:24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43" t="str">
        <f>+L22</f>
        <v>SEM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1106126056.5395501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1511723679.8118372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1771524332.6065161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2007015308.4830265</v>
      </c>
    </row>
    <row r="24" spans="1:24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43" t="str">
        <f>+L23</f>
        <v>SEM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708450709.18712604</v>
      </c>
      <c r="V24" s="28">
        <f>+K12</f>
        <v>851095268.78337896</v>
      </c>
      <c r="W24" s="28">
        <f>+K13</f>
        <v>991150473.71616399</v>
      </c>
      <c r="X24" s="28">
        <f>+K14</f>
        <v>1083022013.7607601</v>
      </c>
    </row>
    <row r="25" spans="1:24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35" t="str">
        <f>+L24</f>
        <v>SEM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>
        <f t="shared" ref="P25:X25" si="4">U24/U23</f>
        <v>0.64047917956428235</v>
      </c>
      <c r="V25" s="26">
        <f t="shared" si="4"/>
        <v>0.56299658472592951</v>
      </c>
      <c r="W25" s="26">
        <f t="shared" si="4"/>
        <v>0.55949018338226486</v>
      </c>
      <c r="X25" s="26">
        <f t="shared" si="4"/>
        <v>0.53961821276756805</v>
      </c>
    </row>
    <row r="26" spans="1:24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24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S27" s="62"/>
    </row>
    <row r="28" spans="1:24" ht="1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24" ht="15" customHeight="1" x14ac:dyDescent="0.25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24" ht="15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24" ht="1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24" ht="15" customHeight="1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42" ht="1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42" ht="15" customHeight="1" x14ac:dyDescent="0.25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42" ht="1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46" spans="1:42" ht="15" customHeight="1" x14ac:dyDescent="0.25">
      <c r="M46" s="42" t="s">
        <v>36</v>
      </c>
      <c r="N46" s="15"/>
      <c r="O46" s="15"/>
      <c r="P46" s="31" t="e">
        <f>-G6/P17</f>
        <v>#DIV/0!</v>
      </c>
      <c r="Q46" s="31" t="e">
        <f>-G7/Q17</f>
        <v>#DIV/0!</v>
      </c>
      <c r="R46" s="31" t="e">
        <f>-G8/R17</f>
        <v>#DIV/0!</v>
      </c>
      <c r="S46" s="31" t="e">
        <f>-G9/S17</f>
        <v>#DIV/0!</v>
      </c>
      <c r="T46" s="31" t="e">
        <f>-G10/T17</f>
        <v>#DIV/0!</v>
      </c>
      <c r="U46" s="31">
        <f>-G11/U17</f>
        <v>0</v>
      </c>
      <c r="V46" s="31">
        <f>-G12/V17</f>
        <v>0</v>
      </c>
      <c r="W46" s="31">
        <f>-G13/W17</f>
        <v>0</v>
      </c>
      <c r="X46" s="31">
        <f>-G14/X17</f>
        <v>0</v>
      </c>
      <c r="Y46" s="31" t="e">
        <f>-G15/Y17</f>
        <v>#DIV/0!</v>
      </c>
      <c r="Z46" s="31" t="e">
        <f>-G16/Z17</f>
        <v>#DIV/0!</v>
      </c>
      <c r="AA46" s="31" t="e">
        <f>-G17/AA17</f>
        <v>#DIV/0!</v>
      </c>
      <c r="AB46" s="31" t="e">
        <f>-G18/AB17</f>
        <v>#DIV/0!</v>
      </c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 t="e">
        <f>-G6/P18</f>
        <v>#DIV/0!</v>
      </c>
      <c r="Q47" s="32" t="e">
        <f>-G7/Q18</f>
        <v>#DIV/0!</v>
      </c>
      <c r="R47" s="32" t="e">
        <f>-G8/R18</f>
        <v>#DIV/0!</v>
      </c>
      <c r="S47" s="32" t="e">
        <f>-G9/S18</f>
        <v>#DIV/0!</v>
      </c>
      <c r="T47" s="32" t="e">
        <f>-G10/T18</f>
        <v>#DIV/0!</v>
      </c>
      <c r="U47" s="32">
        <f>-G11/U18</f>
        <v>0</v>
      </c>
      <c r="V47" s="32">
        <f>-G12/V18</f>
        <v>0</v>
      </c>
      <c r="W47" s="32">
        <f>-G13/W18</f>
        <v>0</v>
      </c>
      <c r="X47" s="32">
        <f>-G14/X18</f>
        <v>0</v>
      </c>
      <c r="Y47" s="32" t="e">
        <f>-G15/Y18</f>
        <v>#DIV/0!</v>
      </c>
      <c r="Z47" s="32" t="e">
        <f>-G16/Z18</f>
        <v>#DIV/0!</v>
      </c>
      <c r="AA47" s="32" t="e">
        <f>-G17/AA18</f>
        <v>#DIV/0!</v>
      </c>
      <c r="AB47" s="32" t="e">
        <f>-G18/AB18</f>
        <v>#DIV/0!</v>
      </c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48">
        <v>0</v>
      </c>
      <c r="AF48" s="48">
        <v>0</v>
      </c>
      <c r="AG48" s="48">
        <v>0</v>
      </c>
      <c r="AH48" s="48">
        <v>0</v>
      </c>
      <c r="AI48" s="48">
        <v>0</v>
      </c>
      <c r="AJ48" s="48">
        <v>0</v>
      </c>
      <c r="AK48" s="48">
        <v>0</v>
      </c>
      <c r="AL48" s="33">
        <v>0.50480149684999998</v>
      </c>
      <c r="AM48" s="33">
        <v>1.1207178930999999</v>
      </c>
      <c r="AN48" s="33">
        <v>0</v>
      </c>
      <c r="AO48" s="33">
        <v>0</v>
      </c>
      <c r="AP48" s="33">
        <v>6.4858095647000003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P49"/>
  <sheetViews>
    <sheetView showGridLines="0" zoomScale="90" zoomScaleNormal="90" workbookViewId="0">
      <selection activeCell="C22" sqref="C22"/>
    </sheetView>
  </sheetViews>
  <sheetFormatPr defaultColWidth="8.5703125" defaultRowHeight="15" customHeight="1" x14ac:dyDescent="0.25"/>
  <cols>
    <col min="1" max="1" width="9" customWidth="1"/>
    <col min="2" max="11" width="11" customWidth="1"/>
    <col min="12" max="12" width="9" customWidth="1"/>
    <col min="13" max="13" width="16.28515625" customWidth="1"/>
    <col min="14" max="14" width="16.5703125" customWidth="1"/>
    <col min="16" max="16" width="14" customWidth="1"/>
    <col min="17" max="28" width="9.28515625" customWidth="1"/>
    <col min="29" max="29" width="12.85546875" customWidth="1"/>
    <col min="30" max="30" width="14.5703125" customWidth="1"/>
    <col min="31" max="31" width="10" customWidth="1"/>
    <col min="32" max="33" width="14.5703125" customWidth="1"/>
    <col min="34" max="34" width="14.28515625" customWidth="1"/>
    <col min="35" max="36" width="12.85546875" customWidth="1"/>
    <col min="37" max="40" width="14.5703125" customWidth="1"/>
    <col min="41" max="42" width="15.5703125" customWidth="1"/>
    <col min="43" max="43" width="12" customWidth="1"/>
    <col min="44" max="44" width="14.7109375" customWidth="1"/>
  </cols>
  <sheetData>
    <row r="1" spans="1:24" ht="15" customHeight="1" x14ac:dyDescent="0.25">
      <c r="A1" s="1"/>
      <c r="M1" t="s">
        <v>0</v>
      </c>
      <c r="N1" s="64">
        <v>2.93E-2</v>
      </c>
    </row>
    <row r="2" spans="1:24" ht="15" customHeight="1" x14ac:dyDescent="0.25">
      <c r="A2" s="1"/>
    </row>
    <row r="3" spans="1:24" ht="15" customHeight="1" x14ac:dyDescent="0.25">
      <c r="M3" s="63" t="s">
        <v>1</v>
      </c>
      <c r="N3" t="str">
        <f>+L17</f>
        <v>SON</v>
      </c>
    </row>
    <row r="4" spans="1:24" ht="34.5" customHeight="1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  <c r="G4" s="4"/>
      <c r="H4" s="4"/>
      <c r="I4" s="4"/>
      <c r="J4" s="4"/>
      <c r="K4" s="4" t="s">
        <v>7</v>
      </c>
      <c r="M4" s="34" t="s">
        <v>8</v>
      </c>
      <c r="N4" s="6"/>
      <c r="O4" s="6"/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</row>
    <row r="5" spans="1:24" ht="15" customHeight="1" x14ac:dyDescent="0.25">
      <c r="A5" s="8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M5" s="10" t="s">
        <v>10</v>
      </c>
      <c r="N5" s="10"/>
      <c r="O5" s="11"/>
      <c r="P5" s="12">
        <v>6.1000000000000004E-3</v>
      </c>
      <c r="Q5" s="12">
        <f>1.98%-0.61%</f>
        <v>1.3699999999999999E-2</v>
      </c>
      <c r="R5" s="12">
        <f>2.97%-1.98%</f>
        <v>9.9000000000000025E-3</v>
      </c>
      <c r="S5" s="12">
        <v>4.0000000000000002E-4</v>
      </c>
      <c r="T5" s="12">
        <v>0</v>
      </c>
      <c r="U5" s="12">
        <v>1.2699999999999999E-2</v>
      </c>
      <c r="V5" s="12">
        <f>12.41%-4.58%</f>
        <v>7.8300000000000008E-2</v>
      </c>
      <c r="W5" s="12">
        <v>4.3099999999999999E-2</v>
      </c>
      <c r="X5" s="12">
        <f>19.14%-16.72%</f>
        <v>2.4200000000000027E-2</v>
      </c>
    </row>
    <row r="6" spans="1:24" ht="15" customHeight="1" x14ac:dyDescent="0.25">
      <c r="A6" s="8" t="s">
        <v>11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13" t="s">
        <v>12</v>
      </c>
      <c r="N6" s="13"/>
      <c r="O6" s="14"/>
    </row>
    <row r="7" spans="1:24" ht="15" customHeight="1" x14ac:dyDescent="0.25">
      <c r="A7" s="8" t="s">
        <v>13</v>
      </c>
      <c r="B7" s="66"/>
      <c r="C7" s="66"/>
      <c r="D7" s="66"/>
      <c r="E7" s="66"/>
      <c r="F7" s="66"/>
      <c r="G7" s="66"/>
      <c r="H7" s="66"/>
      <c r="I7" s="66"/>
      <c r="J7" s="66"/>
      <c r="K7" s="66"/>
      <c r="M7" s="15" t="s">
        <v>14</v>
      </c>
      <c r="N7" s="15"/>
      <c r="O7" s="16"/>
      <c r="P7" s="17"/>
      <c r="Q7" s="17"/>
      <c r="R7" s="17"/>
      <c r="S7" s="17"/>
      <c r="T7" s="17"/>
      <c r="U7" s="17">
        <f>((D10+E10+T7+S7+R7+Q7+P7+SUM($P$8:T8))*U5)</f>
        <v>0</v>
      </c>
      <c r="V7" s="17">
        <f>((D11+E11+U7+T7+S7+R7+Q7+P7+SUM($P$8:U8))*V5)</f>
        <v>250682354.89600503</v>
      </c>
      <c r="W7" s="17">
        <f>((D12+E12+V7+U7+T7+S7+R7+Q7+P7+SUM($P$8:V8))*W5)</f>
        <v>150761686.84346282</v>
      </c>
      <c r="X7" s="17">
        <f>((D13+E13+W7+V7+U7+T7+S7+R7+Q7+P7+SUM($P$8:W8))*X5)</f>
        <v>94516133.030515239</v>
      </c>
    </row>
    <row r="8" spans="1:24" ht="15" customHeight="1" x14ac:dyDescent="0.25">
      <c r="A8" s="8" t="s">
        <v>15</v>
      </c>
      <c r="B8" s="66"/>
      <c r="C8" s="66"/>
      <c r="D8" s="66"/>
      <c r="E8" s="66"/>
      <c r="F8" s="66"/>
      <c r="G8" s="66"/>
      <c r="H8" s="66"/>
      <c r="I8" s="66"/>
      <c r="J8" s="66"/>
      <c r="K8" s="66"/>
      <c r="M8" s="15" t="s">
        <v>16</v>
      </c>
      <c r="N8" s="15"/>
      <c r="O8" s="17"/>
      <c r="P8" s="17"/>
      <c r="Q8" s="17"/>
      <c r="R8" s="17"/>
      <c r="S8" s="17"/>
      <c r="T8" s="17"/>
      <c r="U8" s="17">
        <f>((D11+E11)-(D10+E10))*(U5^1/2)</f>
        <v>20201642.349999998</v>
      </c>
      <c r="V8" s="17">
        <f>((D12+E12)-(D11+E11))*(V5^1/2)</f>
        <v>1721973.6</v>
      </c>
      <c r="W8" s="17">
        <f>((D13+E13)-(D12+E12))*(W5^1/2)</f>
        <v>5419674.1500000004</v>
      </c>
      <c r="X8" s="17">
        <f>((D14+E14)-(D13+E13))*(X5^1/2)</f>
        <v>13543832.500000015</v>
      </c>
    </row>
    <row r="9" spans="1:24" ht="15" customHeight="1" x14ac:dyDescent="0.25">
      <c r="A9" s="8" t="s">
        <v>17</v>
      </c>
      <c r="B9" s="66"/>
      <c r="C9" s="66"/>
      <c r="D9" s="66"/>
      <c r="E9" s="66"/>
      <c r="F9" s="66"/>
      <c r="G9" s="66"/>
      <c r="H9" s="66"/>
      <c r="I9" s="66"/>
      <c r="J9" s="66"/>
      <c r="K9" s="66"/>
      <c r="M9" s="15" t="s">
        <v>18</v>
      </c>
      <c r="N9" s="15"/>
      <c r="O9" s="17"/>
      <c r="P9" s="17"/>
      <c r="Q9" s="17"/>
      <c r="R9" s="17"/>
      <c r="S9" s="17"/>
      <c r="T9" s="17"/>
      <c r="U9" s="17">
        <f>+(B10+T9+S9+R9+Q9+P9+P10+Q10+R10+S10+T10+P14+Q14+R14+S14+T14)*U5</f>
        <v>0</v>
      </c>
      <c r="V9" s="17">
        <f>+(B11+U9+T9+S9+R9+Q9+P9+P10+Q10+R10+S10+T10+U10+P14+Q14+R14+S14+T14+U14)*V5</f>
        <v>200545455.49600506</v>
      </c>
      <c r="W9" s="17">
        <f>+(B12+V9+U9+T9+S9+R9+Q9+P9+P10+Q10+R10+S10+T10+U10+V10+P14+Q14+R14+S14+T14+U14+V14)*W5</f>
        <v>131994298.07336131</v>
      </c>
      <c r="X9" s="17">
        <f>+(B13+W9+V9+U9+T9+S9+R9+Q9+P9+P10+Q10+R10+S10+T10+U10+V10+W10+P14+Q14+R14+S14+T14+U14+V14+W14)*X5</f>
        <v>83356854.587074906</v>
      </c>
    </row>
    <row r="10" spans="1:24" ht="15" customHeight="1" x14ac:dyDescent="0.25">
      <c r="A10" s="8" t="s">
        <v>19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M10" s="18" t="s">
        <v>20</v>
      </c>
      <c r="N10" s="18"/>
      <c r="O10" s="19"/>
      <c r="P10" s="19"/>
      <c r="Q10" s="19"/>
      <c r="R10" s="19"/>
      <c r="S10" s="19"/>
      <c r="T10" s="19"/>
      <c r="U10" s="19">
        <f>((B11-B10)*(U5^1/2))</f>
        <v>16135623.049999999</v>
      </c>
      <c r="V10" s="19">
        <f>((B12-B11)*(V5^1/2))</f>
        <v>9768003.3000000007</v>
      </c>
      <c r="W10" s="19"/>
      <c r="X10" s="19"/>
    </row>
    <row r="11" spans="1:24" ht="15" customHeight="1" x14ac:dyDescent="0.25">
      <c r="A11" s="8" t="s">
        <v>21</v>
      </c>
      <c r="B11" s="66">
        <v>2541043000</v>
      </c>
      <c r="C11" s="66">
        <v>267477000</v>
      </c>
      <c r="D11" s="66">
        <v>2701609000</v>
      </c>
      <c r="E11" s="66">
        <v>479752000</v>
      </c>
      <c r="F11" s="66"/>
      <c r="G11" s="66"/>
      <c r="H11" s="66"/>
      <c r="I11" s="66"/>
      <c r="J11" s="66"/>
      <c r="K11" s="66">
        <v>1541116064.0525801</v>
      </c>
      <c r="M11" s="13" t="s">
        <v>22</v>
      </c>
      <c r="N11" s="13"/>
      <c r="O11" s="14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15" customHeight="1" x14ac:dyDescent="0.25">
      <c r="A12" s="8" t="s">
        <v>23</v>
      </c>
      <c r="B12" s="66">
        <v>2790545000</v>
      </c>
      <c r="C12" s="66">
        <v>335547000</v>
      </c>
      <c r="D12" s="66">
        <v>2733500000</v>
      </c>
      <c r="E12" s="66">
        <v>491845000</v>
      </c>
      <c r="F12" s="66"/>
      <c r="G12" s="66"/>
      <c r="H12" s="66"/>
      <c r="I12" s="66"/>
      <c r="J12" s="66"/>
      <c r="K12" s="66">
        <v>1515885455.5295999</v>
      </c>
      <c r="M12" s="15" t="s">
        <v>24</v>
      </c>
      <c r="N12" s="15"/>
      <c r="O12" s="15"/>
      <c r="P12" s="17"/>
      <c r="Q12" s="67"/>
      <c r="R12" s="67"/>
      <c r="S12" s="67"/>
      <c r="T12" s="67"/>
      <c r="U12" s="20">
        <f>-((($P$7+$P$8)*(1+T5)*(1+R5)*(1+S5)*(1+Q5))+(($Q$7+$Q$8)*(1+T5)*(1+S5)*(1+R5))+((R7+R8)*(1+S5)*(1+T5))+((S7+S8)*(1+T5))+(T7+T8))*$N$1</f>
        <v>0</v>
      </c>
      <c r="V12" s="20">
        <f>-((($P$7+$P$8)*(1+U5)*(1+S5)*(1+T5)*(1+R5)*(1+Q5))+(($Q$7+$Q$8)*(1+U5)*(1+T5)*(1+S5)*(1+R5))+(($R$7+$R$8)*(1+U5)*(1+T5)*(1+S5))+((S7+S8)*(1+T5)*(1+U5))+((T7+T8)*(1+U5))+(U7+U8))*$N$1</f>
        <v>-591908.12085499987</v>
      </c>
      <c r="W12" s="20">
        <f>-((($P$7+$P$8)*(1+V5)*(1+T5)*(1+U5)*(1+S5)*(1+R5)*(1+Q5))+(($Q$7+$Q$8)*(1+V5)*(1+U5)*(1+T5)*(1+S5)*(1+R5))+(($R$7+$R$8)*(1+V5)*(1+U5)*(1+T5)*(1+S5))+(($S$7+$S$8)*(1+V5)*(1+U5)*(1+T5))+((T7+T8)*(1+U5)*(1+V5))+((U7+U8)*(1+V5))+(V7+V8))*$N$1</f>
        <v>-8033701.3516508946</v>
      </c>
      <c r="X12" s="20">
        <f>-((($P$7+$P$8)*(1+W5)*(1+U5)*(1+V5)*(1+T5)*(1+S5)*(1+R5)*(1+Q5))+(($Q$7+$Q$8)*(1+W5)*(1+V5)*(1+U5)*(1+T5)*(1+S5)*(1+R5))+(($R$7+$R$8)*(1+W5)*(1+V5)*(1+U5)*(1+T5)*(1+S5))+(($S$7+$S$8)*(1+W5)*(1+V5)*(1+U5)*(1+T5))+(($T$7+$T$8)*(1+W5)*(1+V5)*(1+U5))+(($U$7+$U$8)*(1+V5)*(1+W5))+(($V$7+$V$8)*(1+W5))+(W7+W8))*$N$1</f>
        <v>-12956067.757015506</v>
      </c>
    </row>
    <row r="13" spans="1:24" ht="15" customHeight="1" x14ac:dyDescent="0.25">
      <c r="A13" s="8" t="s">
        <v>25</v>
      </c>
      <c r="B13" s="66">
        <v>3024729000</v>
      </c>
      <c r="C13" s="66">
        <v>357062000</v>
      </c>
      <c r="D13" s="66">
        <v>2987075000</v>
      </c>
      <c r="E13" s="66">
        <v>489763000</v>
      </c>
      <c r="F13" s="66"/>
      <c r="G13" s="66"/>
      <c r="H13" s="66"/>
      <c r="I13" s="66"/>
      <c r="J13" s="66"/>
      <c r="K13" s="66">
        <v>1562637082.2586701</v>
      </c>
      <c r="M13" t="s">
        <v>26</v>
      </c>
      <c r="Q13" s="67"/>
      <c r="R13" s="67"/>
      <c r="S13" s="67"/>
      <c r="T13" s="67"/>
      <c r="U13" s="20">
        <f t="shared" ref="Q13:X13" si="0">U12*U5</f>
        <v>0</v>
      </c>
      <c r="V13" s="20">
        <f t="shared" si="0"/>
        <v>-46346.405862946493</v>
      </c>
      <c r="W13" s="20">
        <f t="shared" si="0"/>
        <v>-346252.52825615357</v>
      </c>
      <c r="X13" s="20">
        <f t="shared" si="0"/>
        <v>-313536.8397197756</v>
      </c>
    </row>
    <row r="14" spans="1:24" ht="15" customHeight="1" x14ac:dyDescent="0.25">
      <c r="A14" s="8" t="s">
        <v>27</v>
      </c>
      <c r="B14" s="66">
        <v>3063560000</v>
      </c>
      <c r="C14" s="66">
        <v>222665000</v>
      </c>
      <c r="D14" s="66">
        <v>3600948000</v>
      </c>
      <c r="E14" s="66">
        <v>995215000</v>
      </c>
      <c r="F14" s="66"/>
      <c r="G14" s="66"/>
      <c r="H14" s="66"/>
      <c r="I14" s="66"/>
      <c r="J14" s="66"/>
      <c r="K14" s="66">
        <v>1669301165.2866199</v>
      </c>
      <c r="M14" s="35" t="s">
        <v>28</v>
      </c>
      <c r="N14" s="35"/>
      <c r="O14" s="36"/>
      <c r="P14" s="36"/>
      <c r="Q14" s="74"/>
      <c r="R14" s="74"/>
      <c r="S14" s="74"/>
      <c r="T14" s="74"/>
      <c r="U14" s="36">
        <f t="shared" ref="P14:X14" si="1">(U7+U8)-(U9+U10)+U12+U13</f>
        <v>4066019.2999999989</v>
      </c>
      <c r="V14" s="36">
        <f t="shared" si="1"/>
        <v>41452615.173282005</v>
      </c>
      <c r="W14" s="36">
        <f t="shared" si="1"/>
        <v>15807109.040194476</v>
      </c>
      <c r="X14" s="36">
        <f t="shared" si="1"/>
        <v>11433506.346705066</v>
      </c>
    </row>
    <row r="15" spans="1:24" ht="15" customHeight="1" x14ac:dyDescent="0.25">
      <c r="A15" s="8"/>
      <c r="B15" s="47"/>
      <c r="C15" s="47"/>
      <c r="D15" s="47"/>
      <c r="E15" s="47"/>
      <c r="F15" s="47"/>
      <c r="G15" s="47"/>
      <c r="H15" s="47"/>
      <c r="I15" s="47"/>
      <c r="J15" s="47"/>
      <c r="K15" s="47"/>
      <c r="Q15" s="69"/>
      <c r="R15" s="69"/>
      <c r="S15" s="69"/>
      <c r="T15" s="69"/>
    </row>
    <row r="16" spans="1:24" ht="15" customHeight="1" x14ac:dyDescent="0.25">
      <c r="A16" s="8"/>
      <c r="B16" s="47"/>
      <c r="C16" s="47"/>
      <c r="D16" s="47"/>
      <c r="E16" s="47"/>
      <c r="F16" s="47"/>
      <c r="G16" s="47"/>
      <c r="H16" s="47"/>
      <c r="I16" s="47"/>
      <c r="J16" s="47"/>
      <c r="K16" s="47"/>
      <c r="M16" s="34" t="s">
        <v>8</v>
      </c>
      <c r="N16" s="5"/>
      <c r="O16" s="5"/>
      <c r="P16" s="7">
        <v>2016</v>
      </c>
      <c r="Q16" s="70">
        <v>2017</v>
      </c>
      <c r="R16" s="70">
        <v>2018</v>
      </c>
      <c r="S16" s="70">
        <v>2019</v>
      </c>
      <c r="T16" s="70">
        <v>2020</v>
      </c>
      <c r="U16" s="7">
        <v>2021</v>
      </c>
      <c r="V16" s="7">
        <v>2022</v>
      </c>
      <c r="W16" s="7">
        <v>2023</v>
      </c>
      <c r="X16" s="7">
        <v>2024</v>
      </c>
    </row>
    <row r="17" spans="1:24" ht="15" customHeight="1" x14ac:dyDescent="0.25">
      <c r="A17" s="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37" t="s">
        <v>55</v>
      </c>
      <c r="M17" s="13" t="s">
        <v>29</v>
      </c>
      <c r="N17" s="13"/>
      <c r="O17" s="23"/>
      <c r="P17" s="38"/>
      <c r="Q17" s="75"/>
      <c r="R17" s="75"/>
      <c r="S17" s="75"/>
      <c r="T17" s="75"/>
      <c r="U17" s="38">
        <f>C11</f>
        <v>267477000</v>
      </c>
      <c r="V17" s="38"/>
      <c r="W17" s="38"/>
      <c r="X17" s="38"/>
    </row>
    <row r="18" spans="1:24" ht="15" customHeight="1" x14ac:dyDescent="0.25">
      <c r="A18" s="8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39" t="str">
        <f>+L17</f>
        <v>SON</v>
      </c>
      <c r="M18" s="10" t="s">
        <v>30</v>
      </c>
      <c r="N18" s="10"/>
      <c r="O18" s="21"/>
      <c r="P18" s="40"/>
      <c r="Q18" s="76"/>
      <c r="R18" s="76"/>
      <c r="S18" s="76"/>
      <c r="T18" s="76"/>
      <c r="U18" s="40">
        <f t="shared" ref="P18:V18" si="2">U14+U17</f>
        <v>271543019.30000001</v>
      </c>
      <c r="V18" s="40">
        <f t="shared" si="2"/>
        <v>41452615.173282005</v>
      </c>
      <c r="W18" s="40"/>
      <c r="X18" s="40">
        <f>X14+X17</f>
        <v>11433506.346705066</v>
      </c>
    </row>
    <row r="19" spans="1:24" ht="15" customHeight="1" x14ac:dyDescent="0.25">
      <c r="A19" s="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0" t="str">
        <f>+L18</f>
        <v>SON</v>
      </c>
      <c r="M19" s="10" t="s">
        <v>31</v>
      </c>
      <c r="N19" s="10"/>
      <c r="O19" s="26"/>
      <c r="P19" s="41"/>
      <c r="Q19" s="77"/>
      <c r="R19" s="77"/>
      <c r="S19" s="77"/>
      <c r="T19" s="77"/>
      <c r="U19" s="41"/>
      <c r="V19" s="41"/>
      <c r="W19" s="41"/>
      <c r="X19" s="41"/>
    </row>
    <row r="20" spans="1:24" ht="15" customHeight="1" x14ac:dyDescent="0.25">
      <c r="A20" s="8"/>
      <c r="B20" s="47"/>
      <c r="C20" s="47"/>
      <c r="D20" s="47"/>
      <c r="E20" s="47"/>
      <c r="F20" s="47"/>
      <c r="G20" s="47"/>
      <c r="H20" s="47"/>
      <c r="I20" s="47"/>
      <c r="J20" s="47"/>
      <c r="K20" s="47"/>
      <c r="M20" s="13"/>
      <c r="N20" s="15"/>
      <c r="O20" s="15"/>
      <c r="P20" s="31"/>
      <c r="Q20" s="78"/>
      <c r="R20" s="78"/>
      <c r="S20" s="78"/>
      <c r="T20" s="78"/>
      <c r="U20" s="31"/>
      <c r="V20" s="31"/>
      <c r="W20" s="31"/>
      <c r="X20" s="31"/>
    </row>
    <row r="21" spans="1:24" ht="15" customHeight="1" x14ac:dyDescent="0.25">
      <c r="A21" s="8"/>
      <c r="B21" s="47"/>
      <c r="C21" s="47"/>
      <c r="D21" s="47"/>
      <c r="E21" s="47"/>
      <c r="F21" s="47"/>
      <c r="G21" s="47"/>
      <c r="H21" s="47"/>
      <c r="I21" s="47"/>
      <c r="J21" s="47"/>
      <c r="K21" s="47"/>
      <c r="M21" s="42" t="s">
        <v>8</v>
      </c>
      <c r="N21" s="13"/>
      <c r="O21" s="13"/>
      <c r="P21" s="7">
        <v>2016</v>
      </c>
      <c r="Q21" s="70">
        <v>2017</v>
      </c>
      <c r="R21" s="70">
        <v>2018</v>
      </c>
      <c r="S21" s="70">
        <v>2019</v>
      </c>
      <c r="T21" s="70">
        <v>2020</v>
      </c>
      <c r="U21" s="7">
        <v>2021</v>
      </c>
      <c r="V21" s="7">
        <v>2022</v>
      </c>
      <c r="W21" s="7">
        <v>2023</v>
      </c>
      <c r="X21" s="7">
        <v>2024</v>
      </c>
    </row>
    <row r="22" spans="1:24" ht="15" customHeight="1" x14ac:dyDescent="0.25">
      <c r="A22" s="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3" t="str">
        <f>+L19</f>
        <v>SON</v>
      </c>
      <c r="M22" s="35" t="s">
        <v>32</v>
      </c>
      <c r="N22" s="27"/>
      <c r="O22" s="27"/>
      <c r="P22" s="28"/>
      <c r="Q22" s="71"/>
      <c r="R22" s="71"/>
      <c r="S22" s="71"/>
      <c r="T22" s="71"/>
      <c r="U22" s="28">
        <f>+B11</f>
        <v>2541043000</v>
      </c>
      <c r="V22" s="28">
        <f>+B12</f>
        <v>2790545000</v>
      </c>
      <c r="W22" s="28">
        <f>+B13</f>
        <v>3024729000</v>
      </c>
      <c r="X22" s="28">
        <f>+B14</f>
        <v>3063560000</v>
      </c>
    </row>
    <row r="23" spans="1:24" ht="15" customHeight="1" x14ac:dyDescent="0.25">
      <c r="A23" s="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3" t="str">
        <f>+L22</f>
        <v>SON</v>
      </c>
      <c r="M23" s="35" t="s">
        <v>33</v>
      </c>
      <c r="N23" s="27"/>
      <c r="O23" s="27"/>
      <c r="P23" s="25"/>
      <c r="Q23" s="71"/>
      <c r="R23" s="71"/>
      <c r="S23" s="71"/>
      <c r="T23" s="71"/>
      <c r="U23" s="29">
        <f>U22+U9+U10+U14+((T9+T10+T14)*(1+U5))+((S9+S10+S14)*(1+U5)*(1+T5))+((R9+R10+R14)*(1+U5)*(1+T5)*(1+S5))+((Q9+Q10+Q14)*(1+U5)*(1+T5)*(1+S5)*(1+R5))+((P9+P10+P14)*(1+U5)*(1+T5)*(1+S5)*(1+R5)*(1+Q5))</f>
        <v>2561244642.3500004</v>
      </c>
      <c r="V23" s="29">
        <f>V22+V9+V10+V14+((U9+U10+U14)*(1+V5))+((T9+T10+T14)*(1+V5)*(1+U5))+((S9+S10+S14)*(1+V5)*(1+U5)*(1+T5))+((R9+R10+R14)*(1+V5)*(1+U5)*(1+T5)*(1+S5))+((Q9+Q10+Q14)*(1+V5)*(1+U5)*(1+T5)*(1+S5)*(1+R5))+((P9+P10+P14)*(1+V5)*(1+U5)*(1+T5)*(1+S5)*(1+R5)*(1+Q5))</f>
        <v>3064094504.9152923</v>
      </c>
      <c r="W23" s="29">
        <f>W22+W9+W10+W14+((V9+V10+V14)*(1+W5))+((U9+U10+U14)*(1+W5)*(1+V5))+((T9+T10+T14)*(1+W5)*(1+V5)*(1+U5))+((S9+S10+S14)*(1+W5)*(1+V5)*(1+U5)*(1+T5))+((R9+R10+R14)*(1+W5)*(1+V5)*(1+U5)*(1+T5)*(1+S5))+((Q9+Q10+Q14)*(1+W5)*(1+V5)*(1+U5)*(1+T5)*(1+S5)*(1+R5))+((P9+P10+P14)*(1+W5)*(1+V5)*(1+U5)*(1+T5)*(1+S5)*(1+R5)*(1+Q5))</f>
        <v>3457869895.6906972</v>
      </c>
      <c r="X23" s="29">
        <f>X22+X9+X10+X14+((W9+W10+W14)*(1+X5))+((V9+V10+V14)*(1+X5)*(1+W5))+((U9+U10+U14)*(1+X5)*(1+W5)*(1+V5))+((T9+T10+T14)*(1+X5)*(1+W5)*(1+V5)*(1+U5))+((S9+S10+S14)*(1+X5)*(1+W5)*(1+V5)*(1+U5)*(1+T5))+((R9+R10+R14)*(1+X5)*(1+W5)*(1+V5)*(1+U5)*(1+T5)*(1+S5))+((Q9+Q10+Q14)*(1+X5)*(1+W5)*(1+V5)*(1+U5)*(1+T5)*(1+S5)*(1+R5))+((P9+P10+P14)*(1+X5)*(1+W5)*(1+V5)*(1+U5)*(1+T5)*(1+S5)*(1+R5)*(1+Q5))</f>
        <v>3601973266.3001914</v>
      </c>
    </row>
    <row r="24" spans="1:24" ht="15" customHeight="1" x14ac:dyDescent="0.25">
      <c r="A24" s="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3" t="str">
        <f>+L23</f>
        <v>SON</v>
      </c>
      <c r="M24" s="35" t="s">
        <v>34</v>
      </c>
      <c r="N24" s="27"/>
      <c r="O24" s="27"/>
      <c r="P24" s="28"/>
      <c r="Q24" s="28"/>
      <c r="R24" s="28"/>
      <c r="S24" s="28"/>
      <c r="T24" s="28"/>
      <c r="U24" s="28">
        <f>+K11</f>
        <v>1541116064.0525801</v>
      </c>
      <c r="V24" s="28">
        <f>+K12</f>
        <v>1515885455.5295999</v>
      </c>
      <c r="W24" s="28">
        <f>+K13</f>
        <v>1562637082.2586701</v>
      </c>
      <c r="X24" s="28">
        <f>+K14</f>
        <v>1669301165.2866199</v>
      </c>
    </row>
    <row r="25" spans="1:24" ht="15" customHeight="1" x14ac:dyDescent="0.25">
      <c r="A25" s="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35" t="str">
        <f>+L24</f>
        <v>SON</v>
      </c>
      <c r="M25" s="35" t="s">
        <v>35</v>
      </c>
      <c r="N25" s="10"/>
      <c r="O25" s="10"/>
      <c r="P25" s="26"/>
      <c r="Q25" s="26"/>
      <c r="R25" s="26"/>
      <c r="S25" s="26"/>
      <c r="T25" s="26"/>
      <c r="U25" s="26"/>
      <c r="V25" s="26"/>
      <c r="W25" s="26"/>
      <c r="X25" s="26"/>
    </row>
    <row r="26" spans="1:24" ht="15" customHeight="1" x14ac:dyDescent="0.25">
      <c r="A26" s="8"/>
      <c r="B26" s="47"/>
      <c r="C26" s="47"/>
      <c r="D26" s="47"/>
      <c r="E26" s="47"/>
      <c r="F26" s="47"/>
      <c r="G26" s="47"/>
      <c r="H26" s="47"/>
      <c r="I26" s="47"/>
      <c r="J26" s="47"/>
      <c r="K26" s="47"/>
    </row>
    <row r="27" spans="1:24" ht="15" customHeight="1" x14ac:dyDescent="0.25">
      <c r="A27" s="8"/>
      <c r="B27" s="47"/>
      <c r="C27" s="47"/>
      <c r="D27" s="47"/>
      <c r="E27" s="47"/>
      <c r="F27" s="47"/>
      <c r="G27" s="47"/>
      <c r="H27" s="47"/>
      <c r="I27" s="47"/>
      <c r="J27" s="47"/>
      <c r="K27" s="47"/>
      <c r="S27" s="62"/>
    </row>
    <row r="28" spans="1:24" ht="15" customHeight="1" x14ac:dyDescent="0.25">
      <c r="A28" s="8"/>
      <c r="B28" s="47"/>
      <c r="C28" s="47"/>
      <c r="D28" s="47"/>
      <c r="E28" s="47"/>
      <c r="F28" s="47"/>
      <c r="G28" s="47"/>
      <c r="H28" s="47"/>
      <c r="I28" s="47"/>
      <c r="J28" s="47"/>
      <c r="K28" s="47"/>
    </row>
    <row r="29" spans="1:24" ht="15" customHeight="1" x14ac:dyDescent="0.25">
      <c r="A29" s="8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24" ht="15" customHeight="1" x14ac:dyDescent="0.25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4" ht="15" customHeight="1" x14ac:dyDescent="0.25">
      <c r="A31" s="8"/>
      <c r="B31" s="47"/>
      <c r="C31" s="47"/>
      <c r="D31" s="47"/>
      <c r="E31" s="47"/>
      <c r="F31" s="47"/>
      <c r="G31" s="47"/>
      <c r="H31" s="47"/>
      <c r="I31" s="47"/>
      <c r="J31" s="47"/>
      <c r="K31" s="47"/>
    </row>
    <row r="32" spans="1:24" ht="15" customHeight="1" x14ac:dyDescent="0.25">
      <c r="A32" s="8"/>
      <c r="B32" s="47"/>
      <c r="C32" s="47"/>
      <c r="D32" s="47"/>
      <c r="E32" s="47"/>
      <c r="F32" s="47"/>
      <c r="G32" s="47"/>
      <c r="H32" s="47"/>
      <c r="I32" s="47"/>
      <c r="J32" s="47"/>
      <c r="K32" s="47"/>
    </row>
    <row r="33" spans="1:42" ht="15" customHeight="1" x14ac:dyDescent="0.25">
      <c r="A33" s="8"/>
      <c r="B33" s="47"/>
      <c r="C33" s="47"/>
      <c r="D33" s="47"/>
      <c r="E33" s="47"/>
      <c r="F33" s="47"/>
      <c r="G33" s="47"/>
      <c r="H33" s="47"/>
      <c r="I33" s="47"/>
      <c r="J33" s="47"/>
      <c r="K33" s="47"/>
    </row>
    <row r="34" spans="1:42" ht="15" customHeight="1" x14ac:dyDescent="0.25">
      <c r="A34" s="8"/>
      <c r="B34" s="47"/>
      <c r="C34" s="47"/>
      <c r="D34" s="47"/>
      <c r="E34" s="47"/>
      <c r="F34" s="47"/>
      <c r="G34" s="47"/>
      <c r="H34" s="47"/>
      <c r="I34" s="47"/>
      <c r="J34" s="47"/>
      <c r="K34" s="47"/>
    </row>
    <row r="35" spans="1:42" ht="15" customHeight="1" x14ac:dyDescent="0.25">
      <c r="B35" s="46"/>
      <c r="C35" s="46"/>
      <c r="D35" s="46"/>
      <c r="E35" s="46"/>
      <c r="F35" s="46"/>
      <c r="G35" s="46"/>
      <c r="H35" s="46"/>
      <c r="I35" s="46"/>
      <c r="J35" s="46"/>
      <c r="K35" s="46"/>
    </row>
    <row r="46" spans="1:42" ht="15" customHeight="1" x14ac:dyDescent="0.25">
      <c r="M46" s="42" t="s">
        <v>36</v>
      </c>
      <c r="N46" s="15"/>
      <c r="O46" s="15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 t="e">
        <f>-G19/AC17</f>
        <v>#DIV/0!</v>
      </c>
      <c r="AD46" s="31" t="e">
        <f>-G20/AD17</f>
        <v>#DIV/0!</v>
      </c>
      <c r="AE46" s="31" t="e">
        <f>-G21/AE17</f>
        <v>#DIV/0!</v>
      </c>
      <c r="AF46" s="31" t="e">
        <f>-G22/AF17</f>
        <v>#DIV/0!</v>
      </c>
      <c r="AG46" s="31" t="e">
        <f>-G23/AG17</f>
        <v>#DIV/0!</v>
      </c>
      <c r="AH46" s="31" t="e">
        <f>-G24/AH17</f>
        <v>#DIV/0!</v>
      </c>
      <c r="AI46" s="31" t="e">
        <f>-G25/AI17</f>
        <v>#DIV/0!</v>
      </c>
      <c r="AJ46" s="31" t="e">
        <f>-G26/AJ17</f>
        <v>#DIV/0!</v>
      </c>
      <c r="AK46" s="31" t="e">
        <f>-G27/AK17</f>
        <v>#DIV/0!</v>
      </c>
      <c r="AL46" s="31" t="e">
        <f>-G28/AL17</f>
        <v>#DIV/0!</v>
      </c>
      <c r="AM46" s="31" t="e">
        <f>-G29/AM17</f>
        <v>#DIV/0!</v>
      </c>
      <c r="AN46" s="31" t="e">
        <f>-G30/AN17</f>
        <v>#DIV/0!</v>
      </c>
      <c r="AO46" s="31" t="e">
        <f>-G31/AO17</f>
        <v>#DIV/0!</v>
      </c>
      <c r="AP46" s="31" t="e">
        <f>-G32/AP17</f>
        <v>#DIV/0!</v>
      </c>
    </row>
    <row r="47" spans="1:42" ht="15" customHeight="1" x14ac:dyDescent="0.25">
      <c r="M47" s="35" t="s">
        <v>37</v>
      </c>
      <c r="N47" s="27"/>
      <c r="O47" s="27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 t="e">
        <f>-G19/AC18</f>
        <v>#DIV/0!</v>
      </c>
      <c r="AD47" s="32" t="e">
        <f>-G20/AD18</f>
        <v>#DIV/0!</v>
      </c>
      <c r="AE47" s="32" t="e">
        <f>-G21/AE18</f>
        <v>#DIV/0!</v>
      </c>
      <c r="AF47" s="32" t="e">
        <f>-G22/AF18</f>
        <v>#DIV/0!</v>
      </c>
      <c r="AG47" s="32" t="e">
        <f>-G23/AG18</f>
        <v>#DIV/0!</v>
      </c>
      <c r="AH47" s="32" t="e">
        <f>-G24/AH18</f>
        <v>#DIV/0!</v>
      </c>
      <c r="AI47" s="32" t="e">
        <f>-G25/AI18</f>
        <v>#DIV/0!</v>
      </c>
      <c r="AJ47" s="32" t="e">
        <f>-G26/AJ18</f>
        <v>#DIV/0!</v>
      </c>
      <c r="AK47" s="32" t="e">
        <f>-G27/AK18</f>
        <v>#DIV/0!</v>
      </c>
      <c r="AL47" s="32" t="e">
        <f>-G28/AL18</f>
        <v>#DIV/0!</v>
      </c>
      <c r="AM47" s="32" t="e">
        <f>-G29/AM18</f>
        <v>#DIV/0!</v>
      </c>
      <c r="AN47" s="32" t="e">
        <f>-G30/AN18</f>
        <v>#DIV/0!</v>
      </c>
      <c r="AO47" s="32" t="e">
        <f>-G31/AO18</f>
        <v>#DIV/0!</v>
      </c>
      <c r="AP47" s="32" t="e">
        <f>-G32/AP18</f>
        <v>#DIV/0!</v>
      </c>
    </row>
    <row r="48" spans="1:42" ht="15" customHeight="1" x14ac:dyDescent="0.25">
      <c r="M48" s="35" t="s">
        <v>38</v>
      </c>
      <c r="N48" s="27"/>
      <c r="O48" s="27"/>
      <c r="P48" s="48">
        <v>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0</v>
      </c>
      <c r="X48" s="48">
        <v>0</v>
      </c>
      <c r="Y48" s="48">
        <v>0</v>
      </c>
      <c r="Z48" s="48">
        <v>0</v>
      </c>
      <c r="AA48" s="48">
        <v>0</v>
      </c>
      <c r="AB48" s="48">
        <v>0</v>
      </c>
      <c r="AC48" s="48">
        <v>0</v>
      </c>
      <c r="AD48" s="48">
        <v>0</v>
      </c>
      <c r="AE48" s="33">
        <v>0</v>
      </c>
      <c r="AF48" s="33">
        <v>0</v>
      </c>
      <c r="AG48" s="33">
        <v>0</v>
      </c>
      <c r="AH48" s="33">
        <v>0</v>
      </c>
      <c r="AI48" s="33">
        <v>0</v>
      </c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0</v>
      </c>
      <c r="AP48" s="33">
        <v>0</v>
      </c>
    </row>
    <row r="49" spans="13:42" ht="15" customHeight="1" x14ac:dyDescent="0.25">
      <c r="M49" s="1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</sheetData>
  <pageMargins left="0.7" right="0.7" top="0.75" bottom="0.75" header="0.511811023622047" footer="0.511811023622047"/>
  <pageSetup paperSize="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Composição do Lucro</vt:lpstr>
      <vt:lpstr>ALTRI</vt:lpstr>
      <vt:lpstr>BCP.LS</vt:lpstr>
      <vt:lpstr>COR.LS</vt:lpstr>
      <vt:lpstr>CTT.LS</vt:lpstr>
      <vt:lpstr>EDP.LS</vt:lpstr>
      <vt:lpstr>EDPR.LS</vt:lpstr>
      <vt:lpstr>EGL.LS</vt:lpstr>
      <vt:lpstr>GALP.LS</vt:lpstr>
      <vt:lpstr>IBS</vt:lpstr>
      <vt:lpstr>JMT</vt:lpstr>
      <vt:lpstr>NBA.LS</vt:lpstr>
      <vt:lpstr>NOS.LS</vt:lpstr>
      <vt:lpstr>NVG.LS</vt:lpstr>
      <vt:lpstr>RENE.LS</vt:lpstr>
      <vt:lpstr>SEM.LS</vt:lpstr>
      <vt:lpstr>SON.LS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Ramires</dc:creator>
  <cp:lastModifiedBy>Rogerio Ramires</cp:lastModifiedBy>
  <cp:revision>1</cp:revision>
  <dcterms:created xsi:type="dcterms:W3CDTF">2000-01-01T12:00:00Z</dcterms:created>
  <dcterms:modified xsi:type="dcterms:W3CDTF">2026-02-02T14:07:10Z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0x010100448840CCEBCFBC4182DAA6BD85AA9826</vt:lpwstr>
  </property>
</Properties>
</file>